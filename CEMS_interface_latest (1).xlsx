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standardcharteredbank-my.sharepoint.com/personal/8212146_zone1_scb_net/Documents/Documents/Downloads/"/>
    </mc:Choice>
  </mc:AlternateContent>
  <xr:revisionPtr revIDLastSave="287" documentId="14_{25AFE51B-DEAB-4503-B1D5-A85029A3D44E}" xr6:coauthVersionLast="47" xr6:coauthVersionMax="47" xr10:uidLastSave="{37C63920-BCD5-43A4-9ADD-0EDE5E11D935}"/>
  <bookViews>
    <workbookView xWindow="-110" yWindow="-110" windowWidth="19420" windowHeight="10300" firstSheet="31" activeTab="32" xr2:uid="{5CCEB97A-B306-464A-B4E0-EB027D96D126}"/>
  </bookViews>
  <sheets>
    <sheet name="MFS_CustomerProfile" sheetId="9" r:id="rId1"/>
    <sheet name="MFS_Holdings" sheetId="16" r:id="rId2"/>
    <sheet name="Profit Loss" sheetId="17" r:id="rId3"/>
    <sheet name="InvCorp" sheetId="18" r:id="rId4"/>
    <sheet name="ProjectCode" sheetId="19" r:id="rId5"/>
    <sheet name="MFS_Currency" sheetId="20" r:id="rId6"/>
    <sheet name="MFS_FundDtl" sheetId="1" r:id="rId7"/>
    <sheet name="CUSTOMER" sheetId="4" r:id="rId8"/>
    <sheet name="BIUCUST" sheetId="5" r:id="rId9"/>
    <sheet name="CUSTREL" sheetId="6" r:id="rId10"/>
    <sheet name="Contact" sheetId="7" r:id="rId11"/>
    <sheet name="address" sheetId="8" r:id="rId12"/>
    <sheet name="MSPKAGE" sheetId="11" r:id="rId13"/>
    <sheet name="FT0002 (FCY_TD)" sheetId="2" r:id="rId14"/>
    <sheet name="FT0002P (SI)" sheetId="13" r:id="rId15"/>
    <sheet name="IMDPT (LCY_TD)" sheetId="3" r:id="rId16"/>
    <sheet name="FD0002 (FCY CASA)" sheetId="14" r:id="rId17"/>
    <sheet name=" MASTERB (LCY SA)" sheetId="10" r:id="rId18"/>
    <sheet name="MASTERC (LCY CA)" sheetId="12" r:id="rId19"/>
    <sheet name="JMMLN-in house (loan)" sheetId="36" r:id="rId20"/>
    <sheet name="WUMA010(Loan REL mapping)" sheetId="41" r:id="rId21"/>
    <sheet name="JPRODUCT (loan type)" sheetId="39" r:id="rId22"/>
    <sheet name="BATCH -ARMCode" sheetId="21" r:id="rId23"/>
    <sheet name="BATCH-WMPIMST" sheetId="22" r:id="rId24"/>
    <sheet name="BATCH-IBMBLOGIN" sheetId="24" r:id="rId25"/>
    <sheet name="BATCH -COUNTRYCode" sheetId="25" r:id="rId26"/>
    <sheet name="BATCH -JOBKIND" sheetId="26" r:id="rId27"/>
    <sheet name="(branch info) batch_CMDEPM" sheetId="27" r:id="rId28"/>
    <sheet name="Enquire Account Balances" sheetId="15" r:id="rId29"/>
    <sheet name="online-ASKACNT(SA LCY CLT)" sheetId="28" r:id="rId30"/>
    <sheet name="online-SFMF6002 (SA FCY CLT)" sheetId="29" r:id="rId31"/>
    <sheet name="online-CEMSBAL (CASA LCY ACCT)" sheetId="34" r:id="rId32"/>
    <sheet name="online-CEMP0002 (SA FCY ACCT)" sheetId="31" r:id="rId33"/>
    <sheet name="online-CEMT0001 (TD FCY ACCT)" sheetId="32" r:id="rId34"/>
    <sheet name="online-CEMSIMTD (TD LCY ACCT)" sheetId="33" r:id="rId35"/>
    <sheet name="Online-CEMSARR (loan ACCT)" sheetId="35" r:id="rId36"/>
    <sheet name="batch-drop-PRODLST" sheetId="23" r:id="rId37"/>
    <sheet name="batch-Drop down - TROUBLE" sheetId="37" r:id="rId38"/>
    <sheet name="(Gemf) GetInvestmentProfit&amp;Loss" sheetId="38" r:id="rId39"/>
    <sheet name="CMSPOM (FX Rate)" sheetId="40" r:id="rId40"/>
  </sheets>
  <externalReferences>
    <externalReference r:id="rId41"/>
  </externalReferences>
  <definedNames>
    <definedName name="_xlnm._FilterDatabase" localSheetId="17" hidden="1">' MASTERB (LCY SA)'!$A$1:$H$68</definedName>
    <definedName name="_xlnm._FilterDatabase" localSheetId="16" hidden="1">'FD0002 (FCY CASA)'!$A$1:$D$56</definedName>
    <definedName name="_xlnm._FilterDatabase" localSheetId="18" hidden="1">'MASTERC (LCY CA)'!$A$1:$D$51</definedName>
    <definedName name="_xlnm._FilterDatabase" localSheetId="35" hidden="1">'Online-CEMSARR (loan ACCT)'!$A$1:$L$29</definedName>
    <definedName name="_xlnm._FilterDatabase" localSheetId="31" hidden="1">'online-CEMSBAL (CASA LCY ACCT)'!$A$1:$K$5</definedName>
    <definedName name="_xlnm._FilterDatabase" localSheetId="34" hidden="1">'online-CEMSIMTD (TD LCY ACCT)'!$A$1:$K$22</definedName>
    <definedName name="CRLF">CHAR(13) &amp; CHAR(10)</definedName>
    <definedName name="X_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40" l="1"/>
  <c r="E18" i="40" s="1"/>
  <c r="F16" i="40"/>
  <c r="E16" i="40"/>
  <c r="D10" i="40"/>
  <c r="E10" i="40" s="1"/>
  <c r="D11" i="40" s="1"/>
  <c r="E11" i="40" s="1"/>
  <c r="D12" i="40" s="1"/>
  <c r="E12" i="40" s="1"/>
  <c r="D13" i="40" s="1"/>
  <c r="E13" i="40" s="1"/>
  <c r="D14" i="40" s="1"/>
  <c r="E14" i="40" s="1"/>
  <c r="D15" i="40" s="1"/>
  <c r="E15" i="40" s="1"/>
  <c r="E9" i="40"/>
  <c r="F8" i="40"/>
  <c r="E8" i="40"/>
  <c r="E3" i="40"/>
  <c r="D4" i="40" s="1"/>
  <c r="E4" i="40" s="1"/>
  <c r="D5" i="40" s="1"/>
  <c r="E5" i="40" s="1"/>
  <c r="D6" i="40" s="1"/>
  <c r="E6" i="40" s="1"/>
  <c r="D7" i="40" s="1"/>
  <c r="E7" i="40" s="1"/>
  <c r="F2" i="40"/>
  <c r="E2" i="40"/>
  <c r="E14" i="39"/>
  <c r="F12" i="39"/>
  <c r="E12" i="39"/>
  <c r="D11" i="39"/>
  <c r="E11" i="39" s="1"/>
  <c r="E10" i="39"/>
  <c r="D10" i="39"/>
  <c r="E9" i="39"/>
  <c r="F8" i="39"/>
  <c r="E8" i="39"/>
  <c r="E4" i="39"/>
  <c r="D5" i="39" s="1"/>
  <c r="E5" i="39" s="1"/>
  <c r="D6" i="39" s="1"/>
  <c r="E6" i="39" s="1"/>
  <c r="D7" i="39" s="1"/>
  <c r="E7" i="39" s="1"/>
  <c r="D4" i="39"/>
  <c r="E3" i="39"/>
  <c r="F2" i="39"/>
  <c r="E2" i="39"/>
  <c r="D17" i="37" l="1"/>
  <c r="E17" i="37" s="1"/>
  <c r="E14" i="37" s="1"/>
  <c r="E16" i="37"/>
  <c r="F14" i="37"/>
  <c r="E10" i="37"/>
  <c r="D11" i="37" s="1"/>
  <c r="E11" i="37" s="1"/>
  <c r="D12" i="37" s="1"/>
  <c r="E12" i="37" s="1"/>
  <c r="D13" i="37" s="1"/>
  <c r="E13" i="37" s="1"/>
  <c r="E9" i="37" s="1"/>
  <c r="F9" i="37"/>
  <c r="D4" i="37"/>
  <c r="E4" i="37" s="1"/>
  <c r="D5" i="37" s="1"/>
  <c r="E5" i="37" s="1"/>
  <c r="D6" i="37" s="1"/>
  <c r="E6" i="37" s="1"/>
  <c r="D7" i="37" s="1"/>
  <c r="E7" i="37" s="1"/>
  <c r="D8" i="37" s="1"/>
  <c r="E8" i="37" s="1"/>
  <c r="E2" i="37" s="1"/>
  <c r="E3" i="37"/>
  <c r="F2" i="37"/>
  <c r="D102" i="36"/>
  <c r="E102" i="36" s="1"/>
  <c r="E99" i="36" s="1"/>
  <c r="E101" i="36"/>
  <c r="F99" i="36"/>
  <c r="E98" i="36"/>
  <c r="D11" i="36"/>
  <c r="D12" i="36" s="1"/>
  <c r="E10" i="36"/>
  <c r="F9" i="36"/>
  <c r="E9" i="36"/>
  <c r="D4" i="36"/>
  <c r="E4" i="36" s="1"/>
  <c r="D5" i="36" s="1"/>
  <c r="E5" i="36" s="1"/>
  <c r="D6" i="36" s="1"/>
  <c r="E6" i="36" s="1"/>
  <c r="D7" i="36" s="1"/>
  <c r="E7" i="36" s="1"/>
  <c r="D8" i="36" s="1"/>
  <c r="E8" i="36" s="1"/>
  <c r="E2" i="36" s="1"/>
  <c r="E3" i="36"/>
  <c r="F2" i="36"/>
  <c r="C15" i="33"/>
  <c r="C17" i="33" s="1"/>
  <c r="C19" i="33" s="1"/>
  <c r="C8" i="33"/>
  <c r="C10" i="33" s="1"/>
  <c r="C12" i="33" s="1"/>
  <c r="C14" i="33" s="1"/>
  <c r="C16" i="33" s="1"/>
  <c r="C18" i="33" s="1"/>
  <c r="C20" i="33" s="1"/>
  <c r="C21" i="33" s="1"/>
  <c r="C22" i="33" s="1"/>
  <c r="C23" i="33" s="1"/>
  <c r="C24" i="33" s="1"/>
  <c r="C25" i="33" s="1"/>
  <c r="C26" i="33" s="1"/>
  <c r="C27" i="33" s="1"/>
  <c r="C28" i="33" s="1"/>
  <c r="C29" i="33" s="1"/>
  <c r="C6" i="33"/>
  <c r="C5" i="33"/>
  <c r="C3" i="33"/>
  <c r="D13" i="36" l="1"/>
  <c r="E12" i="36"/>
  <c r="E11" i="36"/>
  <c r="E13" i="36" l="1"/>
  <c r="D14" i="36"/>
  <c r="D15" i="36" l="1"/>
  <c r="E14" i="36"/>
  <c r="D16" i="36" l="1"/>
  <c r="E15" i="36"/>
  <c r="D17" i="36" l="1"/>
  <c r="E16" i="36"/>
  <c r="E17" i="36" l="1"/>
  <c r="D18" i="36"/>
  <c r="D19" i="36" l="1"/>
  <c r="E18" i="36"/>
  <c r="D20" i="36" l="1"/>
  <c r="E19" i="36"/>
  <c r="D21" i="36" l="1"/>
  <c r="E20" i="36"/>
  <c r="D22" i="36" l="1"/>
  <c r="E21" i="36"/>
  <c r="D23" i="36" l="1"/>
  <c r="E22" i="36"/>
  <c r="D24" i="36" l="1"/>
  <c r="E23" i="36"/>
  <c r="E24" i="36" l="1"/>
  <c r="D25" i="36"/>
  <c r="E25" i="36" l="1"/>
  <c r="D26" i="36"/>
  <c r="D27" i="36" l="1"/>
  <c r="E26" i="36"/>
  <c r="D28" i="36" l="1"/>
  <c r="E27" i="36"/>
  <c r="D29" i="36" l="1"/>
  <c r="E28" i="36"/>
  <c r="D30" i="36" l="1"/>
  <c r="E29" i="36"/>
  <c r="D31" i="36" l="1"/>
  <c r="E30" i="36"/>
  <c r="D32" i="36" l="1"/>
  <c r="E31" i="36"/>
  <c r="D33" i="36" l="1"/>
  <c r="E32" i="36"/>
  <c r="E33" i="36" l="1"/>
  <c r="D34" i="36"/>
  <c r="D35" i="36" l="1"/>
  <c r="E34" i="36"/>
  <c r="D36" i="36" l="1"/>
  <c r="E35" i="36"/>
  <c r="D37" i="36" l="1"/>
  <c r="E36" i="36"/>
  <c r="D38" i="36" l="1"/>
  <c r="E37" i="36"/>
  <c r="D39" i="36" l="1"/>
  <c r="E38" i="36"/>
  <c r="D40" i="36" l="1"/>
  <c r="E39" i="36"/>
  <c r="D41" i="36" l="1"/>
  <c r="E40" i="36"/>
  <c r="E41" i="36" l="1"/>
  <c r="D42" i="36"/>
  <c r="D43" i="36" l="1"/>
  <c r="E42" i="36"/>
  <c r="D44" i="36" l="1"/>
  <c r="E43" i="36"/>
  <c r="D45" i="36" l="1"/>
  <c r="E44" i="36"/>
  <c r="D46" i="36" l="1"/>
  <c r="E45" i="36"/>
  <c r="D47" i="36" l="1"/>
  <c r="E46" i="36"/>
  <c r="D48" i="36" l="1"/>
  <c r="E47" i="36"/>
  <c r="E48" i="36" l="1"/>
  <c r="D49" i="36"/>
  <c r="D50" i="36" l="1"/>
  <c r="E49" i="36"/>
  <c r="D51" i="36" l="1"/>
  <c r="E50" i="36"/>
  <c r="D52" i="36" l="1"/>
  <c r="E51" i="36"/>
  <c r="D53" i="36" l="1"/>
  <c r="E52" i="36"/>
  <c r="E53" i="36" l="1"/>
  <c r="D54" i="36"/>
  <c r="D55" i="36" l="1"/>
  <c r="E54" i="36"/>
  <c r="D56" i="36" l="1"/>
  <c r="E55" i="36"/>
  <c r="D57" i="36" l="1"/>
  <c r="E56" i="36"/>
  <c r="D58" i="36" l="1"/>
  <c r="E57" i="36"/>
  <c r="D59" i="36" l="1"/>
  <c r="E58" i="36"/>
  <c r="D60" i="36" l="1"/>
  <c r="E59" i="36"/>
  <c r="D61" i="36" l="1"/>
  <c r="E60" i="36"/>
  <c r="D62" i="36" l="1"/>
  <c r="E61" i="36"/>
  <c r="D63" i="36" l="1"/>
  <c r="E62" i="36"/>
  <c r="D64" i="36" l="1"/>
  <c r="E63" i="36"/>
  <c r="D65" i="36" l="1"/>
  <c r="E64" i="36"/>
  <c r="D66" i="36" l="1"/>
  <c r="E65" i="36"/>
  <c r="D67" i="36" l="1"/>
  <c r="E66" i="36"/>
  <c r="D68" i="36" l="1"/>
  <c r="E67" i="36"/>
  <c r="D69" i="36" l="1"/>
  <c r="E68" i="36"/>
  <c r="D70" i="36" l="1"/>
  <c r="E69" i="36"/>
  <c r="D71" i="36" l="1"/>
  <c r="E70" i="36"/>
  <c r="D72" i="36" l="1"/>
  <c r="E71" i="36"/>
  <c r="D73" i="36" l="1"/>
  <c r="E72" i="36"/>
  <c r="D74" i="36" l="1"/>
  <c r="E73" i="36"/>
  <c r="D75" i="36" l="1"/>
  <c r="E74" i="36"/>
  <c r="D76" i="36" l="1"/>
  <c r="E75" i="36"/>
  <c r="D77" i="36" l="1"/>
  <c r="E76" i="36"/>
  <c r="D78" i="36" l="1"/>
  <c r="E77" i="36"/>
  <c r="D79" i="36" l="1"/>
  <c r="E78" i="36"/>
  <c r="D80" i="36" l="1"/>
  <c r="E79" i="36"/>
  <c r="D81" i="36" l="1"/>
  <c r="E80" i="36"/>
  <c r="D82" i="36" l="1"/>
  <c r="E81" i="36"/>
  <c r="D83" i="36" l="1"/>
  <c r="E82" i="36"/>
  <c r="D84" i="36" l="1"/>
  <c r="E83" i="36"/>
  <c r="D85" i="36" l="1"/>
  <c r="E84" i="36"/>
  <c r="D86" i="36" l="1"/>
  <c r="E85" i="36"/>
  <c r="D87" i="36" l="1"/>
  <c r="E86" i="36"/>
  <c r="D88" i="36" l="1"/>
  <c r="E87" i="36"/>
  <c r="D89" i="36" l="1"/>
  <c r="E88" i="36"/>
  <c r="D90" i="36" l="1"/>
  <c r="E89" i="36"/>
  <c r="D91" i="36" l="1"/>
  <c r="E90" i="36"/>
  <c r="D92" i="36" l="1"/>
  <c r="E91" i="36"/>
  <c r="D93" i="36" l="1"/>
  <c r="E92" i="36"/>
  <c r="D94" i="36" l="1"/>
  <c r="E93" i="36"/>
  <c r="D18" i="27"/>
  <c r="E18" i="27" s="1"/>
  <c r="F16" i="27"/>
  <c r="E16" i="27"/>
  <c r="E9" i="27"/>
  <c r="D10" i="27" s="1"/>
  <c r="E10" i="27" s="1"/>
  <c r="D11" i="27" s="1"/>
  <c r="E11" i="27" s="1"/>
  <c r="D12" i="27" s="1"/>
  <c r="E12" i="27" s="1"/>
  <c r="D13" i="27" s="1"/>
  <c r="E13" i="27" s="1"/>
  <c r="D14" i="27" s="1"/>
  <c r="E14" i="27" s="1"/>
  <c r="D15" i="27" s="1"/>
  <c r="E15" i="27" s="1"/>
  <c r="F8" i="27"/>
  <c r="E8" i="27"/>
  <c r="D4" i="27"/>
  <c r="E4" i="27" s="1"/>
  <c r="D5" i="27" s="1"/>
  <c r="E5" i="27" s="1"/>
  <c r="D6" i="27" s="1"/>
  <c r="E6" i="27" s="1"/>
  <c r="D7" i="27" s="1"/>
  <c r="E7" i="27" s="1"/>
  <c r="E3" i="27"/>
  <c r="F2" i="27"/>
  <c r="E2" i="27"/>
  <c r="E15" i="26"/>
  <c r="D16" i="26" s="1"/>
  <c r="E16" i="26" s="1"/>
  <c r="F14" i="26"/>
  <c r="E14" i="26"/>
  <c r="D10" i="26"/>
  <c r="E10" i="26" s="1"/>
  <c r="D11" i="26" s="1"/>
  <c r="E11" i="26" s="1"/>
  <c r="D12" i="26" s="1"/>
  <c r="E12" i="26" s="1"/>
  <c r="D13" i="26" s="1"/>
  <c r="E13" i="26" s="1"/>
  <c r="E9" i="26"/>
  <c r="F8" i="26"/>
  <c r="E8" i="26"/>
  <c r="D4" i="26"/>
  <c r="E4" i="26" s="1"/>
  <c r="D5" i="26" s="1"/>
  <c r="E5" i="26" s="1"/>
  <c r="D6" i="26" s="1"/>
  <c r="E6" i="26" s="1"/>
  <c r="D7" i="26" s="1"/>
  <c r="E7" i="26" s="1"/>
  <c r="E3" i="26"/>
  <c r="F2" i="26"/>
  <c r="E2" i="26"/>
  <c r="D16" i="25"/>
  <c r="E16" i="25" s="1"/>
  <c r="F14" i="25"/>
  <c r="E14" i="25"/>
  <c r="E9" i="25"/>
  <c r="D10" i="25" s="1"/>
  <c r="E10" i="25" s="1"/>
  <c r="D11" i="25" s="1"/>
  <c r="E11" i="25" s="1"/>
  <c r="D12" i="25" s="1"/>
  <c r="E12" i="25" s="1"/>
  <c r="D13" i="25" s="1"/>
  <c r="E13" i="25" s="1"/>
  <c r="F8" i="25"/>
  <c r="E8" i="25"/>
  <c r="E3" i="25"/>
  <c r="D4" i="25" s="1"/>
  <c r="E4" i="25" s="1"/>
  <c r="D5" i="25" s="1"/>
  <c r="E5" i="25" s="1"/>
  <c r="D6" i="25" s="1"/>
  <c r="E6" i="25" s="1"/>
  <c r="D7" i="25" s="1"/>
  <c r="E7" i="25" s="1"/>
  <c r="F2" i="25"/>
  <c r="E2" i="25"/>
  <c r="D17" i="24"/>
  <c r="E17" i="24" s="1"/>
  <c r="D18" i="24" s="1"/>
  <c r="E18" i="24" s="1"/>
  <c r="E15" i="24" s="1"/>
  <c r="F15" i="24"/>
  <c r="E10" i="24"/>
  <c r="D11" i="24" s="1"/>
  <c r="E11" i="24" s="1"/>
  <c r="D12" i="24" s="1"/>
  <c r="E12" i="24" s="1"/>
  <c r="D13" i="24" s="1"/>
  <c r="E13" i="24" s="1"/>
  <c r="D14" i="24" s="1"/>
  <c r="E14" i="24" s="1"/>
  <c r="E9" i="24" s="1"/>
  <c r="F9" i="24"/>
  <c r="E3" i="24"/>
  <c r="D4" i="24" s="1"/>
  <c r="E4" i="24" s="1"/>
  <c r="D5" i="24" s="1"/>
  <c r="E5" i="24" s="1"/>
  <c r="D7" i="24" s="1"/>
  <c r="E7" i="24" s="1"/>
  <c r="D6" i="24" s="1"/>
  <c r="E6" i="24" s="1"/>
  <c r="D8" i="24" s="1"/>
  <c r="E8" i="24" s="1"/>
  <c r="E2" i="24" s="1"/>
  <c r="F2" i="24"/>
  <c r="E16" i="23"/>
  <c r="D17" i="23" s="1"/>
  <c r="E17" i="23" s="1"/>
  <c r="E14" i="23" s="1"/>
  <c r="F14" i="23"/>
  <c r="E10" i="23"/>
  <c r="D11" i="23" s="1"/>
  <c r="E11" i="23" s="1"/>
  <c r="D12" i="23" s="1"/>
  <c r="E12" i="23" s="1"/>
  <c r="D13" i="23" s="1"/>
  <c r="E13" i="23" s="1"/>
  <c r="E9" i="23" s="1"/>
  <c r="F9" i="23"/>
  <c r="D4" i="23"/>
  <c r="E4" i="23" s="1"/>
  <c r="D5" i="23" s="1"/>
  <c r="E5" i="23" s="1"/>
  <c r="D6" i="23" s="1"/>
  <c r="E6" i="23" s="1"/>
  <c r="D7" i="23" s="1"/>
  <c r="E7" i="23" s="1"/>
  <c r="D8" i="23" s="1"/>
  <c r="E8" i="23" s="1"/>
  <c r="E2" i="23" s="1"/>
  <c r="E3" i="23"/>
  <c r="F2" i="23"/>
  <c r="D49" i="22"/>
  <c r="E49" i="22" s="1"/>
  <c r="D50" i="22" s="1"/>
  <c r="E50" i="22" s="1"/>
  <c r="E47" i="22" s="1"/>
  <c r="F47" i="22"/>
  <c r="E10" i="22"/>
  <c r="D11" i="22" s="1"/>
  <c r="E11" i="22" s="1"/>
  <c r="D12" i="22" s="1"/>
  <c r="E12" i="22" s="1"/>
  <c r="D13" i="22" s="1"/>
  <c r="E13" i="22" s="1"/>
  <c r="D14" i="22" s="1"/>
  <c r="E14" i="22" s="1"/>
  <c r="D15" i="22" s="1"/>
  <c r="E15" i="22" s="1"/>
  <c r="D16" i="22" s="1"/>
  <c r="E16" i="22" s="1"/>
  <c r="D17" i="22" s="1"/>
  <c r="E17" i="22" s="1"/>
  <c r="D18" i="22" s="1"/>
  <c r="E18" i="22" s="1"/>
  <c r="D19" i="22" s="1"/>
  <c r="E19" i="22" s="1"/>
  <c r="D20" i="22" s="1"/>
  <c r="E20" i="22" s="1"/>
  <c r="D21" i="22" s="1"/>
  <c r="E21" i="22" s="1"/>
  <c r="D22" i="22" s="1"/>
  <c r="E22" i="22" s="1"/>
  <c r="D23" i="22" s="1"/>
  <c r="E23" i="22" s="1"/>
  <c r="D24" i="22" s="1"/>
  <c r="E24" i="22" s="1"/>
  <c r="D25" i="22" s="1"/>
  <c r="E25" i="22" s="1"/>
  <c r="D26" i="22" s="1"/>
  <c r="E26" i="22" s="1"/>
  <c r="D27" i="22" s="1"/>
  <c r="E27" i="22" s="1"/>
  <c r="D28" i="22" s="1"/>
  <c r="E28" i="22" s="1"/>
  <c r="D29" i="22" s="1"/>
  <c r="E29" i="22" s="1"/>
  <c r="D30" i="22" s="1"/>
  <c r="E30" i="22" s="1"/>
  <c r="D31" i="22" s="1"/>
  <c r="E31" i="22" s="1"/>
  <c r="D32" i="22" s="1"/>
  <c r="E32" i="22" s="1"/>
  <c r="D33" i="22" s="1"/>
  <c r="E33" i="22" s="1"/>
  <c r="D34" i="22" s="1"/>
  <c r="E34" i="22" s="1"/>
  <c r="D35" i="22" s="1"/>
  <c r="E35" i="22" s="1"/>
  <c r="D36" i="22" s="1"/>
  <c r="E36" i="22" s="1"/>
  <c r="D37" i="22" s="1"/>
  <c r="E37" i="22" s="1"/>
  <c r="D38" i="22" s="1"/>
  <c r="E38" i="22" s="1"/>
  <c r="D39" i="22" s="1"/>
  <c r="E39" i="22" s="1"/>
  <c r="D40" i="22" s="1"/>
  <c r="E40" i="22" s="1"/>
  <c r="D41" i="22" s="1"/>
  <c r="E41" i="22" s="1"/>
  <c r="D42" i="22" s="1"/>
  <c r="E42" i="22" s="1"/>
  <c r="D43" i="22" s="1"/>
  <c r="E43" i="22" s="1"/>
  <c r="D44" i="22" s="1"/>
  <c r="E44" i="22" s="1"/>
  <c r="D45" i="22" s="1"/>
  <c r="E45" i="22" s="1"/>
  <c r="D46" i="22" s="1"/>
  <c r="E46" i="22" s="1"/>
  <c r="E9" i="22" s="1"/>
  <c r="F9" i="22"/>
  <c r="E3" i="22"/>
  <c r="D4" i="22" s="1"/>
  <c r="E4" i="22" s="1"/>
  <c r="D5" i="22" s="1"/>
  <c r="E5" i="22" s="1"/>
  <c r="D7" i="22" s="1"/>
  <c r="E7" i="22" s="1"/>
  <c r="D6" i="22" s="1"/>
  <c r="E6" i="22" s="1"/>
  <c r="D8" i="22" s="1"/>
  <c r="E8" i="22" s="1"/>
  <c r="E2" i="22" s="1"/>
  <c r="F2" i="22"/>
  <c r="D95" i="36" l="1"/>
  <c r="E95" i="36" s="1"/>
  <c r="E94" i="36"/>
  <c r="E14" i="21"/>
  <c r="F12" i="21"/>
  <c r="E12" i="21"/>
  <c r="E9" i="21"/>
  <c r="D10" i="21" s="1"/>
  <c r="E10" i="21" s="1"/>
  <c r="D11" i="21" s="1"/>
  <c r="E11" i="21" s="1"/>
  <c r="F8" i="21"/>
  <c r="E8" i="21"/>
  <c r="D4" i="21"/>
  <c r="E4" i="21" s="1"/>
  <c r="D5" i="21" s="1"/>
  <c r="E5" i="21" s="1"/>
  <c r="D6" i="21" s="1"/>
  <c r="E6" i="21" s="1"/>
  <c r="D7" i="21" s="1"/>
  <c r="E7" i="21" s="1"/>
  <c r="E3" i="21"/>
  <c r="F2" i="21"/>
  <c r="E2" i="21"/>
  <c r="E102" i="20"/>
  <c r="E101" i="20"/>
  <c r="D97" i="20"/>
  <c r="E97" i="20" s="1"/>
  <c r="D98" i="20" s="1"/>
  <c r="E98" i="20" s="1"/>
  <c r="E96" i="20"/>
  <c r="E91" i="20"/>
  <c r="D92" i="20" s="1"/>
  <c r="E92" i="20" s="1"/>
  <c r="D93" i="20" s="1"/>
  <c r="E93" i="20" s="1"/>
  <c r="D94" i="20" s="1"/>
  <c r="E94" i="20" s="1"/>
  <c r="E85" i="20"/>
  <c r="E84" i="20"/>
  <c r="E79" i="20"/>
  <c r="D80" i="20" s="1"/>
  <c r="E80" i="20" s="1"/>
  <c r="D81" i="20" s="1"/>
  <c r="E81" i="20" s="1"/>
  <c r="E74" i="20"/>
  <c r="D75" i="20" s="1"/>
  <c r="E75" i="20" s="1"/>
  <c r="D76" i="20" s="1"/>
  <c r="E76" i="20" s="1"/>
  <c r="D77" i="20" s="1"/>
  <c r="E77" i="20" s="1"/>
  <c r="E68" i="20"/>
  <c r="E67" i="20"/>
  <c r="D63" i="20"/>
  <c r="E63" i="20" s="1"/>
  <c r="D64" i="20" s="1"/>
  <c r="E64" i="20" s="1"/>
  <c r="E62" i="20"/>
  <c r="E57" i="20"/>
  <c r="D58" i="20" s="1"/>
  <c r="E58" i="20" s="1"/>
  <c r="D59" i="20" s="1"/>
  <c r="E59" i="20" s="1"/>
  <c r="D60" i="20" s="1"/>
  <c r="E60" i="20" s="1"/>
  <c r="E51" i="20"/>
  <c r="E50" i="20"/>
  <c r="E45" i="20"/>
  <c r="D46" i="20" s="1"/>
  <c r="E46" i="20" s="1"/>
  <c r="D47" i="20" s="1"/>
  <c r="E47" i="20" s="1"/>
  <c r="E40" i="20"/>
  <c r="D41" i="20" s="1"/>
  <c r="E41" i="20" s="1"/>
  <c r="D42" i="20" s="1"/>
  <c r="E42" i="20" s="1"/>
  <c r="D43" i="20" s="1"/>
  <c r="E43" i="20" s="1"/>
  <c r="E35" i="20"/>
  <c r="E34" i="20"/>
  <c r="E28" i="20"/>
  <c r="D29" i="20" s="1"/>
  <c r="E29" i="20" s="1"/>
  <c r="D30" i="20" s="1"/>
  <c r="E30" i="20" s="1"/>
  <c r="D31" i="20" s="1"/>
  <c r="E31" i="20" s="1"/>
  <c r="E23" i="20"/>
  <c r="D24" i="20" s="1"/>
  <c r="E24" i="20" s="1"/>
  <c r="D25" i="20" s="1"/>
  <c r="E25" i="20" s="1"/>
  <c r="D26" i="20" s="1"/>
  <c r="E26" i="20" s="1"/>
  <c r="D17" i="20"/>
  <c r="E17" i="20" s="1"/>
  <c r="E14" i="20" s="1"/>
  <c r="E16" i="20"/>
  <c r="F14" i="20"/>
  <c r="E10" i="20"/>
  <c r="D11" i="20" s="1"/>
  <c r="E11" i="20" s="1"/>
  <c r="D12" i="20" s="1"/>
  <c r="E12" i="20" s="1"/>
  <c r="D13" i="20" s="1"/>
  <c r="E13" i="20" s="1"/>
  <c r="F9" i="20"/>
  <c r="E9" i="20"/>
  <c r="E3" i="20"/>
  <c r="D4" i="20" s="1"/>
  <c r="E4" i="20" s="1"/>
  <c r="D5" i="20" s="1"/>
  <c r="E5" i="20" s="1"/>
  <c r="D6" i="20" s="1"/>
  <c r="E6" i="20" s="1"/>
  <c r="D7" i="20" s="1"/>
  <c r="E7" i="20" s="1"/>
  <c r="D8" i="20" s="1"/>
  <c r="E8" i="20" s="1"/>
  <c r="E2" i="20" s="1"/>
  <c r="F2" i="20"/>
  <c r="E107" i="19"/>
  <c r="E106" i="19"/>
  <c r="E101" i="19"/>
  <c r="D102" i="19" s="1"/>
  <c r="E102" i="19" s="1"/>
  <c r="D103" i="19" s="1"/>
  <c r="E103" i="19" s="1"/>
  <c r="E96" i="19"/>
  <c r="D97" i="19" s="1"/>
  <c r="E97" i="19" s="1"/>
  <c r="D98" i="19" s="1"/>
  <c r="E98" i="19" s="1"/>
  <c r="D99" i="19" s="1"/>
  <c r="E99" i="19" s="1"/>
  <c r="E90" i="19"/>
  <c r="E89" i="19"/>
  <c r="D85" i="19"/>
  <c r="E85" i="19" s="1"/>
  <c r="D86" i="19" s="1"/>
  <c r="E86" i="19" s="1"/>
  <c r="E84" i="19"/>
  <c r="E79" i="19"/>
  <c r="D80" i="19" s="1"/>
  <c r="E80" i="19" s="1"/>
  <c r="D81" i="19" s="1"/>
  <c r="E81" i="19" s="1"/>
  <c r="D82" i="19" s="1"/>
  <c r="E82" i="19" s="1"/>
  <c r="E73" i="19"/>
  <c r="E72" i="19"/>
  <c r="D68" i="19"/>
  <c r="E68" i="19" s="1"/>
  <c r="D69" i="19" s="1"/>
  <c r="E69" i="19" s="1"/>
  <c r="E67" i="19"/>
  <c r="E62" i="19"/>
  <c r="D63" i="19" s="1"/>
  <c r="E63" i="19" s="1"/>
  <c r="D64" i="19" s="1"/>
  <c r="E64" i="19" s="1"/>
  <c r="D65" i="19" s="1"/>
  <c r="E65" i="19" s="1"/>
  <c r="E56" i="19"/>
  <c r="E55" i="19"/>
  <c r="D51" i="19"/>
  <c r="E51" i="19" s="1"/>
  <c r="D52" i="19" s="1"/>
  <c r="E52" i="19" s="1"/>
  <c r="E50" i="19"/>
  <c r="E45" i="19"/>
  <c r="D46" i="19" s="1"/>
  <c r="E46" i="19" s="1"/>
  <c r="D47" i="19" s="1"/>
  <c r="E47" i="19" s="1"/>
  <c r="D48" i="19" s="1"/>
  <c r="E48" i="19" s="1"/>
  <c r="E40" i="19"/>
  <c r="E39" i="19"/>
  <c r="D34" i="19"/>
  <c r="E34" i="19" s="1"/>
  <c r="D35" i="19" s="1"/>
  <c r="E35" i="19" s="1"/>
  <c r="D36" i="19" s="1"/>
  <c r="E36" i="19" s="1"/>
  <c r="E33" i="19"/>
  <c r="E28" i="19"/>
  <c r="D29" i="19" s="1"/>
  <c r="E29" i="19" s="1"/>
  <c r="D30" i="19" s="1"/>
  <c r="E30" i="19" s="1"/>
  <c r="D31" i="19" s="1"/>
  <c r="E31" i="19" s="1"/>
  <c r="E21" i="19"/>
  <c r="D22" i="19" s="1"/>
  <c r="E22" i="19" s="1"/>
  <c r="E19" i="19" s="1"/>
  <c r="F19" i="19"/>
  <c r="E10" i="19"/>
  <c r="D11" i="19" s="1"/>
  <c r="E11" i="19" s="1"/>
  <c r="D12" i="19" s="1"/>
  <c r="E12" i="19" s="1"/>
  <c r="D13" i="19" s="1"/>
  <c r="E13" i="19" s="1"/>
  <c r="D14" i="19" s="1"/>
  <c r="E14" i="19" s="1"/>
  <c r="D15" i="19" s="1"/>
  <c r="E15" i="19" s="1"/>
  <c r="D16" i="19" s="1"/>
  <c r="E16" i="19" s="1"/>
  <c r="D17" i="19" s="1"/>
  <c r="E17" i="19" s="1"/>
  <c r="D18" i="19" s="1"/>
  <c r="E18" i="19" s="1"/>
  <c r="E9" i="19" s="1"/>
  <c r="F9" i="19"/>
  <c r="E3" i="19"/>
  <c r="D4" i="19" s="1"/>
  <c r="E4" i="19" s="1"/>
  <c r="D5" i="19" s="1"/>
  <c r="E5" i="19" s="1"/>
  <c r="D6" i="19" s="1"/>
  <c r="E6" i="19" s="1"/>
  <c r="D7" i="19" s="1"/>
  <c r="E7" i="19" s="1"/>
  <c r="D8" i="19" s="1"/>
  <c r="E8" i="19" s="1"/>
  <c r="E2" i="19" s="1"/>
  <c r="F2" i="19"/>
  <c r="E102" i="18"/>
  <c r="E101" i="18"/>
  <c r="D97" i="18"/>
  <c r="E97" i="18" s="1"/>
  <c r="D98" i="18" s="1"/>
  <c r="E98" i="18" s="1"/>
  <c r="E96" i="18"/>
  <c r="E91" i="18"/>
  <c r="D92" i="18" s="1"/>
  <c r="E92" i="18" s="1"/>
  <c r="D93" i="18" s="1"/>
  <c r="E93" i="18" s="1"/>
  <c r="D94" i="18" s="1"/>
  <c r="E94" i="18" s="1"/>
  <c r="E85" i="18"/>
  <c r="E84" i="18"/>
  <c r="E79" i="18"/>
  <c r="D80" i="18" s="1"/>
  <c r="E80" i="18" s="1"/>
  <c r="D81" i="18" s="1"/>
  <c r="E81" i="18" s="1"/>
  <c r="E74" i="18"/>
  <c r="D75" i="18" s="1"/>
  <c r="E75" i="18" s="1"/>
  <c r="D76" i="18" s="1"/>
  <c r="E76" i="18" s="1"/>
  <c r="D77" i="18" s="1"/>
  <c r="E77" i="18" s="1"/>
  <c r="E68" i="18"/>
  <c r="E67" i="18"/>
  <c r="D63" i="18"/>
  <c r="E63" i="18" s="1"/>
  <c r="D64" i="18" s="1"/>
  <c r="E64" i="18" s="1"/>
  <c r="E62" i="18"/>
  <c r="E57" i="18"/>
  <c r="D58" i="18" s="1"/>
  <c r="E58" i="18" s="1"/>
  <c r="D59" i="18" s="1"/>
  <c r="E59" i="18" s="1"/>
  <c r="D60" i="18" s="1"/>
  <c r="E60" i="18" s="1"/>
  <c r="E51" i="18"/>
  <c r="E50" i="18"/>
  <c r="D46" i="18"/>
  <c r="E46" i="18" s="1"/>
  <c r="D47" i="18" s="1"/>
  <c r="E47" i="18" s="1"/>
  <c r="E45" i="18"/>
  <c r="E40" i="18"/>
  <c r="D41" i="18" s="1"/>
  <c r="E41" i="18" s="1"/>
  <c r="D42" i="18" s="1"/>
  <c r="E42" i="18" s="1"/>
  <c r="D43" i="18" s="1"/>
  <c r="E43" i="18" s="1"/>
  <c r="E35" i="18"/>
  <c r="E34" i="18"/>
  <c r="D29" i="18"/>
  <c r="E29" i="18" s="1"/>
  <c r="D30" i="18" s="1"/>
  <c r="E30" i="18" s="1"/>
  <c r="D31" i="18" s="1"/>
  <c r="E31" i="18" s="1"/>
  <c r="E28" i="18"/>
  <c r="E23" i="18"/>
  <c r="D24" i="18" s="1"/>
  <c r="E24" i="18" s="1"/>
  <c r="D25" i="18" s="1"/>
  <c r="E25" i="18" s="1"/>
  <c r="D26" i="18" s="1"/>
  <c r="E26" i="18" s="1"/>
  <c r="D17" i="18"/>
  <c r="E17" i="18" s="1"/>
  <c r="E14" i="18" s="1"/>
  <c r="E16" i="18"/>
  <c r="F14" i="18"/>
  <c r="E10" i="18"/>
  <c r="D11" i="18" s="1"/>
  <c r="E11" i="18" s="1"/>
  <c r="D12" i="18" s="1"/>
  <c r="E12" i="18" s="1"/>
  <c r="D13" i="18" s="1"/>
  <c r="E13" i="18" s="1"/>
  <c r="E9" i="18" s="1"/>
  <c r="F9" i="18"/>
  <c r="D4" i="18"/>
  <c r="E4" i="18" s="1"/>
  <c r="D5" i="18" s="1"/>
  <c r="E5" i="18" s="1"/>
  <c r="D6" i="18" s="1"/>
  <c r="E6" i="18" s="1"/>
  <c r="D7" i="18" s="1"/>
  <c r="E7" i="18" s="1"/>
  <c r="D8" i="18" s="1"/>
  <c r="E8" i="18" s="1"/>
  <c r="E2" i="18" s="1"/>
  <c r="E3" i="18"/>
  <c r="F2" i="18"/>
  <c r="E116" i="17"/>
  <c r="E115" i="17"/>
  <c r="E110" i="17"/>
  <c r="D111" i="17" s="1"/>
  <c r="E111" i="17" s="1"/>
  <c r="D112" i="17" s="1"/>
  <c r="E112" i="17" s="1"/>
  <c r="E105" i="17"/>
  <c r="D106" i="17" s="1"/>
  <c r="E106" i="17" s="1"/>
  <c r="D107" i="17" s="1"/>
  <c r="E107" i="17" s="1"/>
  <c r="D108" i="17" s="1"/>
  <c r="E108" i="17" s="1"/>
  <c r="E99" i="17"/>
  <c r="E98" i="17"/>
  <c r="D94" i="17"/>
  <c r="E94" i="17" s="1"/>
  <c r="D95" i="17" s="1"/>
  <c r="E95" i="17" s="1"/>
  <c r="E93" i="17"/>
  <c r="E88" i="17"/>
  <c r="D89" i="17" s="1"/>
  <c r="E89" i="17" s="1"/>
  <c r="D90" i="17" s="1"/>
  <c r="E90" i="17" s="1"/>
  <c r="D91" i="17" s="1"/>
  <c r="E91" i="17" s="1"/>
  <c r="E82" i="17"/>
  <c r="E81" i="17"/>
  <c r="E76" i="17"/>
  <c r="D77" i="17" s="1"/>
  <c r="E77" i="17" s="1"/>
  <c r="D78" i="17" s="1"/>
  <c r="E78" i="17" s="1"/>
  <c r="E71" i="17"/>
  <c r="D72" i="17" s="1"/>
  <c r="E72" i="17" s="1"/>
  <c r="D73" i="17" s="1"/>
  <c r="E73" i="17" s="1"/>
  <c r="D74" i="17" s="1"/>
  <c r="E74" i="17" s="1"/>
  <c r="E65" i="17"/>
  <c r="E64" i="17"/>
  <c r="D60" i="17"/>
  <c r="E60" i="17" s="1"/>
  <c r="D61" i="17" s="1"/>
  <c r="E61" i="17" s="1"/>
  <c r="E59" i="17"/>
  <c r="E54" i="17"/>
  <c r="D55" i="17" s="1"/>
  <c r="E55" i="17" s="1"/>
  <c r="D56" i="17" s="1"/>
  <c r="E56" i="17" s="1"/>
  <c r="D57" i="17" s="1"/>
  <c r="E57" i="17" s="1"/>
  <c r="E49" i="17"/>
  <c r="E48" i="17"/>
  <c r="D43" i="17"/>
  <c r="E43" i="17" s="1"/>
  <c r="D44" i="17" s="1"/>
  <c r="E44" i="17" s="1"/>
  <c r="D45" i="17" s="1"/>
  <c r="E45" i="17" s="1"/>
  <c r="E42" i="17"/>
  <c r="E37" i="17"/>
  <c r="D38" i="17" s="1"/>
  <c r="E38" i="17" s="1"/>
  <c r="D39" i="17" s="1"/>
  <c r="E39" i="17" s="1"/>
  <c r="D40" i="17" s="1"/>
  <c r="E40" i="17" s="1"/>
  <c r="E30" i="17"/>
  <c r="D31" i="17" s="1"/>
  <c r="E31" i="17" s="1"/>
  <c r="E28" i="17" s="1"/>
  <c r="F28" i="17"/>
  <c r="E10" i="17"/>
  <c r="D11" i="17" s="1"/>
  <c r="E11" i="17" s="1"/>
  <c r="D12" i="17" s="1"/>
  <c r="E12" i="17" s="1"/>
  <c r="D13" i="17" s="1"/>
  <c r="E13" i="17" s="1"/>
  <c r="D14" i="17" s="1"/>
  <c r="E14" i="17" s="1"/>
  <c r="D15" i="17" s="1"/>
  <c r="E15" i="17" s="1"/>
  <c r="D16" i="17" s="1"/>
  <c r="E16" i="17" s="1"/>
  <c r="D17" i="17" s="1"/>
  <c r="E17" i="17" s="1"/>
  <c r="D18" i="17" s="1"/>
  <c r="E18" i="17" s="1"/>
  <c r="D19" i="17" s="1"/>
  <c r="E19" i="17" s="1"/>
  <c r="D20" i="17" s="1"/>
  <c r="E20" i="17" s="1"/>
  <c r="D21" i="17" s="1"/>
  <c r="E21" i="17" s="1"/>
  <c r="D22" i="17" s="1"/>
  <c r="E22" i="17" s="1"/>
  <c r="D23" i="17" s="1"/>
  <c r="E23" i="17" s="1"/>
  <c r="D24" i="17" s="1"/>
  <c r="E24" i="17" s="1"/>
  <c r="D25" i="17" s="1"/>
  <c r="E25" i="17" s="1"/>
  <c r="D26" i="17" s="1"/>
  <c r="E26" i="17" s="1"/>
  <c r="D27" i="17" s="1"/>
  <c r="E27" i="17" s="1"/>
  <c r="E9" i="17" s="1"/>
  <c r="F9" i="17"/>
  <c r="E3" i="17"/>
  <c r="D4" i="17" s="1"/>
  <c r="E4" i="17" s="1"/>
  <c r="D5" i="17" s="1"/>
  <c r="E5" i="17" s="1"/>
  <c r="D6" i="17" s="1"/>
  <c r="E6" i="17" s="1"/>
  <c r="D7" i="17" s="1"/>
  <c r="E7" i="17" s="1"/>
  <c r="D8" i="17" s="1"/>
  <c r="E8" i="17" s="1"/>
  <c r="E2" i="17" s="1"/>
  <c r="F2" i="17"/>
  <c r="E115" i="16"/>
  <c r="E114" i="16"/>
  <c r="E109" i="16"/>
  <c r="D110" i="16" s="1"/>
  <c r="E110" i="16" s="1"/>
  <c r="D111" i="16" s="1"/>
  <c r="E111" i="16" s="1"/>
  <c r="E104" i="16"/>
  <c r="D105" i="16" s="1"/>
  <c r="E105" i="16" s="1"/>
  <c r="D106" i="16" s="1"/>
  <c r="E106" i="16" s="1"/>
  <c r="D107" i="16" s="1"/>
  <c r="E107" i="16" s="1"/>
  <c r="E98" i="16"/>
  <c r="E97" i="16"/>
  <c r="E92" i="16"/>
  <c r="D93" i="16" s="1"/>
  <c r="E93" i="16" s="1"/>
  <c r="D94" i="16" s="1"/>
  <c r="E94" i="16" s="1"/>
  <c r="E87" i="16"/>
  <c r="D88" i="16" s="1"/>
  <c r="E88" i="16" s="1"/>
  <c r="D89" i="16" s="1"/>
  <c r="E89" i="16" s="1"/>
  <c r="D90" i="16" s="1"/>
  <c r="E90" i="16" s="1"/>
  <c r="E81" i="16"/>
  <c r="E80" i="16"/>
  <c r="D76" i="16"/>
  <c r="E76" i="16" s="1"/>
  <c r="D77" i="16" s="1"/>
  <c r="E77" i="16" s="1"/>
  <c r="E75" i="16"/>
  <c r="E70" i="16"/>
  <c r="D71" i="16" s="1"/>
  <c r="E71" i="16" s="1"/>
  <c r="D72" i="16" s="1"/>
  <c r="E72" i="16" s="1"/>
  <c r="D73" i="16" s="1"/>
  <c r="E73" i="16" s="1"/>
  <c r="E64" i="16"/>
  <c r="E63" i="16"/>
  <c r="D59" i="16"/>
  <c r="E59" i="16" s="1"/>
  <c r="D60" i="16" s="1"/>
  <c r="E60" i="16" s="1"/>
  <c r="E58" i="16"/>
  <c r="E53" i="16"/>
  <c r="D54" i="16" s="1"/>
  <c r="E54" i="16" s="1"/>
  <c r="D55" i="16" s="1"/>
  <c r="E55" i="16" s="1"/>
  <c r="D56" i="16" s="1"/>
  <c r="E56" i="16" s="1"/>
  <c r="E48" i="16"/>
  <c r="E47" i="16"/>
  <c r="D42" i="16"/>
  <c r="E42" i="16" s="1"/>
  <c r="D43" i="16" s="1"/>
  <c r="E43" i="16" s="1"/>
  <c r="D44" i="16" s="1"/>
  <c r="E44" i="16" s="1"/>
  <c r="E41" i="16"/>
  <c r="E36" i="16"/>
  <c r="D37" i="16" s="1"/>
  <c r="E37" i="16" s="1"/>
  <c r="D38" i="16" s="1"/>
  <c r="E38" i="16" s="1"/>
  <c r="D39" i="16" s="1"/>
  <c r="E39" i="16" s="1"/>
  <c r="D30" i="16"/>
  <c r="E30" i="16" s="1"/>
  <c r="E27" i="16" s="1"/>
  <c r="E29" i="16"/>
  <c r="F27" i="16"/>
  <c r="E10" i="16"/>
  <c r="D11" i="16" s="1"/>
  <c r="E11" i="16" s="1"/>
  <c r="D12" i="16" s="1"/>
  <c r="E12" i="16" s="1"/>
  <c r="D13" i="16" s="1"/>
  <c r="E13" i="16" s="1"/>
  <c r="D14" i="16" s="1"/>
  <c r="E14" i="16" s="1"/>
  <c r="D15" i="16" s="1"/>
  <c r="E15" i="16" s="1"/>
  <c r="D16" i="16" s="1"/>
  <c r="E16" i="16" s="1"/>
  <c r="D17" i="16" s="1"/>
  <c r="E17" i="16" s="1"/>
  <c r="D18" i="16" s="1"/>
  <c r="E18" i="16" s="1"/>
  <c r="D19" i="16" s="1"/>
  <c r="E19" i="16" s="1"/>
  <c r="D20" i="16" s="1"/>
  <c r="E20" i="16" s="1"/>
  <c r="D21" i="16" s="1"/>
  <c r="E21" i="16" s="1"/>
  <c r="D22" i="16" s="1"/>
  <c r="E22" i="16" s="1"/>
  <c r="D23" i="16" s="1"/>
  <c r="E23" i="16" s="1"/>
  <c r="D24" i="16" s="1"/>
  <c r="E24" i="16" s="1"/>
  <c r="D25" i="16" s="1"/>
  <c r="E25" i="16" s="1"/>
  <c r="D26" i="16" s="1"/>
  <c r="E26" i="16" s="1"/>
  <c r="E9" i="16" s="1"/>
  <c r="F9" i="16"/>
  <c r="E3" i="16"/>
  <c r="D4" i="16" s="1"/>
  <c r="E4" i="16" s="1"/>
  <c r="D5" i="16" s="1"/>
  <c r="E5" i="16" s="1"/>
  <c r="D6" i="16" s="1"/>
  <c r="E6" i="16" s="1"/>
  <c r="D7" i="16" s="1"/>
  <c r="E7" i="16" s="1"/>
  <c r="D8" i="16" s="1"/>
  <c r="E8" i="16" s="1"/>
  <c r="E2" i="16" s="1"/>
  <c r="F2" i="16"/>
  <c r="E56" i="14"/>
  <c r="E53" i="14" s="1"/>
  <c r="F53" i="14" s="1"/>
  <c r="E55" i="14"/>
  <c r="E10" i="14"/>
  <c r="D11" i="14" s="1"/>
  <c r="E11" i="14" s="1"/>
  <c r="D12" i="14" s="1"/>
  <c r="E12" i="14" s="1"/>
  <c r="D13" i="14" s="1"/>
  <c r="E13" i="14" s="1"/>
  <c r="D14" i="14" s="1"/>
  <c r="E14" i="14" s="1"/>
  <c r="D15" i="14" s="1"/>
  <c r="E15" i="14" s="1"/>
  <c r="D16" i="14" s="1"/>
  <c r="E16" i="14" s="1"/>
  <c r="D17" i="14" s="1"/>
  <c r="E17" i="14" s="1"/>
  <c r="D18" i="14" s="1"/>
  <c r="E18" i="14" s="1"/>
  <c r="D19" i="14" s="1"/>
  <c r="E19" i="14" s="1"/>
  <c r="D20" i="14" s="1"/>
  <c r="E20" i="14" s="1"/>
  <c r="D21" i="14" s="1"/>
  <c r="E21" i="14" s="1"/>
  <c r="D22" i="14" s="1"/>
  <c r="E22" i="14" s="1"/>
  <c r="D23" i="14" s="1"/>
  <c r="E23" i="14" s="1"/>
  <c r="D24" i="14" s="1"/>
  <c r="E24" i="14" s="1"/>
  <c r="D25" i="14" s="1"/>
  <c r="E25" i="14" s="1"/>
  <c r="D26" i="14" s="1"/>
  <c r="E26" i="14" s="1"/>
  <c r="D27" i="14" s="1"/>
  <c r="E27" i="14" s="1"/>
  <c r="D28" i="14" s="1"/>
  <c r="E28" i="14" s="1"/>
  <c r="D29" i="14" s="1"/>
  <c r="E29" i="14" s="1"/>
  <c r="D30" i="14" s="1"/>
  <c r="E30" i="14" s="1"/>
  <c r="D31" i="14" s="1"/>
  <c r="E31" i="14" s="1"/>
  <c r="D32" i="14" s="1"/>
  <c r="E32" i="14" s="1"/>
  <c r="D33" i="14" s="1"/>
  <c r="E33" i="14" s="1"/>
  <c r="D34" i="14" s="1"/>
  <c r="E34" i="14" s="1"/>
  <c r="D35" i="14" s="1"/>
  <c r="E35" i="14" s="1"/>
  <c r="D36" i="14" s="1"/>
  <c r="E36" i="14" s="1"/>
  <c r="D37" i="14" s="1"/>
  <c r="E37" i="14" s="1"/>
  <c r="D38" i="14" s="1"/>
  <c r="E38" i="14" s="1"/>
  <c r="D39" i="14" s="1"/>
  <c r="E39" i="14" s="1"/>
  <c r="D40" i="14" s="1"/>
  <c r="E40" i="14" s="1"/>
  <c r="D41" i="14" s="1"/>
  <c r="E41" i="14" s="1"/>
  <c r="D42" i="14" s="1"/>
  <c r="E42" i="14" s="1"/>
  <c r="D43" i="14" s="1"/>
  <c r="E43" i="14" s="1"/>
  <c r="D44" i="14" s="1"/>
  <c r="E44" i="14" s="1"/>
  <c r="D45" i="14" s="1"/>
  <c r="E45" i="14" s="1"/>
  <c r="D46" i="14" s="1"/>
  <c r="E46" i="14" s="1"/>
  <c r="D47" i="14" s="1"/>
  <c r="E47" i="14" s="1"/>
  <c r="D48" i="14" s="1"/>
  <c r="E48" i="14" s="1"/>
  <c r="D49" i="14" s="1"/>
  <c r="E49" i="14" s="1"/>
  <c r="D50" i="14" s="1"/>
  <c r="E50" i="14" s="1"/>
  <c r="D51" i="14" s="1"/>
  <c r="E51" i="14" s="1"/>
  <c r="D52" i="14" s="1"/>
  <c r="E52" i="14" s="1"/>
  <c r="E9" i="14" s="1"/>
  <c r="F9" i="14" s="1"/>
  <c r="E3" i="14"/>
  <c r="D4" i="14" s="1"/>
  <c r="E4" i="14" s="1"/>
  <c r="D5" i="14" s="1"/>
  <c r="E5" i="14" s="1"/>
  <c r="D6" i="14" s="1"/>
  <c r="E6" i="14" s="1"/>
  <c r="D7" i="14" s="1"/>
  <c r="E7" i="14" s="1"/>
  <c r="D8" i="14" s="1"/>
  <c r="E8" i="14" s="1"/>
  <c r="E2" i="14" s="1"/>
  <c r="F2" i="14" s="1"/>
  <c r="E71" i="13"/>
  <c r="E68" i="13" s="1"/>
  <c r="F68" i="13" s="1"/>
  <c r="E70" i="13"/>
  <c r="E10" i="13"/>
  <c r="D11" i="13" s="1"/>
  <c r="E11" i="13" s="1"/>
  <c r="D12" i="13" s="1"/>
  <c r="E12" i="13" s="1"/>
  <c r="D13" i="13" s="1"/>
  <c r="E13" i="13" s="1"/>
  <c r="D14" i="13" s="1"/>
  <c r="E14" i="13" s="1"/>
  <c r="D15" i="13" s="1"/>
  <c r="E15" i="13" s="1"/>
  <c r="D16" i="13" s="1"/>
  <c r="E16" i="13" s="1"/>
  <c r="D17" i="13" s="1"/>
  <c r="E17" i="13" s="1"/>
  <c r="D18" i="13" s="1"/>
  <c r="E18" i="13" s="1"/>
  <c r="D19" i="13" s="1"/>
  <c r="E19" i="13" s="1"/>
  <c r="D20" i="13" s="1"/>
  <c r="E20" i="13" s="1"/>
  <c r="D21" i="13" s="1"/>
  <c r="E21" i="13" s="1"/>
  <c r="D22" i="13" s="1"/>
  <c r="E22" i="13" s="1"/>
  <c r="D23" i="13" s="1"/>
  <c r="E23" i="13" s="1"/>
  <c r="D24" i="13" s="1"/>
  <c r="E24" i="13" s="1"/>
  <c r="D25" i="13" s="1"/>
  <c r="E25" i="13" s="1"/>
  <c r="D26" i="13" s="1"/>
  <c r="E26" i="13" s="1"/>
  <c r="D27" i="13" s="1"/>
  <c r="E27" i="13" s="1"/>
  <c r="D28" i="13" s="1"/>
  <c r="E28" i="13" s="1"/>
  <c r="D29" i="13" s="1"/>
  <c r="E29" i="13" s="1"/>
  <c r="D30" i="13" s="1"/>
  <c r="E30" i="13" s="1"/>
  <c r="D31" i="13" s="1"/>
  <c r="E31" i="13" s="1"/>
  <c r="D32" i="13" s="1"/>
  <c r="E32" i="13" s="1"/>
  <c r="D33" i="13" s="1"/>
  <c r="E33" i="13" s="1"/>
  <c r="D34" i="13" s="1"/>
  <c r="E34" i="13" s="1"/>
  <c r="D35" i="13" s="1"/>
  <c r="E35" i="13" s="1"/>
  <c r="D36" i="13" s="1"/>
  <c r="E36" i="13" s="1"/>
  <c r="D37" i="13" s="1"/>
  <c r="E37" i="13" s="1"/>
  <c r="D38" i="13" s="1"/>
  <c r="E38" i="13" s="1"/>
  <c r="D39" i="13" s="1"/>
  <c r="E39" i="13" s="1"/>
  <c r="D40" i="13" s="1"/>
  <c r="E40" i="13" s="1"/>
  <c r="D41" i="13" s="1"/>
  <c r="E41" i="13" s="1"/>
  <c r="D42" i="13" s="1"/>
  <c r="E42" i="13" s="1"/>
  <c r="D43" i="13" s="1"/>
  <c r="E43" i="13" s="1"/>
  <c r="D44" i="13" s="1"/>
  <c r="E44" i="13" s="1"/>
  <c r="D45" i="13" s="1"/>
  <c r="E45" i="13" s="1"/>
  <c r="D46" i="13" s="1"/>
  <c r="E46" i="13" s="1"/>
  <c r="D47" i="13" s="1"/>
  <c r="E47" i="13" s="1"/>
  <c r="D48" i="13" s="1"/>
  <c r="E48" i="13" s="1"/>
  <c r="D49" i="13" s="1"/>
  <c r="E49" i="13" s="1"/>
  <c r="D50" i="13" s="1"/>
  <c r="E50" i="13" s="1"/>
  <c r="D51" i="13" s="1"/>
  <c r="E51" i="13" s="1"/>
  <c r="D52" i="13" s="1"/>
  <c r="E52" i="13" s="1"/>
  <c r="D53" i="13" s="1"/>
  <c r="E53" i="13" s="1"/>
  <c r="D54" i="13" s="1"/>
  <c r="E54" i="13" s="1"/>
  <c r="D55" i="13" s="1"/>
  <c r="E55" i="13" s="1"/>
  <c r="D56" i="13" s="1"/>
  <c r="E56" i="13" s="1"/>
  <c r="D57" i="13" s="1"/>
  <c r="E57" i="13" s="1"/>
  <c r="D58" i="13" s="1"/>
  <c r="E58" i="13" s="1"/>
  <c r="D59" i="13" s="1"/>
  <c r="E59" i="13" s="1"/>
  <c r="D60" i="13" s="1"/>
  <c r="E60" i="13" s="1"/>
  <c r="D61" i="13" s="1"/>
  <c r="E61" i="13" s="1"/>
  <c r="D62" i="13" s="1"/>
  <c r="E62" i="13" s="1"/>
  <c r="D63" i="13" s="1"/>
  <c r="E63" i="13" s="1"/>
  <c r="D64" i="13" s="1"/>
  <c r="E64" i="13" s="1"/>
  <c r="D65" i="13" s="1"/>
  <c r="E65" i="13" s="1"/>
  <c r="D66" i="13" s="1"/>
  <c r="E66" i="13" s="1"/>
  <c r="D67" i="13" s="1"/>
  <c r="E67" i="13" s="1"/>
  <c r="E9" i="13" s="1"/>
  <c r="F9" i="13" s="1"/>
  <c r="D4" i="13"/>
  <c r="E4" i="13" s="1"/>
  <c r="D5" i="13" s="1"/>
  <c r="E5" i="13" s="1"/>
  <c r="D6" i="13" s="1"/>
  <c r="E6" i="13" s="1"/>
  <c r="D7" i="13" s="1"/>
  <c r="E7" i="13" s="1"/>
  <c r="D8" i="13" s="1"/>
  <c r="E8" i="13" s="1"/>
  <c r="E2" i="13" s="1"/>
  <c r="F2" i="13" s="1"/>
  <c r="E3" i="13"/>
  <c r="D50" i="12"/>
  <c r="E50" i="12" s="1"/>
  <c r="D51" i="12" s="1"/>
  <c r="E51" i="12" s="1"/>
  <c r="E10" i="12"/>
  <c r="D11" i="12" s="1"/>
  <c r="E11" i="12" s="1"/>
  <c r="D12" i="12" s="1"/>
  <c r="E12" i="12" s="1"/>
  <c r="D13" i="12" s="1"/>
  <c r="E13" i="12" s="1"/>
  <c r="D14" i="12" s="1"/>
  <c r="E14" i="12" s="1"/>
  <c r="D15" i="12" s="1"/>
  <c r="E15" i="12" s="1"/>
  <c r="D16" i="12" s="1"/>
  <c r="E16" i="12" s="1"/>
  <c r="D17" i="12" s="1"/>
  <c r="E17" i="12" s="1"/>
  <c r="D18" i="12" s="1"/>
  <c r="E18" i="12" s="1"/>
  <c r="D19" i="12" s="1"/>
  <c r="E19" i="12" s="1"/>
  <c r="D20" i="12" s="1"/>
  <c r="E20" i="12" s="1"/>
  <c r="D21" i="12" s="1"/>
  <c r="E21" i="12" s="1"/>
  <c r="D22" i="12" s="1"/>
  <c r="E22" i="12" s="1"/>
  <c r="D23" i="12" s="1"/>
  <c r="E23" i="12" s="1"/>
  <c r="D24" i="12" s="1"/>
  <c r="E24" i="12" s="1"/>
  <c r="D25" i="12" s="1"/>
  <c r="E25" i="12" s="1"/>
  <c r="D26" i="12" s="1"/>
  <c r="E26" i="12" s="1"/>
  <c r="D27" i="12" s="1"/>
  <c r="E27" i="12" s="1"/>
  <c r="D28" i="12" s="1"/>
  <c r="E28" i="12" s="1"/>
  <c r="D29" i="12" s="1"/>
  <c r="E29" i="12" s="1"/>
  <c r="D30" i="12" s="1"/>
  <c r="E30" i="12" s="1"/>
  <c r="D31" i="12" s="1"/>
  <c r="E31" i="12" s="1"/>
  <c r="D32" i="12" s="1"/>
  <c r="E32" i="12" s="1"/>
  <c r="D33" i="12" s="1"/>
  <c r="E33" i="12" s="1"/>
  <c r="D34" i="12" s="1"/>
  <c r="E34" i="12" s="1"/>
  <c r="D35" i="12" s="1"/>
  <c r="E35" i="12" s="1"/>
  <c r="D36" i="12" s="1"/>
  <c r="E36" i="12" s="1"/>
  <c r="D37" i="12" s="1"/>
  <c r="E37" i="12" s="1"/>
  <c r="D38" i="12" s="1"/>
  <c r="E38" i="12" s="1"/>
  <c r="D39" i="12" s="1"/>
  <c r="E39" i="12" s="1"/>
  <c r="D40" i="12" s="1"/>
  <c r="E40" i="12" s="1"/>
  <c r="D41" i="12" s="1"/>
  <c r="E41" i="12" s="1"/>
  <c r="D42" i="12" s="1"/>
  <c r="E42" i="12" s="1"/>
  <c r="D43" i="12" s="1"/>
  <c r="E43" i="12" s="1"/>
  <c r="D44" i="12" s="1"/>
  <c r="E44" i="12" s="1"/>
  <c r="D45" i="12" s="1"/>
  <c r="E45" i="12" s="1"/>
  <c r="D46" i="12" s="1"/>
  <c r="E46" i="12" s="1"/>
  <c r="D47" i="12" s="1"/>
  <c r="E47" i="12" s="1"/>
  <c r="E9" i="12" s="1"/>
  <c r="F9" i="12"/>
  <c r="E3" i="12"/>
  <c r="D4" i="12" s="1"/>
  <c r="E4" i="12" s="1"/>
  <c r="D5" i="12" s="1"/>
  <c r="E5" i="12" s="1"/>
  <c r="D6" i="12" s="1"/>
  <c r="E6" i="12" s="1"/>
  <c r="D7" i="12" s="1"/>
  <c r="E7" i="12" s="1"/>
  <c r="D8" i="12" s="1"/>
  <c r="E8" i="12" s="1"/>
  <c r="E2" i="12" s="1"/>
  <c r="F2" i="12"/>
  <c r="E18" i="11"/>
  <c r="D19" i="11" s="1"/>
  <c r="E19" i="11" s="1"/>
  <c r="E16" i="11" s="1"/>
  <c r="F16" i="11"/>
  <c r="D11" i="11"/>
  <c r="E11" i="11" s="1"/>
  <c r="D12" i="11" s="1"/>
  <c r="E12" i="11" s="1"/>
  <c r="D13" i="11" s="1"/>
  <c r="E13" i="11" s="1"/>
  <c r="D14" i="11" s="1"/>
  <c r="E14" i="11" s="1"/>
  <c r="D15" i="11" s="1"/>
  <c r="E15" i="11" s="1"/>
  <c r="E9" i="11" s="1"/>
  <c r="E10" i="11"/>
  <c r="F9" i="11"/>
  <c r="D4" i="11"/>
  <c r="E4" i="11" s="1"/>
  <c r="D5" i="11" s="1"/>
  <c r="E5" i="11" s="1"/>
  <c r="D6" i="11" s="1"/>
  <c r="E6" i="11" s="1"/>
  <c r="D7" i="11" s="1"/>
  <c r="E7" i="11" s="1"/>
  <c r="D8" i="11" s="1"/>
  <c r="E8" i="11" s="1"/>
  <c r="E2" i="11" s="1"/>
  <c r="E3" i="11"/>
  <c r="F2" i="11"/>
  <c r="E67" i="10"/>
  <c r="F67" i="10" s="1"/>
  <c r="E68" i="10" s="1"/>
  <c r="F68" i="10" s="1"/>
  <c r="F65" i="10" s="1"/>
  <c r="G65" i="10"/>
  <c r="F10" i="10"/>
  <c r="E11" i="10" s="1"/>
  <c r="F11" i="10" s="1"/>
  <c r="E12" i="10" s="1"/>
  <c r="F12" i="10" s="1"/>
  <c r="E13" i="10" s="1"/>
  <c r="F13" i="10" s="1"/>
  <c r="E14" i="10" s="1"/>
  <c r="F14" i="10" s="1"/>
  <c r="E15" i="10" s="1"/>
  <c r="F15" i="10" s="1"/>
  <c r="E16" i="10" s="1"/>
  <c r="F16" i="10" s="1"/>
  <c r="E17" i="10" s="1"/>
  <c r="F17" i="10" s="1"/>
  <c r="E18" i="10" s="1"/>
  <c r="F18" i="10" s="1"/>
  <c r="E19" i="10" s="1"/>
  <c r="F19" i="10" s="1"/>
  <c r="E20" i="10" s="1"/>
  <c r="F20" i="10" s="1"/>
  <c r="E21" i="10" s="1"/>
  <c r="F21" i="10" s="1"/>
  <c r="E22" i="10" s="1"/>
  <c r="F22" i="10" s="1"/>
  <c r="E23" i="10" s="1"/>
  <c r="F23" i="10" s="1"/>
  <c r="E24" i="10" s="1"/>
  <c r="F24" i="10" s="1"/>
  <c r="E25" i="10" s="1"/>
  <c r="F25" i="10" s="1"/>
  <c r="E26" i="10" s="1"/>
  <c r="F26" i="10" s="1"/>
  <c r="E27" i="10" s="1"/>
  <c r="F27" i="10" s="1"/>
  <c r="E28" i="10" s="1"/>
  <c r="F28" i="10" s="1"/>
  <c r="E29" i="10" s="1"/>
  <c r="F29" i="10" s="1"/>
  <c r="E30" i="10" s="1"/>
  <c r="F30" i="10" s="1"/>
  <c r="E31" i="10" s="1"/>
  <c r="F31" i="10" s="1"/>
  <c r="E32" i="10" s="1"/>
  <c r="F32" i="10" s="1"/>
  <c r="E33" i="10" s="1"/>
  <c r="F33" i="10" s="1"/>
  <c r="E34" i="10" s="1"/>
  <c r="F34" i="10" s="1"/>
  <c r="E35" i="10" s="1"/>
  <c r="F35" i="10" s="1"/>
  <c r="E36" i="10" s="1"/>
  <c r="F36" i="10" s="1"/>
  <c r="E37" i="10" s="1"/>
  <c r="F37" i="10" s="1"/>
  <c r="E38" i="10" s="1"/>
  <c r="F38" i="10" s="1"/>
  <c r="E39" i="10" s="1"/>
  <c r="F39" i="10" s="1"/>
  <c r="E40" i="10" s="1"/>
  <c r="F40" i="10" s="1"/>
  <c r="E41" i="10" s="1"/>
  <c r="F41" i="10" s="1"/>
  <c r="E42" i="10" s="1"/>
  <c r="F42" i="10" s="1"/>
  <c r="E43" i="10" s="1"/>
  <c r="F43" i="10" s="1"/>
  <c r="E44" i="10" s="1"/>
  <c r="F44" i="10" s="1"/>
  <c r="E45" i="10" s="1"/>
  <c r="F45" i="10" s="1"/>
  <c r="E46" i="10" s="1"/>
  <c r="F46" i="10" s="1"/>
  <c r="E47" i="10" s="1"/>
  <c r="F47" i="10" s="1"/>
  <c r="E48" i="10" s="1"/>
  <c r="F48" i="10" s="1"/>
  <c r="E49" i="10" s="1"/>
  <c r="F49" i="10" s="1"/>
  <c r="E50" i="10" s="1"/>
  <c r="F50" i="10" s="1"/>
  <c r="E51" i="10" s="1"/>
  <c r="F51" i="10" s="1"/>
  <c r="E52" i="10" s="1"/>
  <c r="F52" i="10" s="1"/>
  <c r="E53" i="10" s="1"/>
  <c r="F53" i="10" s="1"/>
  <c r="E54" i="10" s="1"/>
  <c r="F54" i="10" s="1"/>
  <c r="E55" i="10" s="1"/>
  <c r="F55" i="10" s="1"/>
  <c r="E56" i="10" s="1"/>
  <c r="F56" i="10" s="1"/>
  <c r="E57" i="10" s="1"/>
  <c r="F57" i="10" s="1"/>
  <c r="E58" i="10" s="1"/>
  <c r="F58" i="10" s="1"/>
  <c r="E59" i="10" s="1"/>
  <c r="F59" i="10" s="1"/>
  <c r="E60" i="10" s="1"/>
  <c r="F60" i="10" s="1"/>
  <c r="E61" i="10" s="1"/>
  <c r="F61" i="10" s="1"/>
  <c r="E62" i="10" s="1"/>
  <c r="F62" i="10" s="1"/>
  <c r="E63" i="10" s="1"/>
  <c r="F63" i="10" s="1"/>
  <c r="E64" i="10" s="1"/>
  <c r="F64" i="10" s="1"/>
  <c r="F9" i="10" s="1"/>
  <c r="G9" i="10"/>
  <c r="F3" i="10"/>
  <c r="E4" i="10" s="1"/>
  <c r="F4" i="10" s="1"/>
  <c r="E5" i="10" s="1"/>
  <c r="F5" i="10" s="1"/>
  <c r="E6" i="10" s="1"/>
  <c r="F6" i="10" s="1"/>
  <c r="E7" i="10" s="1"/>
  <c r="F7" i="10" s="1"/>
  <c r="E8" i="10" s="1"/>
  <c r="F8" i="10" s="1"/>
  <c r="F2" i="10" s="1"/>
  <c r="G2" i="10"/>
  <c r="E119" i="9"/>
  <c r="E118" i="9"/>
  <c r="E113" i="9"/>
  <c r="D114" i="9" s="1"/>
  <c r="E114" i="9" s="1"/>
  <c r="D115" i="9" s="1"/>
  <c r="E115" i="9" s="1"/>
  <c r="E108" i="9"/>
  <c r="D109" i="9" s="1"/>
  <c r="E109" i="9" s="1"/>
  <c r="D110" i="9" s="1"/>
  <c r="E110" i="9" s="1"/>
  <c r="D111" i="9" s="1"/>
  <c r="E111" i="9" s="1"/>
  <c r="E102" i="9"/>
  <c r="E101" i="9"/>
  <c r="E96" i="9"/>
  <c r="D97" i="9" s="1"/>
  <c r="E97" i="9" s="1"/>
  <c r="D98" i="9" s="1"/>
  <c r="E98" i="9" s="1"/>
  <c r="E91" i="9"/>
  <c r="D92" i="9" s="1"/>
  <c r="E92" i="9" s="1"/>
  <c r="D93" i="9" s="1"/>
  <c r="E93" i="9" s="1"/>
  <c r="D94" i="9" s="1"/>
  <c r="E94" i="9" s="1"/>
  <c r="E85" i="9"/>
  <c r="E84" i="9"/>
  <c r="E79" i="9"/>
  <c r="D80" i="9" s="1"/>
  <c r="E80" i="9" s="1"/>
  <c r="D81" i="9" s="1"/>
  <c r="E81" i="9" s="1"/>
  <c r="E74" i="9"/>
  <c r="D75" i="9" s="1"/>
  <c r="E75" i="9" s="1"/>
  <c r="D76" i="9" s="1"/>
  <c r="E76" i="9" s="1"/>
  <c r="D77" i="9" s="1"/>
  <c r="E77" i="9" s="1"/>
  <c r="E68" i="9"/>
  <c r="E67" i="9"/>
  <c r="D63" i="9"/>
  <c r="E63" i="9" s="1"/>
  <c r="D64" i="9" s="1"/>
  <c r="E64" i="9" s="1"/>
  <c r="E62" i="9"/>
  <c r="E57" i="9"/>
  <c r="D58" i="9" s="1"/>
  <c r="E58" i="9" s="1"/>
  <c r="D59" i="9" s="1"/>
  <c r="E59" i="9" s="1"/>
  <c r="D60" i="9" s="1"/>
  <c r="E60" i="9" s="1"/>
  <c r="E52" i="9"/>
  <c r="E51" i="9"/>
  <c r="D46" i="9"/>
  <c r="E46" i="9" s="1"/>
  <c r="D47" i="9" s="1"/>
  <c r="E47" i="9" s="1"/>
  <c r="D48" i="9" s="1"/>
  <c r="E48" i="9" s="1"/>
  <c r="E45" i="9"/>
  <c r="E40" i="9"/>
  <c r="D41" i="9" s="1"/>
  <c r="E41" i="9" s="1"/>
  <c r="D42" i="9" s="1"/>
  <c r="E42" i="9" s="1"/>
  <c r="D43" i="9" s="1"/>
  <c r="E43" i="9" s="1"/>
  <c r="E33" i="9"/>
  <c r="D34" i="9" s="1"/>
  <c r="E34" i="9" s="1"/>
  <c r="E31" i="9" s="1"/>
  <c r="F31" i="9"/>
  <c r="E10" i="9"/>
  <c r="D11" i="9" s="1"/>
  <c r="E11" i="9" s="1"/>
  <c r="D12" i="9" s="1"/>
  <c r="E12" i="9" s="1"/>
  <c r="D13" i="9" s="1"/>
  <c r="E13" i="9" s="1"/>
  <c r="D14" i="9" s="1"/>
  <c r="E14" i="9" s="1"/>
  <c r="D15" i="9" s="1"/>
  <c r="E15" i="9" s="1"/>
  <c r="D16" i="9" s="1"/>
  <c r="E16" i="9" s="1"/>
  <c r="D17" i="9" s="1"/>
  <c r="E17" i="9" s="1"/>
  <c r="D18" i="9" s="1"/>
  <c r="E18" i="9" s="1"/>
  <c r="D19" i="9" s="1"/>
  <c r="E19" i="9" s="1"/>
  <c r="D20" i="9" s="1"/>
  <c r="E20" i="9" s="1"/>
  <c r="D21" i="9" s="1"/>
  <c r="E21" i="9" s="1"/>
  <c r="D22" i="9" s="1"/>
  <c r="E22" i="9" s="1"/>
  <c r="D23" i="9" s="1"/>
  <c r="E23" i="9" s="1"/>
  <c r="D24" i="9" s="1"/>
  <c r="E24" i="9" s="1"/>
  <c r="D25" i="9" s="1"/>
  <c r="E25" i="9" s="1"/>
  <c r="D26" i="9" s="1"/>
  <c r="E26" i="9" s="1"/>
  <c r="D27" i="9" s="1"/>
  <c r="E27" i="9" s="1"/>
  <c r="D28" i="9" s="1"/>
  <c r="E28" i="9" s="1"/>
  <c r="D29" i="9" s="1"/>
  <c r="E29" i="9" s="1"/>
  <c r="D30" i="9" s="1"/>
  <c r="E30" i="9" s="1"/>
  <c r="E9" i="9" s="1"/>
  <c r="F9" i="9"/>
  <c r="E3" i="9"/>
  <c r="D4" i="9" s="1"/>
  <c r="E4" i="9" s="1"/>
  <c r="D5" i="9" s="1"/>
  <c r="E5" i="9" s="1"/>
  <c r="D6" i="9" s="1"/>
  <c r="E6" i="9" s="1"/>
  <c r="D7" i="9" s="1"/>
  <c r="E7" i="9" s="1"/>
  <c r="D8" i="9" s="1"/>
  <c r="E8" i="9" s="1"/>
  <c r="E2" i="9" s="1"/>
  <c r="F2" i="9"/>
  <c r="D24" i="8"/>
  <c r="E24" i="8" s="1"/>
  <c r="D25" i="8" s="1"/>
  <c r="E25" i="8" s="1"/>
  <c r="E22" i="8" s="1"/>
  <c r="F22" i="8"/>
  <c r="D11" i="8"/>
  <c r="E11" i="8" s="1"/>
  <c r="D13" i="8" s="1"/>
  <c r="E13" i="8" s="1"/>
  <c r="D15" i="8" s="1"/>
  <c r="E15" i="8" s="1"/>
  <c r="D17" i="8" s="1"/>
  <c r="E17" i="8" s="1"/>
  <c r="D19" i="8" s="1"/>
  <c r="E19" i="8" s="1"/>
  <c r="D21" i="8" s="1"/>
  <c r="E21" i="8" s="1"/>
  <c r="E10" i="8"/>
  <c r="D12" i="8" s="1"/>
  <c r="E12" i="8" s="1"/>
  <c r="D14" i="8" s="1"/>
  <c r="E14" i="8" s="1"/>
  <c r="D16" i="8" s="1"/>
  <c r="E16" i="8" s="1"/>
  <c r="D18" i="8" s="1"/>
  <c r="E18" i="8" s="1"/>
  <c r="D20" i="8" s="1"/>
  <c r="E20" i="8" s="1"/>
  <c r="D4" i="8"/>
  <c r="E4" i="8" s="1"/>
  <c r="D5" i="8" s="1"/>
  <c r="E5" i="8" s="1"/>
  <c r="D6" i="8" s="1"/>
  <c r="E6" i="8" s="1"/>
  <c r="D7" i="8" s="1"/>
  <c r="E7" i="8" s="1"/>
  <c r="D8" i="8" s="1"/>
  <c r="E8" i="8" s="1"/>
  <c r="E2" i="8" s="1"/>
  <c r="E3" i="8"/>
  <c r="F2" i="8"/>
  <c r="D19" i="7"/>
  <c r="E19" i="7" s="1"/>
  <c r="D20" i="7" s="1"/>
  <c r="E20" i="7" s="1"/>
  <c r="E17" i="7" s="1"/>
  <c r="F17" i="7"/>
  <c r="E10" i="7"/>
  <c r="D11" i="7" s="1"/>
  <c r="E11" i="7" s="1"/>
  <c r="D12" i="7" s="1"/>
  <c r="E12" i="7" s="1"/>
  <c r="D13" i="7" s="1"/>
  <c r="E13" i="7" s="1"/>
  <c r="D14" i="7" s="1"/>
  <c r="E14" i="7" s="1"/>
  <c r="D15" i="7" s="1"/>
  <c r="E15" i="7" s="1"/>
  <c r="D16" i="7" s="1"/>
  <c r="E16" i="7" s="1"/>
  <c r="E9" i="7" s="1"/>
  <c r="F9" i="7"/>
  <c r="E3" i="7"/>
  <c r="D4" i="7" s="1"/>
  <c r="E4" i="7" s="1"/>
  <c r="D5" i="7" s="1"/>
  <c r="E5" i="7" s="1"/>
  <c r="D6" i="7" s="1"/>
  <c r="E6" i="7" s="1"/>
  <c r="D7" i="7" s="1"/>
  <c r="E7" i="7" s="1"/>
  <c r="D8" i="7" s="1"/>
  <c r="E8" i="7" s="1"/>
  <c r="E2" i="7" s="1"/>
  <c r="F2" i="7"/>
  <c r="D35" i="6"/>
  <c r="E35" i="6" s="1"/>
  <c r="D36" i="6" s="1"/>
  <c r="E36" i="6" s="1"/>
  <c r="E33" i="6" s="1"/>
  <c r="F33" i="6"/>
  <c r="D31" i="6"/>
  <c r="E31" i="6" s="1"/>
  <c r="D11" i="6"/>
  <c r="E11" i="6" s="1"/>
  <c r="D12" i="6" s="1"/>
  <c r="E12" i="6" s="1"/>
  <c r="D13" i="6" s="1"/>
  <c r="E13" i="6" s="1"/>
  <c r="D14" i="6" s="1"/>
  <c r="E14" i="6" s="1"/>
  <c r="D15" i="6" s="1"/>
  <c r="E15" i="6" s="1"/>
  <c r="D16" i="6" s="1"/>
  <c r="E16" i="6" s="1"/>
  <c r="D17" i="6" s="1"/>
  <c r="E17" i="6" s="1"/>
  <c r="D18" i="6" s="1"/>
  <c r="E18" i="6" s="1"/>
  <c r="D19" i="6" s="1"/>
  <c r="E19" i="6" s="1"/>
  <c r="D20" i="6" s="1"/>
  <c r="E20" i="6" s="1"/>
  <c r="D21" i="6" s="1"/>
  <c r="E21" i="6" s="1"/>
  <c r="D22" i="6" s="1"/>
  <c r="E22" i="6" s="1"/>
  <c r="D23" i="6" s="1"/>
  <c r="E23" i="6" s="1"/>
  <c r="D24" i="6" s="1"/>
  <c r="E24" i="6" s="1"/>
  <c r="D25" i="6" s="1"/>
  <c r="E25" i="6" s="1"/>
  <c r="D26" i="6" s="1"/>
  <c r="E26" i="6" s="1"/>
  <c r="D27" i="6" s="1"/>
  <c r="E27" i="6" s="1"/>
  <c r="D28" i="6" s="1"/>
  <c r="E28" i="6" s="1"/>
  <c r="D29" i="6" s="1"/>
  <c r="E29" i="6" s="1"/>
  <c r="D30" i="6" s="1"/>
  <c r="E30" i="6" s="1"/>
  <c r="D32" i="6" s="1"/>
  <c r="E32" i="6" s="1"/>
  <c r="E9" i="6" s="1"/>
  <c r="E10" i="6"/>
  <c r="F9" i="6"/>
  <c r="E3" i="6"/>
  <c r="D4" i="6" s="1"/>
  <c r="E4" i="6" s="1"/>
  <c r="D5" i="6" s="1"/>
  <c r="E5" i="6" s="1"/>
  <c r="D7" i="6" s="1"/>
  <c r="E7" i="6" s="1"/>
  <c r="D6" i="6" s="1"/>
  <c r="E6" i="6" s="1"/>
  <c r="D8" i="6" s="1"/>
  <c r="E8" i="6" s="1"/>
  <c r="E2" i="6" s="1"/>
  <c r="F2" i="6"/>
  <c r="E18" i="5"/>
  <c r="D19" i="5" s="1"/>
  <c r="E19" i="5" s="1"/>
  <c r="E16" i="5" s="1"/>
  <c r="F16" i="5"/>
  <c r="E10" i="5"/>
  <c r="D11" i="5" s="1"/>
  <c r="E11" i="5" s="1"/>
  <c r="D12" i="5" s="1"/>
  <c r="E12" i="5" s="1"/>
  <c r="D13" i="5" s="1"/>
  <c r="E13" i="5" s="1"/>
  <c r="D14" i="5" s="1"/>
  <c r="E14" i="5" s="1"/>
  <c r="D15" i="5" s="1"/>
  <c r="E15" i="5" s="1"/>
  <c r="E9" i="5" s="1"/>
  <c r="F9" i="5"/>
  <c r="D4" i="5"/>
  <c r="E4" i="5" s="1"/>
  <c r="D5" i="5" s="1"/>
  <c r="E5" i="5" s="1"/>
  <c r="D6" i="5" s="1"/>
  <c r="E6" i="5" s="1"/>
  <c r="D7" i="5" s="1"/>
  <c r="E7" i="5" s="1"/>
  <c r="D8" i="5" s="1"/>
  <c r="E8" i="5" s="1"/>
  <c r="E2" i="5" s="1"/>
  <c r="E3" i="5"/>
  <c r="F2" i="5"/>
  <c r="F48" i="12" l="1"/>
  <c r="E48" i="12"/>
  <c r="D47" i="4"/>
  <c r="E47" i="4" s="1"/>
  <c r="E44" i="4" s="1"/>
  <c r="E46" i="4"/>
  <c r="D46" i="4"/>
  <c r="F44" i="4"/>
  <c r="E10" i="4"/>
  <c r="D11" i="4" s="1"/>
  <c r="E11" i="4" s="1"/>
  <c r="D12" i="4" s="1"/>
  <c r="E12" i="4" s="1"/>
  <c r="D13" i="4" s="1"/>
  <c r="E13" i="4" s="1"/>
  <c r="D14" i="4" s="1"/>
  <c r="E14" i="4" s="1"/>
  <c r="D15" i="4" s="1"/>
  <c r="E15" i="4" s="1"/>
  <c r="D16" i="4" s="1"/>
  <c r="E16" i="4" s="1"/>
  <c r="D17" i="4" s="1"/>
  <c r="E17" i="4" s="1"/>
  <c r="D18" i="4" s="1"/>
  <c r="E18" i="4" s="1"/>
  <c r="D19" i="4" s="1"/>
  <c r="E19" i="4" s="1"/>
  <c r="D20" i="4" s="1"/>
  <c r="E20" i="4" s="1"/>
  <c r="D21" i="4" s="1"/>
  <c r="E21" i="4" s="1"/>
  <c r="D22" i="4" s="1"/>
  <c r="E22" i="4" s="1"/>
  <c r="D23" i="4" s="1"/>
  <c r="E23" i="4" s="1"/>
  <c r="D24" i="4" s="1"/>
  <c r="E24" i="4" s="1"/>
  <c r="D25" i="4" s="1"/>
  <c r="E25" i="4" s="1"/>
  <c r="D26" i="4" s="1"/>
  <c r="E26" i="4" s="1"/>
  <c r="D27" i="4" s="1"/>
  <c r="E27" i="4" s="1"/>
  <c r="D28" i="4" s="1"/>
  <c r="E28" i="4" s="1"/>
  <c r="D29" i="4" s="1"/>
  <c r="E29" i="4" s="1"/>
  <c r="D30" i="4" s="1"/>
  <c r="E30" i="4" s="1"/>
  <c r="D31" i="4" s="1"/>
  <c r="E31" i="4" s="1"/>
  <c r="D32" i="4" s="1"/>
  <c r="E32" i="4" s="1"/>
  <c r="D33" i="4" s="1"/>
  <c r="E33" i="4" s="1"/>
  <c r="D34" i="4" s="1"/>
  <c r="E34" i="4" s="1"/>
  <c r="D35" i="4" s="1"/>
  <c r="E35" i="4" s="1"/>
  <c r="D36" i="4" s="1"/>
  <c r="E36" i="4" s="1"/>
  <c r="D37" i="4" s="1"/>
  <c r="E37" i="4" s="1"/>
  <c r="D38" i="4" s="1"/>
  <c r="E38" i="4" s="1"/>
  <c r="D39" i="4" s="1"/>
  <c r="E39" i="4" s="1"/>
  <c r="F9" i="4"/>
  <c r="D4" i="4"/>
  <c r="E4" i="4" s="1"/>
  <c r="D5" i="4" s="1"/>
  <c r="E5" i="4" s="1"/>
  <c r="D7" i="4" s="1"/>
  <c r="E7" i="4" s="1"/>
  <c r="D6" i="4" s="1"/>
  <c r="E6" i="4" s="1"/>
  <c r="D8" i="4" s="1"/>
  <c r="E8" i="4" s="1"/>
  <c r="E2" i="4" s="1"/>
  <c r="E3" i="4"/>
  <c r="F2" i="4"/>
  <c r="D51" i="3"/>
  <c r="E51" i="3" s="1"/>
  <c r="D52" i="3" s="1"/>
  <c r="E52" i="3" s="1"/>
  <c r="E49" i="3" s="1"/>
  <c r="F49" i="3"/>
  <c r="E10" i="3"/>
  <c r="D11" i="3" s="1"/>
  <c r="E11" i="3" s="1"/>
  <c r="D12" i="3" s="1"/>
  <c r="E12" i="3" s="1"/>
  <c r="F9" i="3"/>
  <c r="E3" i="3"/>
  <c r="D4" i="3" s="1"/>
  <c r="E4" i="3" s="1"/>
  <c r="D5" i="3" s="1"/>
  <c r="E5" i="3" s="1"/>
  <c r="D6" i="3" s="1"/>
  <c r="E6" i="3" s="1"/>
  <c r="D7" i="3" s="1"/>
  <c r="E7" i="3" s="1"/>
  <c r="D8" i="3" s="1"/>
  <c r="E8" i="3" s="1"/>
  <c r="E2" i="3" s="1"/>
  <c r="F2" i="3"/>
  <c r="E71" i="2"/>
  <c r="E68" i="2" s="1"/>
  <c r="F68" i="2" s="1"/>
  <c r="E70" i="2"/>
  <c r="E10" i="2"/>
  <c r="D11" i="2" s="1"/>
  <c r="E11" i="2" s="1"/>
  <c r="D12" i="2" s="1"/>
  <c r="E12" i="2" s="1"/>
  <c r="D13" i="2" s="1"/>
  <c r="E13" i="2" s="1"/>
  <c r="D14" i="2" s="1"/>
  <c r="E14" i="2" s="1"/>
  <c r="D15" i="2" s="1"/>
  <c r="E15" i="2" s="1"/>
  <c r="D16" i="2" s="1"/>
  <c r="E16" i="2" s="1"/>
  <c r="D17" i="2" s="1"/>
  <c r="E17" i="2" s="1"/>
  <c r="D18" i="2" s="1"/>
  <c r="E18" i="2" s="1"/>
  <c r="D19" i="2" s="1"/>
  <c r="E19" i="2" s="1"/>
  <c r="D20" i="2" s="1"/>
  <c r="E20" i="2" s="1"/>
  <c r="D21" i="2" s="1"/>
  <c r="E21" i="2" s="1"/>
  <c r="D22" i="2" s="1"/>
  <c r="E22" i="2" s="1"/>
  <c r="D23" i="2" s="1"/>
  <c r="E23" i="2" s="1"/>
  <c r="D24" i="2" s="1"/>
  <c r="E24" i="2" s="1"/>
  <c r="D25" i="2" s="1"/>
  <c r="E25" i="2" s="1"/>
  <c r="D26" i="2" s="1"/>
  <c r="E26" i="2" s="1"/>
  <c r="D27" i="2" s="1"/>
  <c r="E27" i="2" s="1"/>
  <c r="D28" i="2" s="1"/>
  <c r="E28" i="2" s="1"/>
  <c r="D29" i="2" s="1"/>
  <c r="E29" i="2" s="1"/>
  <c r="D30" i="2" s="1"/>
  <c r="E30" i="2" s="1"/>
  <c r="D31" i="2" s="1"/>
  <c r="E31" i="2" s="1"/>
  <c r="D32" i="2" s="1"/>
  <c r="E32" i="2" s="1"/>
  <c r="D33" i="2" s="1"/>
  <c r="E33" i="2" s="1"/>
  <c r="D34" i="2" s="1"/>
  <c r="E34" i="2" s="1"/>
  <c r="D35" i="2" s="1"/>
  <c r="E35" i="2" s="1"/>
  <c r="D36" i="2" s="1"/>
  <c r="E36" i="2" s="1"/>
  <c r="D37" i="2" s="1"/>
  <c r="E37" i="2" s="1"/>
  <c r="D38" i="2" s="1"/>
  <c r="E38" i="2" s="1"/>
  <c r="D39" i="2" s="1"/>
  <c r="E39" i="2" s="1"/>
  <c r="D40" i="2" s="1"/>
  <c r="E40" i="2" s="1"/>
  <c r="D41" i="2" s="1"/>
  <c r="E41" i="2" s="1"/>
  <c r="D42" i="2" s="1"/>
  <c r="E42" i="2" s="1"/>
  <c r="D43" i="2" s="1"/>
  <c r="E43" i="2" s="1"/>
  <c r="D44" i="2" s="1"/>
  <c r="E44" i="2" s="1"/>
  <c r="D45" i="2" s="1"/>
  <c r="E45" i="2" s="1"/>
  <c r="D46" i="2" s="1"/>
  <c r="E46" i="2" s="1"/>
  <c r="D47" i="2" s="1"/>
  <c r="E47" i="2" s="1"/>
  <c r="D48" i="2" s="1"/>
  <c r="E48" i="2" s="1"/>
  <c r="D49" i="2" s="1"/>
  <c r="E49" i="2" s="1"/>
  <c r="D50" i="2" s="1"/>
  <c r="E50" i="2" s="1"/>
  <c r="D51" i="2" s="1"/>
  <c r="E51" i="2" s="1"/>
  <c r="D52" i="2" s="1"/>
  <c r="E52" i="2" s="1"/>
  <c r="D53" i="2" s="1"/>
  <c r="E53" i="2" s="1"/>
  <c r="D54" i="2" s="1"/>
  <c r="E54" i="2" s="1"/>
  <c r="D55" i="2" s="1"/>
  <c r="E55" i="2" s="1"/>
  <c r="D56" i="2" s="1"/>
  <c r="E56" i="2" s="1"/>
  <c r="D57" i="2" s="1"/>
  <c r="E57" i="2" s="1"/>
  <c r="D58" i="2" s="1"/>
  <c r="E58" i="2" s="1"/>
  <c r="D59" i="2" s="1"/>
  <c r="E59" i="2" s="1"/>
  <c r="D60" i="2" s="1"/>
  <c r="E60" i="2" s="1"/>
  <c r="D61" i="2" s="1"/>
  <c r="E61" i="2" s="1"/>
  <c r="D62" i="2" s="1"/>
  <c r="E62" i="2" s="1"/>
  <c r="D63" i="2" s="1"/>
  <c r="E63" i="2" s="1"/>
  <c r="D64" i="2" s="1"/>
  <c r="E64" i="2" s="1"/>
  <c r="D65" i="2" s="1"/>
  <c r="E65" i="2" s="1"/>
  <c r="D66" i="2" s="1"/>
  <c r="E66" i="2" s="1"/>
  <c r="D67" i="2" s="1"/>
  <c r="E67" i="2" s="1"/>
  <c r="E9" i="2" s="1"/>
  <c r="F9" i="2" s="1"/>
  <c r="E3" i="2"/>
  <c r="D4" i="2" s="1"/>
  <c r="E4" i="2" s="1"/>
  <c r="D5" i="2" s="1"/>
  <c r="E5" i="2" s="1"/>
  <c r="D6" i="2" s="1"/>
  <c r="E6" i="2" s="1"/>
  <c r="D7" i="2" s="1"/>
  <c r="E7" i="2" s="1"/>
  <c r="D8" i="2" s="1"/>
  <c r="E8" i="2" s="1"/>
  <c r="E2" i="2" s="1"/>
  <c r="F2" i="2" s="1"/>
  <c r="E137" i="1"/>
  <c r="E136" i="1"/>
  <c r="E131" i="1"/>
  <c r="D132" i="1" s="1"/>
  <c r="E132" i="1" s="1"/>
  <c r="D133" i="1" s="1"/>
  <c r="E133" i="1" s="1"/>
  <c r="E126" i="1"/>
  <c r="D127" i="1" s="1"/>
  <c r="E127" i="1" s="1"/>
  <c r="D128" i="1" s="1"/>
  <c r="E128" i="1" s="1"/>
  <c r="D129" i="1" s="1"/>
  <c r="E129" i="1" s="1"/>
  <c r="E120" i="1"/>
  <c r="E119" i="1"/>
  <c r="E114" i="1"/>
  <c r="D115" i="1" s="1"/>
  <c r="E115" i="1" s="1"/>
  <c r="D116" i="1" s="1"/>
  <c r="E116" i="1" s="1"/>
  <c r="E109" i="1"/>
  <c r="D110" i="1" s="1"/>
  <c r="E110" i="1" s="1"/>
  <c r="D111" i="1" s="1"/>
  <c r="E111" i="1" s="1"/>
  <c r="D112" i="1" s="1"/>
  <c r="E112" i="1" s="1"/>
  <c r="E103" i="1"/>
  <c r="E102" i="1"/>
  <c r="E97" i="1"/>
  <c r="D98" i="1" s="1"/>
  <c r="E98" i="1" s="1"/>
  <c r="D99" i="1" s="1"/>
  <c r="E99" i="1" s="1"/>
  <c r="E92" i="1"/>
  <c r="D93" i="1" s="1"/>
  <c r="E93" i="1" s="1"/>
  <c r="D94" i="1" s="1"/>
  <c r="E94" i="1" s="1"/>
  <c r="D95" i="1" s="1"/>
  <c r="E95" i="1" s="1"/>
  <c r="E86" i="1"/>
  <c r="E85" i="1"/>
  <c r="D81" i="1"/>
  <c r="E81" i="1" s="1"/>
  <c r="D82" i="1" s="1"/>
  <c r="E82" i="1" s="1"/>
  <c r="E80" i="1"/>
  <c r="E75" i="1"/>
  <c r="D76" i="1" s="1"/>
  <c r="E76" i="1" s="1"/>
  <c r="D77" i="1" s="1"/>
  <c r="E77" i="1" s="1"/>
  <c r="D78" i="1" s="1"/>
  <c r="E78" i="1" s="1"/>
  <c r="E70" i="1"/>
  <c r="E69" i="1"/>
  <c r="D64" i="1"/>
  <c r="E64" i="1" s="1"/>
  <c r="D65" i="1" s="1"/>
  <c r="E65" i="1" s="1"/>
  <c r="D66" i="1" s="1"/>
  <c r="E66" i="1" s="1"/>
  <c r="E63" i="1"/>
  <c r="E58" i="1"/>
  <c r="D59" i="1" s="1"/>
  <c r="E59" i="1" s="1"/>
  <c r="D60" i="1" s="1"/>
  <c r="E60" i="1" s="1"/>
  <c r="D61" i="1" s="1"/>
  <c r="E61" i="1" s="1"/>
  <c r="E51" i="1"/>
  <c r="D52" i="1" s="1"/>
  <c r="E52" i="1" s="1"/>
  <c r="E49" i="1" s="1"/>
  <c r="F49" i="1"/>
  <c r="E10" i="1"/>
  <c r="D11" i="1" s="1"/>
  <c r="E11" i="1" s="1"/>
  <c r="D12" i="1" s="1"/>
  <c r="E12" i="1" s="1"/>
  <c r="D13" i="1" s="1"/>
  <c r="E13" i="1" s="1"/>
  <c r="D14" i="1" s="1"/>
  <c r="E14" i="1" s="1"/>
  <c r="D15" i="1" s="1"/>
  <c r="E15" i="1" s="1"/>
  <c r="D16" i="1" s="1"/>
  <c r="E16" i="1" s="1"/>
  <c r="D17" i="1" s="1"/>
  <c r="E17" i="1" s="1"/>
  <c r="D18" i="1" s="1"/>
  <c r="E18" i="1" s="1"/>
  <c r="D19" i="1" s="1"/>
  <c r="E19" i="1" s="1"/>
  <c r="D20" i="1" s="1"/>
  <c r="E20" i="1" s="1"/>
  <c r="D21" i="1" s="1"/>
  <c r="E21" i="1" s="1"/>
  <c r="D22" i="1" s="1"/>
  <c r="E22" i="1" s="1"/>
  <c r="D23" i="1" s="1"/>
  <c r="E23" i="1" s="1"/>
  <c r="D24" i="1" s="1"/>
  <c r="E24" i="1" s="1"/>
  <c r="D25" i="1" s="1"/>
  <c r="E25" i="1" s="1"/>
  <c r="D26" i="1" s="1"/>
  <c r="E26" i="1" s="1"/>
  <c r="D27" i="1" s="1"/>
  <c r="E27" i="1" s="1"/>
  <c r="D28" i="1" s="1"/>
  <c r="E28" i="1" s="1"/>
  <c r="D29" i="1" s="1"/>
  <c r="E29" i="1" s="1"/>
  <c r="D30" i="1" s="1"/>
  <c r="E30" i="1" s="1"/>
  <c r="D31" i="1" s="1"/>
  <c r="E31" i="1" s="1"/>
  <c r="D32" i="1" s="1"/>
  <c r="E32" i="1" s="1"/>
  <c r="D33" i="1" s="1"/>
  <c r="E33" i="1" s="1"/>
  <c r="D34" i="1" s="1"/>
  <c r="E34" i="1" s="1"/>
  <c r="D35" i="1" s="1"/>
  <c r="E35" i="1" s="1"/>
  <c r="D36" i="1" s="1"/>
  <c r="E36" i="1" s="1"/>
  <c r="D37" i="1" s="1"/>
  <c r="E37" i="1" s="1"/>
  <c r="D38" i="1" s="1"/>
  <c r="E38" i="1" s="1"/>
  <c r="D39" i="1" s="1"/>
  <c r="E39" i="1" s="1"/>
  <c r="D40" i="1" s="1"/>
  <c r="E40" i="1" s="1"/>
  <c r="D41" i="1" s="1"/>
  <c r="E41" i="1" s="1"/>
  <c r="D42" i="1" s="1"/>
  <c r="E42" i="1" s="1"/>
  <c r="D43" i="1" s="1"/>
  <c r="E43" i="1" s="1"/>
  <c r="D44" i="1" s="1"/>
  <c r="E44" i="1" s="1"/>
  <c r="D45" i="1" s="1"/>
  <c r="E45" i="1" s="1"/>
  <c r="D46" i="1" s="1"/>
  <c r="E46" i="1" s="1"/>
  <c r="D47" i="1" s="1"/>
  <c r="E47" i="1" s="1"/>
  <c r="D48" i="1" s="1"/>
  <c r="E48" i="1" s="1"/>
  <c r="E9" i="1" s="1"/>
  <c r="F9" i="1"/>
  <c r="E3" i="1"/>
  <c r="D4" i="1" s="1"/>
  <c r="E4" i="1" s="1"/>
  <c r="D5" i="1" s="1"/>
  <c r="E5" i="1" s="1"/>
  <c r="D6" i="1" s="1"/>
  <c r="E6" i="1" s="1"/>
  <c r="D7" i="1" s="1"/>
  <c r="E7" i="1" s="1"/>
  <c r="D8" i="1" s="1"/>
  <c r="E8" i="1" s="1"/>
  <c r="E2" i="1" s="1"/>
  <c r="F2" i="1"/>
  <c r="D40" i="4" l="1"/>
  <c r="E40" i="4" s="1"/>
  <c r="D41" i="4" s="1"/>
  <c r="E41" i="4" s="1"/>
  <c r="D43" i="4"/>
  <c r="E43" i="4" s="1"/>
  <c r="E9" i="4" s="1"/>
  <c r="D14" i="3"/>
  <c r="E14" i="3" s="1"/>
  <c r="D15" i="3" s="1"/>
  <c r="E15" i="3" s="1"/>
  <c r="D16" i="3" s="1"/>
  <c r="E16" i="3" s="1"/>
  <c r="D17" i="3" s="1"/>
  <c r="E17" i="3" s="1"/>
  <c r="D18" i="3" s="1"/>
  <c r="E18" i="3" s="1"/>
  <c r="D19" i="3" s="1"/>
  <c r="E19" i="3" s="1"/>
  <c r="D20" i="3" s="1"/>
  <c r="E20" i="3" s="1"/>
  <c r="D21" i="3" s="1"/>
  <c r="E21" i="3" s="1"/>
  <c r="D22" i="3" s="1"/>
  <c r="E22" i="3" s="1"/>
  <c r="D23" i="3" s="1"/>
  <c r="E23" i="3" s="1"/>
  <c r="D24" i="3" s="1"/>
  <c r="E24" i="3" s="1"/>
  <c r="D25" i="3" s="1"/>
  <c r="E25" i="3" s="1"/>
  <c r="D26" i="3" s="1"/>
  <c r="E26" i="3" s="1"/>
  <c r="D27" i="3" s="1"/>
  <c r="E27" i="3" s="1"/>
  <c r="D28" i="3" s="1"/>
  <c r="E28" i="3" s="1"/>
  <c r="D29" i="3" s="1"/>
  <c r="E29" i="3" s="1"/>
  <c r="D30" i="3" s="1"/>
  <c r="E30" i="3" s="1"/>
  <c r="D31" i="3" s="1"/>
  <c r="E31" i="3" s="1"/>
  <c r="D32" i="3" s="1"/>
  <c r="E32" i="3" s="1"/>
  <c r="D33" i="3" s="1"/>
  <c r="E33" i="3" s="1"/>
  <c r="D34" i="3" s="1"/>
  <c r="E34" i="3" s="1"/>
  <c r="D35" i="3" s="1"/>
  <c r="E35" i="3" s="1"/>
  <c r="D36" i="3" s="1"/>
  <c r="E36" i="3" s="1"/>
  <c r="D37" i="3" s="1"/>
  <c r="E37" i="3" s="1"/>
  <c r="D38" i="3" s="1"/>
  <c r="E38" i="3" s="1"/>
  <c r="D39" i="3" s="1"/>
  <c r="E39" i="3" s="1"/>
  <c r="D40" i="3" s="1"/>
  <c r="E40" i="3" s="1"/>
  <c r="D41" i="3" s="1"/>
  <c r="E41" i="3" s="1"/>
  <c r="D42" i="3" s="1"/>
  <c r="E42" i="3" s="1"/>
  <c r="D43" i="3" s="1"/>
  <c r="E43" i="3" s="1"/>
  <c r="D44" i="3" s="1"/>
  <c r="E44" i="3" s="1"/>
  <c r="D45" i="3" s="1"/>
  <c r="E45" i="3" s="1"/>
  <c r="D46" i="3" s="1"/>
  <c r="E46" i="3" s="1"/>
  <c r="D47" i="3" s="1"/>
  <c r="E47" i="3" s="1"/>
  <c r="D48" i="3" s="1"/>
  <c r="E48" i="3" s="1"/>
  <c r="E9" i="3" s="1"/>
  <c r="D13" i="3"/>
  <c r="E1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scb</author>
  </authors>
  <commentList>
    <comment ref="G14" authorId="0" shapeId="0" xr:uid="{D2AC516F-83B1-42BF-A506-CAE1AB5D7EB3}">
      <text>
        <r>
          <rPr>
            <b/>
            <sz val="9"/>
            <color indexed="81"/>
            <rFont val="新細明體"/>
            <family val="1"/>
            <charset val="136"/>
          </rPr>
          <t>scb:</t>
        </r>
        <r>
          <rPr>
            <sz val="9"/>
            <color indexed="81"/>
            <rFont val="新細明體"/>
            <family val="1"/>
            <charset val="136"/>
          </rPr>
          <t xml:space="preserve">
6/1 updated by Debbie</t>
        </r>
      </text>
    </comment>
    <comment ref="G15" authorId="0" shapeId="0" xr:uid="{D64F0D74-A95A-45A0-97DB-BB496642DDB7}">
      <text>
        <r>
          <rPr>
            <b/>
            <sz val="9"/>
            <color indexed="81"/>
            <rFont val="新細明體"/>
            <family val="1"/>
            <charset val="136"/>
          </rPr>
          <t>scb:</t>
        </r>
        <r>
          <rPr>
            <sz val="9"/>
            <color indexed="81"/>
            <rFont val="新細明體"/>
            <family val="1"/>
            <charset val="136"/>
          </rPr>
          <t xml:space="preserve">
6/1 updated by Debbie</t>
        </r>
      </text>
    </comment>
    <comment ref="G17" authorId="0" shapeId="0" xr:uid="{2853CA4D-B8D5-46C1-896A-111C71F04279}">
      <text>
        <r>
          <rPr>
            <b/>
            <sz val="9"/>
            <color indexed="81"/>
            <rFont val="新細明體"/>
            <family val="1"/>
            <charset val="136"/>
          </rPr>
          <t>scb:</t>
        </r>
        <r>
          <rPr>
            <sz val="9"/>
            <color indexed="81"/>
            <rFont val="新細明體"/>
            <family val="1"/>
            <charset val="136"/>
          </rPr>
          <t xml:space="preserve">
6/1 updated by Debbie</t>
        </r>
      </text>
    </comment>
    <comment ref="G18" authorId="0" shapeId="0" xr:uid="{CD443EFB-0901-41B1-BAA5-9136C38FDBBC}">
      <text>
        <r>
          <rPr>
            <b/>
            <sz val="9"/>
            <color indexed="81"/>
            <rFont val="新細明體"/>
            <family val="1"/>
            <charset val="136"/>
          </rPr>
          <t>scb:</t>
        </r>
        <r>
          <rPr>
            <sz val="9"/>
            <color indexed="81"/>
            <rFont val="新細明體"/>
            <family val="1"/>
            <charset val="136"/>
          </rPr>
          <t xml:space="preserve">
6/1 updated by Debbie</t>
        </r>
      </text>
    </comment>
    <comment ref="G41" authorId="0" shapeId="0" xr:uid="{B755BCBB-4C39-4D64-B277-87B601D7F141}">
      <text>
        <r>
          <rPr>
            <b/>
            <sz val="9"/>
            <color indexed="81"/>
            <rFont val="新細明體"/>
            <family val="1"/>
            <charset val="136"/>
          </rPr>
          <t>scb:</t>
        </r>
        <r>
          <rPr>
            <sz val="9"/>
            <color indexed="81"/>
            <rFont val="新細明體"/>
            <family val="1"/>
            <charset val="136"/>
          </rPr>
          <t xml:space="preserve">
(Y:Early Closure
" ": Not early Closure)
6/1 update by Debbie</t>
        </r>
      </text>
    </comment>
    <comment ref="B54" authorId="0" shapeId="0" xr:uid="{F45EF9A3-21A3-4D01-852E-4165DBFC9E59}">
      <text>
        <r>
          <rPr>
            <b/>
            <sz val="9"/>
            <color indexed="81"/>
            <rFont val="新細明體"/>
            <family val="1"/>
            <charset val="136"/>
          </rPr>
          <t>scb:</t>
        </r>
        <r>
          <rPr>
            <sz val="9"/>
            <color indexed="81"/>
            <rFont val="新細明體"/>
            <family val="1"/>
            <charset val="136"/>
          </rPr>
          <t xml:space="preserve">
6/2 update by Debbie</t>
        </r>
      </text>
    </comment>
    <comment ref="G54" authorId="0" shapeId="0" xr:uid="{7D192A82-B27A-4F52-BFF7-C227FBF6A0D5}">
      <text>
        <r>
          <rPr>
            <b/>
            <sz val="9"/>
            <color indexed="81"/>
            <rFont val="新細明體"/>
            <family val="1"/>
            <charset val="136"/>
          </rPr>
          <t>scb:</t>
        </r>
        <r>
          <rPr>
            <sz val="9"/>
            <color indexed="81"/>
            <rFont val="新細明體"/>
            <family val="1"/>
            <charset val="136"/>
          </rPr>
          <t xml:space="preserve">
6/2 updated by Debbie</t>
        </r>
      </text>
    </comment>
    <comment ref="G57" authorId="0" shapeId="0" xr:uid="{C33D8755-B4F5-4605-9E15-2D3FDFCE76EF}">
      <text>
        <r>
          <rPr>
            <b/>
            <sz val="9"/>
            <color indexed="81"/>
            <rFont val="新細明體"/>
            <family val="1"/>
            <charset val="136"/>
          </rPr>
          <t>scb:</t>
        </r>
        <r>
          <rPr>
            <sz val="9"/>
            <color indexed="81"/>
            <rFont val="新細明體"/>
            <family val="1"/>
            <charset val="136"/>
          </rPr>
          <t xml:space="preserve">
6/2 updated by Debbie</t>
        </r>
      </text>
    </comment>
    <comment ref="I58" authorId="0" shapeId="0" xr:uid="{3B23A72C-391C-4D45-92CA-FC87D1D47D19}">
      <text>
        <r>
          <rPr>
            <b/>
            <sz val="9"/>
            <color indexed="81"/>
            <rFont val="新細明體"/>
            <family val="1"/>
            <charset val="136"/>
          </rPr>
          <t>scb:</t>
        </r>
        <r>
          <rPr>
            <sz val="9"/>
            <color indexed="81"/>
            <rFont val="新細明體"/>
            <family val="1"/>
            <charset val="136"/>
          </rPr>
          <t xml:space="preserve">
6/23 updated</t>
        </r>
      </text>
    </comment>
    <comment ref="I59" authorId="0" shapeId="0" xr:uid="{828ABCB9-BB6D-4655-908A-30232FBEE88A}">
      <text>
        <r>
          <rPr>
            <b/>
            <sz val="9"/>
            <color indexed="81"/>
            <rFont val="新細明體"/>
            <family val="1"/>
            <charset val="136"/>
          </rPr>
          <t>scb:</t>
        </r>
        <r>
          <rPr>
            <sz val="9"/>
            <color indexed="81"/>
            <rFont val="新細明體"/>
            <family val="1"/>
            <charset val="136"/>
          </rPr>
          <t xml:space="preserve">
6/23 updated</t>
        </r>
      </text>
    </comment>
    <comment ref="G60" authorId="0" shapeId="0" xr:uid="{47DE557C-5EA3-4DE7-ABB4-8ED10A48F5FC}">
      <text>
        <r>
          <rPr>
            <b/>
            <sz val="9"/>
            <color indexed="81"/>
            <rFont val="新細明體"/>
            <family val="1"/>
            <charset val="136"/>
          </rPr>
          <t>scb:</t>
        </r>
        <r>
          <rPr>
            <sz val="9"/>
            <color indexed="81"/>
            <rFont val="新細明體"/>
            <family val="1"/>
            <charset val="136"/>
          </rPr>
          <t xml:space="preserve">
6/2 update by Debbie</t>
        </r>
      </text>
    </comment>
    <comment ref="B63" authorId="0" shapeId="0" xr:uid="{AA527EF1-17C0-4F4C-AEC4-EE560ACE980E}">
      <text>
        <r>
          <rPr>
            <b/>
            <sz val="9"/>
            <color indexed="81"/>
            <rFont val="新細明體"/>
            <family val="1"/>
            <charset val="136"/>
          </rPr>
          <t>scb:</t>
        </r>
        <r>
          <rPr>
            <sz val="9"/>
            <color indexed="81"/>
            <rFont val="新細明體"/>
            <family val="1"/>
            <charset val="136"/>
          </rPr>
          <t xml:space="preserve">
need to add this field, waiting email reply.</t>
        </r>
      </text>
    </comment>
    <comment ref="A65" authorId="0" shapeId="0" xr:uid="{FABB7BC8-D8B1-473E-ACC5-35E7908149A9}">
      <text>
        <r>
          <rPr>
            <b/>
            <sz val="9"/>
            <color indexed="81"/>
            <rFont val="新細明體"/>
            <family val="1"/>
            <charset val="136"/>
          </rPr>
          <t>scb:</t>
        </r>
        <r>
          <rPr>
            <sz val="9"/>
            <color indexed="81"/>
            <rFont val="新細明體"/>
            <family val="1"/>
            <charset val="136"/>
          </rPr>
          <t xml:space="preserve">
7/30 新增加此欄
11/11調整只需提供後7碼, 因為FinIQ只有後7碼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scb</author>
  </authors>
  <commentList>
    <comment ref="G14" authorId="0" shapeId="0" xr:uid="{0B7ADC23-3371-4906-9272-615FC4E6BF2A}">
      <text>
        <r>
          <rPr>
            <b/>
            <sz val="9"/>
            <color indexed="81"/>
            <rFont val="新細明體"/>
            <family val="1"/>
            <charset val="136"/>
          </rPr>
          <t>scb:</t>
        </r>
        <r>
          <rPr>
            <sz val="9"/>
            <color indexed="81"/>
            <rFont val="新細明體"/>
            <family val="1"/>
            <charset val="136"/>
          </rPr>
          <t xml:space="preserve">
6/1 updated by Debbie</t>
        </r>
      </text>
    </comment>
    <comment ref="G15" authorId="0" shapeId="0" xr:uid="{3B1A04BE-36B1-40A0-807C-10167200E67C}">
      <text>
        <r>
          <rPr>
            <b/>
            <sz val="9"/>
            <color indexed="81"/>
            <rFont val="新細明體"/>
            <family val="1"/>
            <charset val="136"/>
          </rPr>
          <t>scb:</t>
        </r>
        <r>
          <rPr>
            <sz val="9"/>
            <color indexed="81"/>
            <rFont val="新細明體"/>
            <family val="1"/>
            <charset val="136"/>
          </rPr>
          <t xml:space="preserve">
6/1 updated by Debbie</t>
        </r>
      </text>
    </comment>
    <comment ref="G17" authorId="0" shapeId="0" xr:uid="{6C68DE45-E917-4DAC-A7D0-19CFACF65BBB}">
      <text>
        <r>
          <rPr>
            <b/>
            <sz val="9"/>
            <color indexed="81"/>
            <rFont val="新細明體"/>
            <family val="1"/>
            <charset val="136"/>
          </rPr>
          <t>scb:</t>
        </r>
        <r>
          <rPr>
            <sz val="9"/>
            <color indexed="81"/>
            <rFont val="新細明體"/>
            <family val="1"/>
            <charset val="136"/>
          </rPr>
          <t xml:space="preserve">
6/1 updated by Debbie</t>
        </r>
      </text>
    </comment>
    <comment ref="G18" authorId="0" shapeId="0" xr:uid="{1DECB60B-1655-40CF-AA7D-F1F6C6017B51}">
      <text>
        <r>
          <rPr>
            <b/>
            <sz val="9"/>
            <color indexed="81"/>
            <rFont val="新細明體"/>
            <family val="1"/>
            <charset val="136"/>
          </rPr>
          <t>scb:</t>
        </r>
        <r>
          <rPr>
            <sz val="9"/>
            <color indexed="81"/>
            <rFont val="新細明體"/>
            <family val="1"/>
            <charset val="136"/>
          </rPr>
          <t xml:space="preserve">
6/1 updated by Debbie</t>
        </r>
      </text>
    </comment>
    <comment ref="G41" authorId="0" shapeId="0" xr:uid="{223AF6EA-A162-4D42-80C6-C4E4537BBC29}">
      <text>
        <r>
          <rPr>
            <b/>
            <sz val="9"/>
            <color indexed="81"/>
            <rFont val="新細明體"/>
            <family val="1"/>
            <charset val="136"/>
          </rPr>
          <t>scb:</t>
        </r>
        <r>
          <rPr>
            <sz val="9"/>
            <color indexed="81"/>
            <rFont val="新細明體"/>
            <family val="1"/>
            <charset val="136"/>
          </rPr>
          <t xml:space="preserve">
(Y:Early Closure
" ": Not early Closure)
6/1 update by Debbie</t>
        </r>
      </text>
    </comment>
    <comment ref="B54" authorId="0" shapeId="0" xr:uid="{AE1C439F-45E2-4D46-9786-5C727C22E919}">
      <text>
        <r>
          <rPr>
            <b/>
            <sz val="9"/>
            <color indexed="81"/>
            <rFont val="新細明體"/>
            <family val="1"/>
            <charset val="136"/>
          </rPr>
          <t>scb:</t>
        </r>
        <r>
          <rPr>
            <sz val="9"/>
            <color indexed="81"/>
            <rFont val="新細明體"/>
            <family val="1"/>
            <charset val="136"/>
          </rPr>
          <t xml:space="preserve">
6/2 update by Debbie</t>
        </r>
      </text>
    </comment>
    <comment ref="G54" authorId="0" shapeId="0" xr:uid="{88570F27-E5E8-4AE9-88C5-28F1407EE546}">
      <text>
        <r>
          <rPr>
            <b/>
            <sz val="9"/>
            <color indexed="81"/>
            <rFont val="新細明體"/>
            <family val="1"/>
            <charset val="136"/>
          </rPr>
          <t>scb:</t>
        </r>
        <r>
          <rPr>
            <sz val="9"/>
            <color indexed="81"/>
            <rFont val="新細明體"/>
            <family val="1"/>
            <charset val="136"/>
          </rPr>
          <t xml:space="preserve">
6/2 updated by Debbie</t>
        </r>
      </text>
    </comment>
    <comment ref="G57" authorId="0" shapeId="0" xr:uid="{E64355F0-7B42-4A82-985F-EDF05DA5A46D}">
      <text>
        <r>
          <rPr>
            <b/>
            <sz val="9"/>
            <color indexed="81"/>
            <rFont val="新細明體"/>
            <family val="1"/>
            <charset val="136"/>
          </rPr>
          <t>scb:</t>
        </r>
        <r>
          <rPr>
            <sz val="9"/>
            <color indexed="81"/>
            <rFont val="新細明體"/>
            <family val="1"/>
            <charset val="136"/>
          </rPr>
          <t xml:space="preserve">
6/2 updated by Debbie</t>
        </r>
      </text>
    </comment>
    <comment ref="G60" authorId="0" shapeId="0" xr:uid="{83E9E407-D914-4296-A82D-800F1CEC0C87}">
      <text>
        <r>
          <rPr>
            <b/>
            <sz val="9"/>
            <color indexed="81"/>
            <rFont val="新細明體"/>
            <family val="1"/>
            <charset val="136"/>
          </rPr>
          <t>scb:</t>
        </r>
        <r>
          <rPr>
            <sz val="9"/>
            <color indexed="81"/>
            <rFont val="新細明體"/>
            <family val="1"/>
            <charset val="136"/>
          </rPr>
          <t xml:space="preserve">
6/2 update by Debbie</t>
        </r>
      </text>
    </comment>
    <comment ref="B63" authorId="0" shapeId="0" xr:uid="{F736AD02-AB05-4EC4-A0F1-723BB7E2435C}">
      <text>
        <r>
          <rPr>
            <b/>
            <sz val="9"/>
            <color indexed="81"/>
            <rFont val="新細明體"/>
            <family val="1"/>
            <charset val="136"/>
          </rPr>
          <t>scb:</t>
        </r>
        <r>
          <rPr>
            <sz val="9"/>
            <color indexed="81"/>
            <rFont val="新細明體"/>
            <family val="1"/>
            <charset val="136"/>
          </rPr>
          <t xml:space="preserve">
need to add this field, waiting email reply.</t>
        </r>
      </text>
    </comment>
    <comment ref="A65" authorId="0" shapeId="0" xr:uid="{CC9E0421-725B-42FF-8DD2-8737BC4150F6}">
      <text>
        <r>
          <rPr>
            <b/>
            <sz val="9"/>
            <color indexed="81"/>
            <rFont val="新細明體"/>
            <family val="1"/>
            <charset val="136"/>
          </rPr>
          <t>scb:</t>
        </r>
        <r>
          <rPr>
            <sz val="9"/>
            <color indexed="81"/>
            <rFont val="新細明體"/>
            <family val="1"/>
            <charset val="136"/>
          </rPr>
          <t xml:space="preserve">
7/30 新增加此欄
11/11調整只需提供後7碼, 因為FinIQ只有後7碼</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scb</author>
  </authors>
  <commentList>
    <comment ref="B17" authorId="0" shapeId="0" xr:uid="{759F535E-DA42-41BB-B5BF-A007FFCA41CB}">
      <text>
        <r>
          <rPr>
            <b/>
            <sz val="9"/>
            <color indexed="81"/>
            <rFont val="新細明體"/>
            <family val="1"/>
            <charset val="136"/>
          </rPr>
          <t>scb:</t>
        </r>
        <r>
          <rPr>
            <sz val="9"/>
            <color indexed="81"/>
            <rFont val="新細明體"/>
            <family val="1"/>
            <charset val="136"/>
          </rPr>
          <t xml:space="preserve">
 TW screen mapping v4.6 writting error.  
4/26 confirmed with May Khin: only required the tax rate.</t>
        </r>
      </text>
    </comment>
    <comment ref="B18" authorId="0" shapeId="0" xr:uid="{17A49628-A0A8-443B-A23D-1E77D91A4A3C}">
      <text>
        <r>
          <rPr>
            <b/>
            <sz val="9"/>
            <color indexed="81"/>
            <rFont val="新細明體"/>
            <family val="1"/>
            <charset val="136"/>
          </rPr>
          <t>scb:</t>
        </r>
        <r>
          <rPr>
            <sz val="9"/>
            <color indexed="81"/>
            <rFont val="新細明體"/>
            <family val="1"/>
            <charset val="136"/>
          </rPr>
          <t xml:space="preserve">
TW screen mapping v4.6 writing error. The correct is 9(08).</t>
        </r>
      </text>
    </comment>
    <comment ref="B19" authorId="0" shapeId="0" xr:uid="{D8D33AC7-6391-499A-B496-459CDE36BA4D}">
      <text>
        <r>
          <rPr>
            <b/>
            <sz val="9"/>
            <color indexed="81"/>
            <rFont val="新細明體"/>
            <family val="1"/>
            <charset val="136"/>
          </rPr>
          <t>scb:</t>
        </r>
        <r>
          <rPr>
            <sz val="9"/>
            <color indexed="81"/>
            <rFont val="新細明體"/>
            <family val="1"/>
            <charset val="136"/>
          </rPr>
          <t xml:space="preserve">
TW screen mapping v4.6 writting error. The correct is 9(11)V99</t>
        </r>
      </text>
    </comment>
    <comment ref="B21" authorId="0" shapeId="0" xr:uid="{A3DBBE29-B04B-43B7-9F3A-F25F610496EB}">
      <text>
        <r>
          <rPr>
            <b/>
            <sz val="9"/>
            <color indexed="81"/>
            <rFont val="新細明體"/>
            <family val="1"/>
            <charset val="136"/>
          </rPr>
          <t>scb:</t>
        </r>
        <r>
          <rPr>
            <sz val="9"/>
            <color indexed="81"/>
            <rFont val="新細明體"/>
            <family val="1"/>
            <charset val="136"/>
          </rPr>
          <t xml:space="preserve">
TW screen mapping v4.6 writting error. The correct is 9(11)V99</t>
        </r>
      </text>
    </comment>
    <comment ref="B23" authorId="0" shapeId="0" xr:uid="{E7B71CE7-1014-492A-B087-F27DA6BD97A5}">
      <text>
        <r>
          <rPr>
            <b/>
            <sz val="9"/>
            <color indexed="81"/>
            <rFont val="新細明體"/>
            <family val="1"/>
            <charset val="136"/>
          </rPr>
          <t>scb:</t>
        </r>
        <r>
          <rPr>
            <sz val="9"/>
            <color indexed="81"/>
            <rFont val="新細明體"/>
            <family val="1"/>
            <charset val="136"/>
          </rPr>
          <t xml:space="preserve">
TW screen mapping v4.6 writting error. The correct is 9(11)V99</t>
        </r>
      </text>
    </comment>
    <comment ref="B24" authorId="0" shapeId="0" xr:uid="{C7F821BA-3F93-41A2-8011-AF4CEBC9D78D}">
      <text>
        <r>
          <rPr>
            <b/>
            <sz val="9"/>
            <color indexed="81"/>
            <rFont val="新細明體"/>
            <family val="1"/>
            <charset val="136"/>
          </rPr>
          <t>scb:</t>
        </r>
        <r>
          <rPr>
            <sz val="9"/>
            <color indexed="81"/>
            <rFont val="新細明體"/>
            <family val="1"/>
            <charset val="136"/>
          </rPr>
          <t xml:space="preserve">
TW screen mappinjg v4.6 writting error. The correct is 9(4)V9(8)</t>
        </r>
      </text>
    </comment>
    <comment ref="B27" authorId="0" shapeId="0" xr:uid="{9CA8E5EE-F758-400D-A594-9BF51A9AE54A}">
      <text>
        <r>
          <rPr>
            <b/>
            <sz val="9"/>
            <color indexed="81"/>
            <rFont val="新細明體"/>
            <family val="1"/>
            <charset val="136"/>
          </rPr>
          <t>scb:</t>
        </r>
        <r>
          <rPr>
            <sz val="9"/>
            <color indexed="81"/>
            <rFont val="新細明體"/>
            <family val="1"/>
            <charset val="136"/>
          </rPr>
          <t xml:space="preserve">
TW screen mapping v4.6 writting error. The correct is 9(11)V99</t>
        </r>
      </text>
    </comment>
    <comment ref="A31" authorId="0" shapeId="0" xr:uid="{C6141587-6F37-4D07-9910-B4AD8B0EAF34}">
      <text>
        <r>
          <rPr>
            <b/>
            <sz val="9"/>
            <color indexed="81"/>
            <rFont val="新細明體"/>
            <family val="1"/>
            <charset val="136"/>
          </rPr>
          <t>scb:</t>
        </r>
        <r>
          <rPr>
            <sz val="9"/>
            <color indexed="81"/>
            <rFont val="新細明體"/>
            <family val="1"/>
            <charset val="136"/>
          </rPr>
          <t xml:space="preserve">
6/15 Add this field.</t>
        </r>
      </text>
    </comment>
    <comment ref="B49" authorId="0" shapeId="0" xr:uid="{660E941B-F4CA-4A6C-B8DE-4E6D1904A091}">
      <text>
        <r>
          <rPr>
            <b/>
            <sz val="9"/>
            <color indexed="81"/>
            <rFont val="新細明體"/>
            <family val="1"/>
            <charset val="136"/>
          </rPr>
          <t>scb:</t>
        </r>
        <r>
          <rPr>
            <sz val="9"/>
            <color indexed="81"/>
            <rFont val="新細明體"/>
            <family val="1"/>
            <charset val="136"/>
          </rPr>
          <t xml:space="preserve">
Need to add this field, waiting email reply.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Pei, Cherry Hong</author>
  </authors>
  <commentList>
    <comment ref="A18" authorId="0" shapeId="0" xr:uid="{44BEBFEB-15DA-40F3-869D-8E4A1B2B6B6C}">
      <text>
        <r>
          <rPr>
            <b/>
            <sz val="9"/>
            <color indexed="81"/>
            <rFont val="Tahoma"/>
            <family val="2"/>
          </rPr>
          <t>Pei, Cherry Hong:</t>
        </r>
        <r>
          <rPr>
            <sz val="9"/>
            <color indexed="81"/>
            <rFont val="Tahoma"/>
            <family val="2"/>
          </rPr>
          <t xml:space="preserve">
Will indicator the type of loans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Pei, Cherry Hong</author>
  </authors>
  <commentList>
    <comment ref="G4" authorId="0" shapeId="0" xr:uid="{C50514CC-DC96-4AD0-80B0-F136F17250F8}">
      <text>
        <r>
          <rPr>
            <b/>
            <sz val="9"/>
            <color indexed="81"/>
            <rFont val="Tahoma"/>
            <family val="2"/>
          </rPr>
          <t>Pei, Cherry Hong:</t>
        </r>
        <r>
          <rPr>
            <sz val="9"/>
            <color indexed="81"/>
            <rFont val="Tahoma"/>
            <family val="2"/>
          </rPr>
          <t xml:space="preserve">
When it is SI, pass in the value as 'PCI'</t>
        </r>
      </text>
    </comment>
  </commentList>
</comments>
</file>

<file path=xl/sharedStrings.xml><?xml version="1.0" encoding="utf-8"?>
<sst xmlns="http://schemas.openxmlformats.org/spreadsheetml/2006/main" count="11258" uniqueCount="3189">
  <si>
    <t>Field Name</t>
  </si>
  <si>
    <t>Field Definition                    (X = Alpha9;               9 = 9)</t>
  </si>
  <si>
    <t>Field Number</t>
  </si>
  <si>
    <t>Start Position</t>
  </si>
  <si>
    <t>End Position</t>
  </si>
  <si>
    <t>Field Length</t>
  </si>
  <si>
    <t>Remarks</t>
  </si>
  <si>
    <t>Field Source( Tandem, GGS, CIS, MFS, B2C...as like System name)</t>
    <phoneticPr fontId="0" type="noConversion"/>
  </si>
  <si>
    <t>Field Table Name( Field from which Table)</t>
    <phoneticPr fontId="0" type="noConversion"/>
  </si>
  <si>
    <t>Field Name</t>
    <phoneticPr fontId="0" type="noConversion"/>
  </si>
  <si>
    <t>RLS Screen</t>
  </si>
  <si>
    <t>CEMS screen mapping fields no</t>
    <phoneticPr fontId="0" type="noConversion"/>
  </si>
  <si>
    <t>FLOW OF INFO</t>
  </si>
  <si>
    <t>HEADER-RECORD-FundDetail</t>
    <phoneticPr fontId="0" type="noConversion"/>
  </si>
  <si>
    <t>GROUP</t>
  </si>
  <si>
    <t xml:space="preserve"> </t>
    <phoneticPr fontId="0" type="noConversion"/>
  </si>
  <si>
    <r>
      <t xml:space="preserve">MFS </t>
    </r>
    <r>
      <rPr>
        <sz val="8"/>
        <rFont val="Arial"/>
        <family val="2"/>
      </rPr>
      <t>TO ISIS</t>
    </r>
  </si>
  <si>
    <t>Record Type</t>
  </si>
  <si>
    <t>X(01)</t>
  </si>
  <si>
    <r>
      <t xml:space="preserve">Will contain character </t>
    </r>
    <r>
      <rPr>
        <b/>
        <sz val="8"/>
        <rFont val="Arial"/>
        <family val="2"/>
      </rPr>
      <t>'H'</t>
    </r>
    <r>
      <rPr>
        <sz val="8"/>
        <rFont val="Arial"/>
        <family val="2"/>
      </rPr>
      <t xml:space="preserve"> to indicate Header record</t>
    </r>
  </si>
  <si>
    <r>
      <t>M</t>
    </r>
    <r>
      <rPr>
        <sz val="8"/>
        <rFont val="Arial"/>
        <family val="2"/>
      </rPr>
      <t>FS</t>
    </r>
  </si>
  <si>
    <t>Source System Name</t>
    <phoneticPr fontId="0" type="noConversion"/>
  </si>
  <si>
    <t>X(15)</t>
    <phoneticPr fontId="0" type="noConversion"/>
  </si>
  <si>
    <t>System Name is "MFS"</t>
    <phoneticPr fontId="0" type="noConversion"/>
  </si>
  <si>
    <t>Country Code</t>
    <phoneticPr fontId="0" type="noConversion"/>
  </si>
  <si>
    <t>X(10)</t>
    <phoneticPr fontId="0" type="noConversion"/>
  </si>
  <si>
    <t>Coutry Code is "TW"</t>
    <phoneticPr fontId="0" type="noConversion"/>
  </si>
  <si>
    <t>Effective Date</t>
    <phoneticPr fontId="0" type="noConversion"/>
  </si>
  <si>
    <t>9(08)</t>
    <phoneticPr fontId="0" type="noConversion"/>
  </si>
  <si>
    <t>YYYYMMDD</t>
    <phoneticPr fontId="0" type="noConversion"/>
  </si>
  <si>
    <t>File Name</t>
    <phoneticPr fontId="0" type="noConversion"/>
  </si>
  <si>
    <t>X(15)</t>
    <phoneticPr fontId="0" type="noConversion"/>
  </si>
  <si>
    <t>file name "FundDtl"</t>
  </si>
  <si>
    <t xml:space="preserve">Delimiter </t>
    <phoneticPr fontId="0" type="noConversion"/>
  </si>
  <si>
    <t>X(01)</t>
    <phoneticPr fontId="0" type="noConversion"/>
  </si>
  <si>
    <t>Vaule is Hex-04</t>
    <phoneticPr fontId="0" type="noConversion"/>
  </si>
  <si>
    <t>DETAIL-RECORD-FundDetail</t>
    <phoneticPr fontId="0" type="noConversion"/>
  </si>
  <si>
    <t>Record Type</t>
    <phoneticPr fontId="0" type="noConversion"/>
  </si>
  <si>
    <r>
      <t xml:space="preserve">Will contain character </t>
    </r>
    <r>
      <rPr>
        <b/>
        <sz val="8"/>
        <rFont val="Arial"/>
        <family val="2"/>
      </rPr>
      <t>'D'</t>
    </r>
    <r>
      <rPr>
        <sz val="8"/>
        <rFont val="Arial"/>
        <family val="2"/>
      </rPr>
      <t xml:space="preserve"> to indicate Retail record</t>
    </r>
  </si>
  <si>
    <t>Func. 1.1: Commodity Data Inq</t>
    <phoneticPr fontId="0" type="noConversion"/>
  </si>
  <si>
    <t>Fund Code</t>
    <phoneticPr fontId="0" type="noConversion"/>
  </si>
  <si>
    <t>X(8)</t>
    <phoneticPr fontId="0" type="noConversion"/>
  </si>
  <si>
    <t>基金代號(KEY)</t>
    <phoneticPr fontId="0" type="noConversion"/>
  </si>
  <si>
    <t>CEMS_FundDetail</t>
    <phoneticPr fontId="0" type="noConversion"/>
  </si>
  <si>
    <t>FundID</t>
    <phoneticPr fontId="0" type="noConversion"/>
  </si>
  <si>
    <t>606</t>
  </si>
  <si>
    <t>Fund House Code</t>
  </si>
  <si>
    <t>X(4)</t>
    <phoneticPr fontId="0" type="noConversion"/>
  </si>
  <si>
    <t>基金公司 refer to InvCorp</t>
    <phoneticPr fontId="0" type="noConversion"/>
  </si>
  <si>
    <t>CorpID</t>
    <phoneticPr fontId="0" type="noConversion"/>
  </si>
  <si>
    <t>International Fund House Code</t>
  </si>
  <si>
    <t>公會統一代號</t>
    <phoneticPr fontId="0" type="noConversion"/>
  </si>
  <si>
    <t>AssocFundNo</t>
    <phoneticPr fontId="0" type="noConversion"/>
  </si>
  <si>
    <t>607</t>
  </si>
  <si>
    <t>Fund Name (in Chinese)</t>
    <phoneticPr fontId="0" type="noConversion"/>
  </si>
  <si>
    <t>X(60)</t>
  </si>
  <si>
    <t>中文名稱</t>
  </si>
  <si>
    <t>FundCName</t>
    <phoneticPr fontId="0" type="noConversion"/>
  </si>
  <si>
    <t>608</t>
  </si>
  <si>
    <t>Fund Name (in English)</t>
  </si>
  <si>
    <t>英文名稱</t>
    <phoneticPr fontId="0" type="noConversion"/>
  </si>
  <si>
    <t>FundEName</t>
    <phoneticPr fontId="0" type="noConversion"/>
  </si>
  <si>
    <t>609</t>
  </si>
  <si>
    <t>Authorized by Govt</t>
  </si>
  <si>
    <t>是否經核准
Y= Approved
N= Non-approved</t>
    <phoneticPr fontId="0" type="noConversion"/>
  </si>
  <si>
    <t>ApproveFlg</t>
    <phoneticPr fontId="0" type="noConversion"/>
  </si>
  <si>
    <t>610</t>
  </si>
  <si>
    <t>Fund (currency)</t>
  </si>
  <si>
    <t>X(12)</t>
    <phoneticPr fontId="0" type="noConversion"/>
  </si>
  <si>
    <t>計價幣別</t>
    <phoneticPr fontId="0" type="noConversion"/>
  </si>
  <si>
    <t>CurrencyCodeDesc</t>
    <phoneticPr fontId="0" type="noConversion"/>
  </si>
  <si>
    <t>611</t>
  </si>
  <si>
    <t>Fund Type</t>
  </si>
  <si>
    <t>X(100)</t>
    <phoneticPr fontId="0" type="noConversion"/>
  </si>
  <si>
    <t>基金類型</t>
    <phoneticPr fontId="0" type="noConversion"/>
  </si>
  <si>
    <t>CategoryDesc</t>
    <phoneticPr fontId="0" type="noConversion"/>
  </si>
  <si>
    <t>612</t>
  </si>
  <si>
    <t>Investment area</t>
    <phoneticPr fontId="0" type="noConversion"/>
  </si>
  <si>
    <t>X(30)</t>
    <phoneticPr fontId="0" type="noConversion"/>
  </si>
  <si>
    <t>投資地區</t>
    <phoneticPr fontId="0" type="noConversion"/>
  </si>
  <si>
    <t>RegionDesc</t>
    <phoneticPr fontId="0" type="noConversion"/>
  </si>
  <si>
    <t>613</t>
  </si>
  <si>
    <t>Unit (in decimal)</t>
  </si>
  <si>
    <t>9(03)</t>
    <phoneticPr fontId="0" type="noConversion"/>
  </si>
  <si>
    <t>單位數小數位</t>
    <phoneticPr fontId="0" type="noConversion"/>
  </si>
  <si>
    <t>UnitDecimal</t>
    <phoneticPr fontId="0" type="noConversion"/>
  </si>
  <si>
    <t>614</t>
  </si>
  <si>
    <t>Registration country</t>
    <phoneticPr fontId="0" type="noConversion"/>
  </si>
  <si>
    <t>X(20)</t>
    <phoneticPr fontId="0" type="noConversion"/>
  </si>
  <si>
    <t>註冊國家</t>
    <phoneticPr fontId="0" type="noConversion"/>
  </si>
  <si>
    <t>CountryName</t>
    <phoneticPr fontId="0" type="noConversion"/>
  </si>
  <si>
    <t>615</t>
  </si>
  <si>
    <t>Target Industry</t>
  </si>
  <si>
    <t>投資標的</t>
    <phoneticPr fontId="0" type="noConversion"/>
  </si>
  <si>
    <t>TargetDesc</t>
    <phoneticPr fontId="0" type="noConversion"/>
  </si>
  <si>
    <t>616</t>
  </si>
  <si>
    <t>Purchase (RSP, lump sum) : Y, Y</t>
  </si>
  <si>
    <r>
      <t>申請</t>
    </r>
    <r>
      <rPr>
        <sz val="8"/>
        <rFont val="Arial"/>
        <family val="2"/>
      </rPr>
      <t xml:space="preserve"> (</t>
    </r>
    <r>
      <rPr>
        <sz val="8"/>
        <rFont val="細明體"/>
        <family val="3"/>
        <charset val="136"/>
      </rPr>
      <t>小額</t>
    </r>
    <r>
      <rPr>
        <sz val="8"/>
        <rFont val="Arial"/>
        <family val="2"/>
      </rPr>
      <t xml:space="preserve">, </t>
    </r>
    <r>
      <rPr>
        <sz val="8"/>
        <rFont val="細明體"/>
        <family val="3"/>
        <charset val="136"/>
      </rPr>
      <t>一般</t>
    </r>
    <r>
      <rPr>
        <sz val="8"/>
        <rFont val="Arial"/>
        <family val="2"/>
      </rPr>
      <t xml:space="preserve">)
valid values :
</t>
    </r>
    <r>
      <rPr>
        <sz val="8"/>
        <rFont val="細明體"/>
        <family val="3"/>
        <charset val="136"/>
      </rPr>
      <t>正常</t>
    </r>
    <r>
      <rPr>
        <sz val="8"/>
        <rFont val="Arial"/>
        <family val="2"/>
      </rPr>
      <t xml:space="preserve">, </t>
    </r>
    <r>
      <rPr>
        <sz val="8"/>
        <rFont val="細明體"/>
        <family val="3"/>
        <charset val="136"/>
      </rPr>
      <t>正常
正常</t>
    </r>
    <r>
      <rPr>
        <sz val="8"/>
        <rFont val="Arial"/>
        <family val="2"/>
      </rPr>
      <t xml:space="preserve">, </t>
    </r>
    <r>
      <rPr>
        <sz val="8"/>
        <rFont val="細明體"/>
        <family val="3"/>
        <charset val="136"/>
      </rPr>
      <t>停止</t>
    </r>
    <r>
      <rPr>
        <sz val="8"/>
        <rFont val="Arial"/>
        <family val="2"/>
      </rPr>
      <t xml:space="preserve">
</t>
    </r>
    <r>
      <rPr>
        <sz val="8"/>
        <rFont val="細明體"/>
        <family val="3"/>
        <charset val="136"/>
      </rPr>
      <t>停止</t>
    </r>
    <r>
      <rPr>
        <sz val="8"/>
        <rFont val="Arial"/>
        <family val="2"/>
      </rPr>
      <t xml:space="preserve">, </t>
    </r>
    <r>
      <rPr>
        <sz val="8"/>
        <rFont val="細明體"/>
        <family val="3"/>
        <charset val="136"/>
      </rPr>
      <t>正常
停止</t>
    </r>
    <r>
      <rPr>
        <sz val="8"/>
        <rFont val="Arial"/>
        <family val="2"/>
      </rPr>
      <t xml:space="preserve">, </t>
    </r>
    <r>
      <rPr>
        <sz val="8"/>
        <rFont val="細明體"/>
        <family val="3"/>
        <charset val="136"/>
      </rPr>
      <t>停止</t>
    </r>
  </si>
  <si>
    <t>PurchaseStatus</t>
    <phoneticPr fontId="0" type="noConversion"/>
  </si>
  <si>
    <t>617</t>
  </si>
  <si>
    <t>Redeem (RSP, lump sum) : Y, Y</t>
  </si>
  <si>
    <r>
      <t xml:space="preserve">贖回
</t>
    </r>
    <r>
      <rPr>
        <sz val="8"/>
        <rFont val="Arial"/>
        <family val="2"/>
      </rPr>
      <t xml:space="preserve">valid values :
</t>
    </r>
    <r>
      <rPr>
        <sz val="8"/>
        <rFont val="細明體"/>
        <family val="3"/>
        <charset val="136"/>
      </rPr>
      <t>正常</t>
    </r>
    <r>
      <rPr>
        <sz val="8"/>
        <rFont val="Arial"/>
        <family val="2"/>
      </rPr>
      <t xml:space="preserve">, </t>
    </r>
    <r>
      <rPr>
        <sz val="8"/>
        <rFont val="細明體"/>
        <family val="3"/>
        <charset val="136"/>
      </rPr>
      <t>正常
正常</t>
    </r>
    <r>
      <rPr>
        <sz val="8"/>
        <rFont val="Arial"/>
        <family val="2"/>
      </rPr>
      <t xml:space="preserve">, </t>
    </r>
    <r>
      <rPr>
        <sz val="8"/>
        <rFont val="細明體"/>
        <family val="3"/>
        <charset val="136"/>
      </rPr>
      <t>停止
停止</t>
    </r>
    <r>
      <rPr>
        <sz val="8"/>
        <rFont val="Arial"/>
        <family val="2"/>
      </rPr>
      <t xml:space="preserve">, </t>
    </r>
    <r>
      <rPr>
        <sz val="8"/>
        <rFont val="細明體"/>
        <family val="3"/>
        <charset val="136"/>
      </rPr>
      <t>正常
停止</t>
    </r>
    <r>
      <rPr>
        <sz val="8"/>
        <rFont val="Arial"/>
        <family val="2"/>
      </rPr>
      <t xml:space="preserve">, </t>
    </r>
    <r>
      <rPr>
        <sz val="8"/>
        <rFont val="細明體"/>
        <family val="3"/>
        <charset val="136"/>
      </rPr>
      <t>停止</t>
    </r>
  </si>
  <si>
    <t>RedeemStatus</t>
    <phoneticPr fontId="0" type="noConversion"/>
  </si>
  <si>
    <t>618</t>
  </si>
  <si>
    <t>Switch In (RSP, lump sum) : Y, Y</t>
  </si>
  <si>
    <r>
      <t>轉入</t>
    </r>
    <r>
      <rPr>
        <sz val="8"/>
        <rFont val="Arial"/>
        <family val="2"/>
      </rPr>
      <t>(</t>
    </r>
    <r>
      <rPr>
        <sz val="8"/>
        <rFont val="細明體"/>
        <family val="3"/>
        <charset val="136"/>
      </rPr>
      <t>小額</t>
    </r>
    <r>
      <rPr>
        <sz val="8"/>
        <rFont val="Arial"/>
        <family val="2"/>
      </rPr>
      <t xml:space="preserve">, </t>
    </r>
    <r>
      <rPr>
        <sz val="8"/>
        <rFont val="細明體"/>
        <family val="3"/>
        <charset val="136"/>
      </rPr>
      <t>一般</t>
    </r>
    <r>
      <rPr>
        <sz val="8"/>
        <rFont val="Arial"/>
        <family val="2"/>
      </rPr>
      <t xml:space="preserve">)
valid values :
</t>
    </r>
    <r>
      <rPr>
        <sz val="8"/>
        <rFont val="細明體"/>
        <family val="3"/>
        <charset val="136"/>
      </rPr>
      <t>正常</t>
    </r>
    <r>
      <rPr>
        <sz val="8"/>
        <rFont val="Arial"/>
        <family val="2"/>
      </rPr>
      <t xml:space="preserve">, </t>
    </r>
    <r>
      <rPr>
        <sz val="8"/>
        <rFont val="細明體"/>
        <family val="3"/>
        <charset val="136"/>
      </rPr>
      <t>正常
正常</t>
    </r>
    <r>
      <rPr>
        <sz val="8"/>
        <rFont val="Arial"/>
        <family val="2"/>
      </rPr>
      <t xml:space="preserve">, </t>
    </r>
    <r>
      <rPr>
        <sz val="8"/>
        <rFont val="細明體"/>
        <family val="3"/>
        <charset val="136"/>
      </rPr>
      <t>停止
停止</t>
    </r>
    <r>
      <rPr>
        <sz val="8"/>
        <rFont val="Arial"/>
        <family val="2"/>
      </rPr>
      <t xml:space="preserve">, </t>
    </r>
    <r>
      <rPr>
        <sz val="8"/>
        <rFont val="細明體"/>
        <family val="3"/>
        <charset val="136"/>
      </rPr>
      <t>正常
停止</t>
    </r>
    <r>
      <rPr>
        <sz val="8"/>
        <rFont val="Arial"/>
        <family val="2"/>
      </rPr>
      <t xml:space="preserve">, </t>
    </r>
    <r>
      <rPr>
        <sz val="8"/>
        <rFont val="細明體"/>
        <family val="3"/>
        <charset val="136"/>
      </rPr>
      <t>停止</t>
    </r>
  </si>
  <si>
    <t>SwitchInStatus</t>
    <phoneticPr fontId="0" type="noConversion"/>
  </si>
  <si>
    <t>619</t>
  </si>
  <si>
    <t>Switch Out (RSP, lump sum) : Y, Y</t>
  </si>
  <si>
    <r>
      <t xml:space="preserve">轉出
</t>
    </r>
    <r>
      <rPr>
        <sz val="8"/>
        <rFont val="Arial"/>
        <family val="2"/>
      </rPr>
      <t xml:space="preserve">valid values :
</t>
    </r>
    <r>
      <rPr>
        <sz val="8"/>
        <rFont val="細明體"/>
        <family val="3"/>
        <charset val="136"/>
      </rPr>
      <t>正常</t>
    </r>
    <r>
      <rPr>
        <sz val="8"/>
        <rFont val="Arial"/>
        <family val="2"/>
      </rPr>
      <t xml:space="preserve">, </t>
    </r>
    <r>
      <rPr>
        <sz val="8"/>
        <rFont val="細明體"/>
        <family val="3"/>
        <charset val="136"/>
      </rPr>
      <t>正常
正常</t>
    </r>
    <r>
      <rPr>
        <sz val="8"/>
        <rFont val="Arial"/>
        <family val="2"/>
      </rPr>
      <t xml:space="preserve">, </t>
    </r>
    <r>
      <rPr>
        <sz val="8"/>
        <rFont val="細明體"/>
        <family val="3"/>
        <charset val="136"/>
      </rPr>
      <t>停止
停止</t>
    </r>
    <r>
      <rPr>
        <sz val="8"/>
        <rFont val="Arial"/>
        <family val="2"/>
      </rPr>
      <t xml:space="preserve">, </t>
    </r>
    <r>
      <rPr>
        <sz val="8"/>
        <rFont val="細明體"/>
        <family val="3"/>
        <charset val="136"/>
      </rPr>
      <t>正常
停止</t>
    </r>
    <r>
      <rPr>
        <sz val="8"/>
        <rFont val="Arial"/>
        <family val="2"/>
      </rPr>
      <t xml:space="preserve">, </t>
    </r>
    <r>
      <rPr>
        <sz val="8"/>
        <rFont val="細明體"/>
        <family val="3"/>
        <charset val="136"/>
      </rPr>
      <t>停止</t>
    </r>
  </si>
  <si>
    <t>SwitchOutStatus</t>
    <phoneticPr fontId="0" type="noConversion"/>
  </si>
  <si>
    <t>620</t>
  </si>
  <si>
    <t>Distribution method</t>
  </si>
  <si>
    <t>X(150)</t>
    <phoneticPr fontId="0" type="noConversion"/>
  </si>
  <si>
    <t>收益分配方式</t>
    <phoneticPr fontId="0" type="noConversion"/>
  </si>
  <si>
    <t>DistributionMethod</t>
    <phoneticPr fontId="0" type="noConversion"/>
  </si>
  <si>
    <t>621</t>
  </si>
  <si>
    <t>Record date (purchase)</t>
  </si>
  <si>
    <r>
      <t>X</t>
    </r>
    <r>
      <rPr>
        <sz val="8"/>
        <rFont val="Arial"/>
        <family val="2"/>
      </rPr>
      <t>(10)</t>
    </r>
  </si>
  <si>
    <t>申請淨值基準日</t>
    <phoneticPr fontId="0" type="noConversion"/>
  </si>
  <si>
    <r>
      <t>Purch</t>
    </r>
    <r>
      <rPr>
        <sz val="8"/>
        <rFont val="Arial"/>
        <family val="2"/>
      </rPr>
      <t>NavDayDesc</t>
    </r>
  </si>
  <si>
    <t>622</t>
  </si>
  <si>
    <t>Record date (redeem)</t>
  </si>
  <si>
    <t>贖回淨值基準日</t>
  </si>
  <si>
    <r>
      <t>R</t>
    </r>
    <r>
      <rPr>
        <sz val="8"/>
        <rFont val="Arial"/>
        <family val="2"/>
      </rPr>
      <t>edeemNavDayDesc</t>
    </r>
  </si>
  <si>
    <t>623</t>
  </si>
  <si>
    <t xml:space="preserve">Switch Out date </t>
  </si>
  <si>
    <t>轉出淨值基準日</t>
  </si>
  <si>
    <r>
      <t>S</t>
    </r>
    <r>
      <rPr>
        <sz val="8"/>
        <rFont val="Arial"/>
        <family val="2"/>
      </rPr>
      <t>witchInNavDayDesc</t>
    </r>
  </si>
  <si>
    <t>624</t>
  </si>
  <si>
    <t>Payment date</t>
  </si>
  <si>
    <t>贖回入帳日</t>
  </si>
  <si>
    <r>
      <t>R</t>
    </r>
    <r>
      <rPr>
        <sz val="8"/>
        <rFont val="Arial"/>
        <family val="2"/>
      </rPr>
      <t>edeemPayDayDesc</t>
    </r>
  </si>
  <si>
    <t>625</t>
  </si>
  <si>
    <t xml:space="preserve">Forbidden customer </t>
  </si>
  <si>
    <r>
      <t>X</t>
    </r>
    <r>
      <rPr>
        <sz val="8"/>
        <rFont val="Arial"/>
        <family val="2"/>
      </rPr>
      <t>(1000)</t>
    </r>
  </si>
  <si>
    <t>不可交易對象</t>
    <phoneticPr fontId="0" type="noConversion"/>
  </si>
  <si>
    <r>
      <t>S</t>
    </r>
    <r>
      <rPr>
        <sz val="8"/>
        <rFont val="Arial"/>
        <family val="2"/>
      </rPr>
      <t>uspendTradeDesc</t>
    </r>
  </si>
  <si>
    <t>626</t>
  </si>
  <si>
    <t>Transaction Amount constraint/limit:</t>
  </si>
  <si>
    <t>交易金額限制</t>
    <phoneticPr fontId="0" type="noConversion"/>
  </si>
  <si>
    <r>
      <t>T</t>
    </r>
    <r>
      <rPr>
        <sz val="8"/>
        <rFont val="Arial"/>
        <family val="2"/>
      </rPr>
      <t>radeAmountLimit</t>
    </r>
  </si>
  <si>
    <t>627</t>
  </si>
  <si>
    <t>Short Term transaction constraint :</t>
  </si>
  <si>
    <r>
      <t>X</t>
    </r>
    <r>
      <rPr>
        <sz val="8"/>
        <rFont val="Arial"/>
        <family val="2"/>
      </rPr>
      <t>(20)</t>
    </r>
  </si>
  <si>
    <t>短線交易限制</t>
    <phoneticPr fontId="0" type="noConversion"/>
  </si>
  <si>
    <r>
      <t>S</t>
    </r>
    <r>
      <rPr>
        <sz val="8"/>
        <rFont val="Arial"/>
        <family val="2"/>
      </rPr>
      <t>hortTermLimit</t>
    </r>
  </si>
  <si>
    <t>628</t>
  </si>
  <si>
    <t>short Term fee (%) :</t>
  </si>
  <si>
    <r>
      <t>X</t>
    </r>
    <r>
      <rPr>
        <sz val="8"/>
        <rFont val="Arial"/>
        <family val="2"/>
      </rPr>
      <t>(100)</t>
    </r>
  </si>
  <si>
    <t>短線費率</t>
    <phoneticPr fontId="0" type="noConversion"/>
  </si>
  <si>
    <r>
      <t>S</t>
    </r>
    <r>
      <rPr>
        <sz val="8"/>
        <rFont val="Arial"/>
        <family val="2"/>
      </rPr>
      <t>hortTermFeeDesc</t>
    </r>
  </si>
  <si>
    <t>629</t>
  </si>
  <si>
    <t>Others</t>
  </si>
  <si>
    <t>注意事項</t>
  </si>
  <si>
    <r>
      <t>M</t>
    </r>
    <r>
      <rPr>
        <sz val="8"/>
        <rFont val="Arial"/>
        <family val="2"/>
      </rPr>
      <t>emo</t>
    </r>
  </si>
  <si>
    <t>630</t>
  </si>
  <si>
    <t>NAV date :</t>
  </si>
  <si>
    <r>
      <t>X</t>
    </r>
    <r>
      <rPr>
        <sz val="8"/>
        <rFont val="Arial"/>
        <family val="2"/>
      </rPr>
      <t>(8)</t>
    </r>
  </si>
  <si>
    <r>
      <t>基金淨值日期</t>
    </r>
    <r>
      <rPr>
        <sz val="8"/>
        <rFont val="Arial"/>
        <family val="2"/>
      </rPr>
      <t>(yyyyMMdd)</t>
    </r>
  </si>
  <si>
    <r>
      <t>N</t>
    </r>
    <r>
      <rPr>
        <sz val="8"/>
        <rFont val="Arial"/>
        <family val="2"/>
      </rPr>
      <t>avDate</t>
    </r>
  </si>
  <si>
    <t>631</t>
  </si>
  <si>
    <t xml:space="preserve">NAV </t>
  </si>
  <si>
    <r>
      <t>9</t>
    </r>
    <r>
      <rPr>
        <sz val="8"/>
        <rFont val="Arial"/>
        <family val="2"/>
      </rPr>
      <t>(10,9)</t>
    </r>
  </si>
  <si>
    <r>
      <t>參考淨值</t>
    </r>
    <r>
      <rPr>
        <sz val="8"/>
        <rFont val="Arial"/>
        <family val="2"/>
      </rPr>
      <t>(#########0.#########)</t>
    </r>
  </si>
  <si>
    <r>
      <t>R</t>
    </r>
    <r>
      <rPr>
        <sz val="8"/>
        <rFont val="Arial"/>
        <family val="2"/>
      </rPr>
      <t>efNav</t>
    </r>
  </si>
  <si>
    <t>632</t>
  </si>
  <si>
    <t>Purchase NAV</t>
  </si>
  <si>
    <r>
      <t>申購價格</t>
    </r>
    <r>
      <rPr>
        <sz val="8"/>
        <rFont val="Arial"/>
        <family val="2"/>
      </rPr>
      <t>(#########0.#########)</t>
    </r>
  </si>
  <si>
    <t>OfferNav</t>
    <phoneticPr fontId="0" type="noConversion"/>
  </si>
  <si>
    <t>633</t>
  </si>
  <si>
    <t>Redeem NAV</t>
  </si>
  <si>
    <r>
      <t>贖回價格</t>
    </r>
    <r>
      <rPr>
        <sz val="8"/>
        <rFont val="Arial"/>
        <family val="2"/>
      </rPr>
      <t>(#########0.#########)</t>
    </r>
  </si>
  <si>
    <t>BidNav</t>
    <phoneticPr fontId="0" type="noConversion"/>
  </si>
  <si>
    <t>634</t>
  </si>
  <si>
    <t>Trust Fee - Branch (%)</t>
  </si>
  <si>
    <t>分行申購手續費率</t>
    <phoneticPr fontId="0" type="noConversion"/>
  </si>
  <si>
    <t>BFeeRateDesc</t>
    <phoneticPr fontId="0" type="noConversion"/>
  </si>
  <si>
    <t>635</t>
  </si>
  <si>
    <t>Trust Fee - Department (%)</t>
  </si>
  <si>
    <t>信託部申購手續費率</t>
    <phoneticPr fontId="0" type="noConversion"/>
  </si>
  <si>
    <t>TFeeRateDesc</t>
    <phoneticPr fontId="0" type="noConversion"/>
  </si>
  <si>
    <t>636</t>
  </si>
  <si>
    <t>Trust Fee - Fund House (%)</t>
  </si>
  <si>
    <t>基金公司申購手續費率</t>
    <phoneticPr fontId="0" type="noConversion"/>
  </si>
  <si>
    <t>IFeeRateDesc</t>
    <phoneticPr fontId="0" type="noConversion"/>
  </si>
  <si>
    <t>637</t>
  </si>
  <si>
    <t>Switch Fee - Branch (%)</t>
  </si>
  <si>
    <t>分行轉換手續費率</t>
    <phoneticPr fontId="0" type="noConversion"/>
  </si>
  <si>
    <t>BSFeeRateDesc</t>
    <phoneticPr fontId="0" type="noConversion"/>
  </si>
  <si>
    <t>638</t>
  </si>
  <si>
    <t>Switch Fee - Department (%)</t>
  </si>
  <si>
    <t>信託部轉換手續費率</t>
    <phoneticPr fontId="0" type="noConversion"/>
  </si>
  <si>
    <t>TSFeeRateDesc</t>
    <phoneticPr fontId="0" type="noConversion"/>
  </si>
  <si>
    <t>639</t>
  </si>
  <si>
    <t>Switch Fee - Fund House (%)</t>
  </si>
  <si>
    <t>基金公司轉換手續費率</t>
    <phoneticPr fontId="0" type="noConversion"/>
  </si>
  <si>
    <t>ISFeeRateDesc</t>
    <phoneticPr fontId="0" type="noConversion"/>
  </si>
  <si>
    <t>640</t>
  </si>
  <si>
    <t>Sub Fund Code</t>
    <phoneticPr fontId="0" type="noConversion"/>
  </si>
  <si>
    <r>
      <t>X</t>
    </r>
    <r>
      <rPr>
        <sz val="8"/>
        <rFont val="Arial"/>
        <family val="2"/>
      </rPr>
      <t>(5)</t>
    </r>
  </si>
  <si>
    <t>子商品代號(預留欄位)</t>
    <phoneticPr fontId="0" type="noConversion"/>
  </si>
  <si>
    <r>
      <t>S</t>
    </r>
    <r>
      <rPr>
        <sz val="8"/>
        <rFont val="Arial"/>
        <family val="2"/>
      </rPr>
      <t>ubFundID</t>
    </r>
  </si>
  <si>
    <t>TRAILER-RECORD-FundDetail</t>
    <phoneticPr fontId="0" type="noConversion"/>
  </si>
  <si>
    <t xml:space="preserve"> </t>
  </si>
  <si>
    <r>
      <t xml:space="preserve">Will contain character </t>
    </r>
    <r>
      <rPr>
        <b/>
        <sz val="8"/>
        <color indexed="10"/>
        <rFont val="Arial"/>
        <family val="2"/>
      </rPr>
      <t xml:space="preserve">'T' </t>
    </r>
    <r>
      <rPr>
        <sz val="8"/>
        <rFont val="Arial"/>
        <family val="2"/>
      </rPr>
      <t>to indicate Trailer record</t>
    </r>
  </si>
  <si>
    <t>T-RECORD-COUNT-CEMS2</t>
  </si>
  <si>
    <t>9(09)</t>
  </si>
  <si>
    <r>
      <t xml:space="preserve">Number of  </t>
    </r>
    <r>
      <rPr>
        <sz val="8"/>
        <rFont val="Arial"/>
        <family val="2"/>
      </rPr>
      <t xml:space="preserve">Detail </t>
    </r>
    <r>
      <rPr>
        <sz val="8"/>
        <rFont val="Arial"/>
        <family val="2"/>
      </rPr>
      <t>Records</t>
    </r>
  </si>
  <si>
    <t>Currency-REC</t>
    <phoneticPr fontId="0" type="noConversion"/>
  </si>
  <si>
    <t>Total length of this file</t>
  </si>
  <si>
    <t>HEADER-RECORD-Currency</t>
    <phoneticPr fontId="0" type="noConversion"/>
  </si>
  <si>
    <t>File ID</t>
  </si>
  <si>
    <t>X(08)</t>
  </si>
  <si>
    <t>file name "FundDtl"</t>
    <phoneticPr fontId="0" type="noConversion"/>
  </si>
  <si>
    <t>Effective Date</t>
  </si>
  <si>
    <t>9(08)</t>
  </si>
  <si>
    <t>FILLER</t>
  </si>
  <si>
    <r>
      <t>X(</t>
    </r>
    <r>
      <rPr>
        <sz val="8"/>
        <rFont val="Arial"/>
        <family val="2"/>
      </rPr>
      <t>0</t>
    </r>
    <r>
      <rPr>
        <sz val="8"/>
        <rFont val="Arial"/>
        <family val="2"/>
      </rPr>
      <t>3)</t>
    </r>
  </si>
  <si>
    <t>Unused bytes</t>
  </si>
  <si>
    <t>DETAIL-RECORD-Currency</t>
    <phoneticPr fontId="0" type="noConversion"/>
  </si>
  <si>
    <t>CurrencyCode</t>
    <phoneticPr fontId="0" type="noConversion"/>
  </si>
  <si>
    <t>X(04)</t>
    <phoneticPr fontId="0" type="noConversion"/>
  </si>
  <si>
    <t>幣別代號</t>
    <phoneticPr fontId="0" type="noConversion"/>
  </si>
  <si>
    <t>Currency</t>
  </si>
  <si>
    <t>Currency Code</t>
    <phoneticPr fontId="0" type="noConversion"/>
  </si>
  <si>
    <t>CurrencyDesc</t>
  </si>
  <si>
    <t>幣別名稱</t>
    <phoneticPr fontId="0" type="noConversion"/>
  </si>
  <si>
    <t>Currency Name</t>
    <phoneticPr fontId="0" type="noConversion"/>
  </si>
  <si>
    <t>CurrDecimal</t>
  </si>
  <si>
    <t>小數位數</t>
    <phoneticPr fontId="0" type="noConversion"/>
  </si>
  <si>
    <t xml:space="preserve">Allow decimals </t>
    <phoneticPr fontId="0" type="noConversion"/>
  </si>
  <si>
    <t>TRAILER-RECORD-Currency REDEFINES                           HEADER-RECORD-Currency</t>
    <phoneticPr fontId="0" type="noConversion"/>
  </si>
  <si>
    <t>Number of  Records</t>
  </si>
  <si>
    <t>FundCategoryl-REC</t>
    <phoneticPr fontId="0" type="noConversion"/>
  </si>
  <si>
    <t>HEADER-RECORD-FundCategory</t>
    <phoneticPr fontId="0" type="noConversion"/>
  </si>
  <si>
    <r>
      <t>X(</t>
    </r>
    <r>
      <rPr>
        <sz val="8"/>
        <rFont val="Arial"/>
        <family val="2"/>
      </rPr>
      <t>86</t>
    </r>
    <r>
      <rPr>
        <sz val="8"/>
        <rFont val="Arial"/>
        <family val="2"/>
      </rPr>
      <t>)</t>
    </r>
  </si>
  <si>
    <t>DETAIL-RECORD-FundCategory</t>
    <phoneticPr fontId="0" type="noConversion"/>
  </si>
  <si>
    <t>CategoryID</t>
  </si>
  <si>
    <t>9(02)</t>
    <phoneticPr fontId="0" type="noConversion"/>
  </si>
  <si>
    <t>基金類型代號</t>
    <phoneticPr fontId="0" type="noConversion"/>
  </si>
  <si>
    <t>FundCategory</t>
    <phoneticPr fontId="0" type="noConversion"/>
  </si>
  <si>
    <t>Category Code</t>
    <phoneticPr fontId="0" type="noConversion"/>
  </si>
  <si>
    <t>CategoryDesc</t>
  </si>
  <si>
    <t>基金類型名稱</t>
    <phoneticPr fontId="0" type="noConversion"/>
  </si>
  <si>
    <t>Category Name</t>
    <phoneticPr fontId="0" type="noConversion"/>
  </si>
  <si>
    <t>TRAILER-RECORD-FundCategory REDEFINES                           HEADER-RECORD-FundCategory</t>
    <phoneticPr fontId="0" type="noConversion"/>
  </si>
  <si>
    <t>X(93)</t>
    <phoneticPr fontId="0" type="noConversion"/>
  </si>
  <si>
    <t>InvRegion-REC</t>
    <phoneticPr fontId="0" type="noConversion"/>
  </si>
  <si>
    <t>HEADER-RECORD-InvRegion</t>
    <phoneticPr fontId="0" type="noConversion"/>
  </si>
  <si>
    <r>
      <t>X(</t>
    </r>
    <r>
      <rPr>
        <sz val="8"/>
        <rFont val="Arial"/>
        <family val="2"/>
      </rPr>
      <t>16</t>
    </r>
    <r>
      <rPr>
        <sz val="8"/>
        <rFont val="Arial"/>
        <family val="2"/>
      </rPr>
      <t>)</t>
    </r>
  </si>
  <si>
    <t>DETAIL-RECORD-InvRegion</t>
    <phoneticPr fontId="0" type="noConversion"/>
  </si>
  <si>
    <t>RegionID</t>
  </si>
  <si>
    <t>X(02)</t>
    <phoneticPr fontId="0" type="noConversion"/>
  </si>
  <si>
    <t>投資地區代號</t>
    <phoneticPr fontId="0" type="noConversion"/>
  </si>
  <si>
    <t>InvRegion</t>
  </si>
  <si>
    <t>Investment area code</t>
    <phoneticPr fontId="0" type="noConversion"/>
  </si>
  <si>
    <t>RegionDesc</t>
  </si>
  <si>
    <t>投資地區名稱</t>
    <phoneticPr fontId="0" type="noConversion"/>
  </si>
  <si>
    <t>Investment area name</t>
    <phoneticPr fontId="0" type="noConversion"/>
  </si>
  <si>
    <t>TRAILER-RECORD-InvRegion REDEFINES                           HEADER-RECORD-InvRegion</t>
    <phoneticPr fontId="0" type="noConversion"/>
  </si>
  <si>
    <t>X(23)</t>
    <phoneticPr fontId="0" type="noConversion"/>
  </si>
  <si>
    <t>Country-REC</t>
    <phoneticPr fontId="0" type="noConversion"/>
  </si>
  <si>
    <t>HEADER-RECORD-Country</t>
    <phoneticPr fontId="0" type="noConversion"/>
  </si>
  <si>
    <t>DETAIL-RECORD-Country</t>
    <phoneticPr fontId="0" type="noConversion"/>
  </si>
  <si>
    <t>CountryCode</t>
  </si>
  <si>
    <t>註冊國家代號</t>
    <phoneticPr fontId="0" type="noConversion"/>
  </si>
  <si>
    <t>Country</t>
    <phoneticPr fontId="0" type="noConversion"/>
  </si>
  <si>
    <t>Registration country code</t>
    <phoneticPr fontId="0" type="noConversion"/>
  </si>
  <si>
    <t>CountryNM</t>
  </si>
  <si>
    <t>註冊國家名稱</t>
    <phoneticPr fontId="0" type="noConversion"/>
  </si>
  <si>
    <t>Country</t>
  </si>
  <si>
    <t>Registration country name</t>
    <phoneticPr fontId="0" type="noConversion"/>
  </si>
  <si>
    <t>TRAILER-RECORD-Country REDEFINES                           HEADER-RECORD-Country</t>
    <phoneticPr fontId="0" type="noConversion"/>
  </si>
  <si>
    <t>InvTarget-REC</t>
    <phoneticPr fontId="0" type="noConversion"/>
  </si>
  <si>
    <t>HEADER-RECORD-InvTarget</t>
    <phoneticPr fontId="0" type="noConversion"/>
  </si>
  <si>
    <t>DETAIL-RECORD-InvTarget</t>
    <phoneticPr fontId="0" type="noConversion"/>
  </si>
  <si>
    <t>TargetID</t>
  </si>
  <si>
    <t>投資標的代號</t>
    <phoneticPr fontId="0" type="noConversion"/>
  </si>
  <si>
    <t>InvTarget</t>
    <phoneticPr fontId="0" type="noConversion"/>
  </si>
  <si>
    <t>Target Industry Code</t>
    <phoneticPr fontId="0" type="noConversion"/>
  </si>
  <si>
    <t>TargetDesc</t>
  </si>
  <si>
    <t>投資標的名稱</t>
    <phoneticPr fontId="0" type="noConversion"/>
  </si>
  <si>
    <t>InvTarget</t>
  </si>
  <si>
    <t>Target Industry Name</t>
    <phoneticPr fontId="0" type="noConversion"/>
  </si>
  <si>
    <t>TRAILER-RECORD-InvTarget REDEFINES                           HEADER-RECORD-InvTarget</t>
    <phoneticPr fontId="0" type="noConversion"/>
  </si>
  <si>
    <t>User Requested Field</t>
  </si>
  <si>
    <t>The field has logs(Y/N) when the field is changed.</t>
  </si>
  <si>
    <t>HEADER-RECORD-T0002</t>
    <phoneticPr fontId="0" type="noConversion"/>
  </si>
  <si>
    <t>Every Column and Line has Hex-04 To Separa</t>
    <phoneticPr fontId="0" type="noConversion"/>
  </si>
  <si>
    <r>
      <t>T</t>
    </r>
    <r>
      <rPr>
        <sz val="8"/>
        <rFont val="Arial"/>
        <family val="2"/>
      </rPr>
      <t xml:space="preserve">andem </t>
    </r>
    <r>
      <rPr>
        <sz val="8"/>
        <rFont val="Arial"/>
        <family val="2"/>
      </rPr>
      <t>TO ISIS</t>
    </r>
  </si>
  <si>
    <t>System Name is "FXCASA"</t>
    <phoneticPr fontId="0" type="noConversion"/>
  </si>
  <si>
    <t>CCYYMMDD</t>
    <phoneticPr fontId="0" type="noConversion"/>
  </si>
  <si>
    <t xml:space="preserve"> File name "FT0002" is for Normal TD.</t>
    <phoneticPr fontId="0" type="noConversion"/>
  </si>
  <si>
    <r>
      <t>X(</t>
    </r>
    <r>
      <rPr>
        <sz val="8"/>
        <rFont val="Arial"/>
        <family val="2"/>
      </rPr>
      <t>1</t>
    </r>
    <r>
      <rPr>
        <sz val="8"/>
        <rFont val="Arial"/>
        <family val="2"/>
      </rPr>
      <t>)</t>
    </r>
  </si>
  <si>
    <t>Value is Hex-04</t>
    <phoneticPr fontId="0" type="noConversion"/>
  </si>
  <si>
    <t>DETAIL-RECORD-T0002</t>
    <phoneticPr fontId="0" type="noConversion"/>
  </si>
  <si>
    <r>
      <t>T</t>
    </r>
    <r>
      <rPr>
        <sz val="8"/>
        <rFont val="Arial"/>
        <family val="2"/>
      </rPr>
      <t>ANDEM</t>
    </r>
  </si>
  <si>
    <t>Tandem TO ISIS</t>
    <phoneticPr fontId="0" type="noConversion"/>
  </si>
  <si>
    <t>Account No.</t>
    <phoneticPr fontId="0" type="noConversion"/>
  </si>
  <si>
    <t>9(15)</t>
    <phoneticPr fontId="0" type="noConversion"/>
  </si>
  <si>
    <r>
      <t>k</t>
    </r>
    <r>
      <rPr>
        <sz val="8"/>
        <rFont val="Arial"/>
        <family val="2"/>
      </rPr>
      <t>ey</t>
    </r>
  </si>
  <si>
    <r>
      <t>F</t>
    </r>
    <r>
      <rPr>
        <sz val="8"/>
        <rFont val="Arial"/>
        <family val="2"/>
      </rPr>
      <t>TTIMM-R</t>
    </r>
  </si>
  <si>
    <t>TIM-FACNO</t>
    <phoneticPr fontId="0" type="noConversion"/>
  </si>
  <si>
    <r>
      <t>T</t>
    </r>
    <r>
      <rPr>
        <sz val="8"/>
        <rFont val="Arial"/>
        <family val="2"/>
      </rPr>
      <t>0002</t>
    </r>
  </si>
  <si>
    <t>147</t>
    <phoneticPr fontId="0" type="noConversion"/>
  </si>
  <si>
    <t>Y</t>
    <phoneticPr fontId="0" type="noConversion"/>
  </si>
  <si>
    <t>Account Branch</t>
  </si>
  <si>
    <r>
      <t>r</t>
    </r>
    <r>
      <rPr>
        <sz val="8"/>
        <rFont val="Arial"/>
        <family val="2"/>
      </rPr>
      <t>efer to CMDEPM</t>
    </r>
  </si>
  <si>
    <t>FTTIMM-R</t>
    <phoneticPr fontId="0" type="noConversion"/>
  </si>
  <si>
    <t>TIM-ACC-UNIT</t>
    <phoneticPr fontId="0" type="noConversion"/>
  </si>
  <si>
    <t>T0002</t>
    <phoneticPr fontId="0" type="noConversion"/>
  </si>
  <si>
    <t>148</t>
    <phoneticPr fontId="0" type="noConversion"/>
  </si>
  <si>
    <t>N</t>
    <phoneticPr fontId="0" type="noConversion"/>
  </si>
  <si>
    <t>Referred Branch</t>
  </si>
  <si>
    <t>refer to CMDEPM</t>
    <phoneticPr fontId="0" type="noConversion"/>
  </si>
  <si>
    <t>TIM-COL-BRNO</t>
    <phoneticPr fontId="0" type="noConversion"/>
  </si>
  <si>
    <t>149</t>
  </si>
  <si>
    <t>Secret Account Code</t>
  </si>
  <si>
    <t>Y:Secret Account
N:Not Secret Account</t>
    <phoneticPr fontId="0" type="noConversion"/>
  </si>
  <si>
    <t>TIM-SECRET-MARK</t>
    <phoneticPr fontId="0" type="noConversion"/>
  </si>
  <si>
    <t>150</t>
  </si>
  <si>
    <t>Passbook No.</t>
  </si>
  <si>
    <t>Auto give seqno by System. It's not a code.</t>
    <phoneticPr fontId="0" type="noConversion"/>
  </si>
  <si>
    <t>TIM-FNACNO</t>
    <phoneticPr fontId="0" type="noConversion"/>
  </si>
  <si>
    <t>151</t>
  </si>
  <si>
    <t>Tax Rate</t>
  </si>
  <si>
    <t>TIM-TAX-RATE</t>
    <phoneticPr fontId="0" type="noConversion"/>
  </si>
  <si>
    <t>152</t>
  </si>
  <si>
    <t>Account Type</t>
  </si>
  <si>
    <r>
      <t>01:</t>
    </r>
    <r>
      <rPr>
        <sz val="8"/>
        <rFont val="細明體"/>
        <family val="3"/>
        <charset val="136"/>
      </rPr>
      <t xml:space="preserve">一般
</t>
    </r>
    <r>
      <rPr>
        <sz val="8"/>
        <rFont val="Arial"/>
        <family val="2"/>
      </rPr>
      <t>02:</t>
    </r>
    <r>
      <rPr>
        <sz val="8"/>
        <rFont val="細明體"/>
        <family val="3"/>
        <charset val="136"/>
      </rPr>
      <t>指定到期日</t>
    </r>
  </si>
  <si>
    <t>TIM-DEP-CODE</t>
    <phoneticPr fontId="0" type="noConversion"/>
  </si>
  <si>
    <t>153</t>
  </si>
  <si>
    <t>Tenure Type</t>
  </si>
  <si>
    <t>9(01)</t>
    <phoneticPr fontId="0" type="noConversion"/>
  </si>
  <si>
    <t>It's not code.</t>
    <phoneticPr fontId="0" type="noConversion"/>
  </si>
  <si>
    <t>TIM-RANGE-MARK</t>
    <phoneticPr fontId="0" type="noConversion"/>
  </si>
  <si>
    <t>154</t>
  </si>
  <si>
    <t>Deposit Type</t>
  </si>
  <si>
    <r>
      <t>TIM-BOOK-MARK 
("P": MOVE "</t>
    </r>
    <r>
      <rPr>
        <sz val="8"/>
        <rFont val="細明體"/>
        <family val="3"/>
        <charset val="136"/>
      </rPr>
      <t>存單</t>
    </r>
    <r>
      <rPr>
        <sz val="8"/>
        <rFont val="Arial"/>
        <family val="2"/>
      </rPr>
      <t>",
 "B" MOVE "</t>
    </r>
    <r>
      <rPr>
        <sz val="8"/>
        <rFont val="細明體"/>
        <family val="3"/>
        <charset val="136"/>
      </rPr>
      <t>存摺</t>
    </r>
    <r>
      <rPr>
        <sz val="8"/>
        <rFont val="Arial"/>
        <family val="2"/>
      </rPr>
      <t>",
 ELSE MOVE " ")</t>
    </r>
  </si>
  <si>
    <t>155</t>
  </si>
  <si>
    <t>Certificate / Passbook No.</t>
  </si>
  <si>
    <t>TIM-PAPER-NO</t>
    <phoneticPr fontId="0" type="noConversion"/>
  </si>
  <si>
    <t>156</t>
  </si>
  <si>
    <t>Tenure (in Days)</t>
  </si>
  <si>
    <t>TIM-RANGE</t>
    <phoneticPr fontId="0" type="noConversion"/>
  </si>
  <si>
    <t>157</t>
  </si>
  <si>
    <t>Available Balance</t>
  </si>
  <si>
    <t>9(11).99</t>
    <phoneticPr fontId="0" type="noConversion"/>
  </si>
  <si>
    <t>TIM-BAL</t>
    <phoneticPr fontId="0" type="noConversion"/>
  </si>
  <si>
    <t>158</t>
  </si>
  <si>
    <t>Interest Payment Type</t>
  </si>
  <si>
    <t>X(08)</t>
    <phoneticPr fontId="0" type="noConversion"/>
  </si>
  <si>
    <r>
      <t xml:space="preserve">TIM-MTHLY-PAID = "M" </t>
    </r>
    <r>
      <rPr>
        <sz val="8"/>
        <rFont val="細明體"/>
        <family val="3"/>
        <charset val="136"/>
      </rPr>
      <t>每月付息</t>
    </r>
    <r>
      <rPr>
        <sz val="8"/>
        <rFont val="Arial"/>
        <family val="2"/>
      </rPr>
      <t xml:space="preserve"> ELSE </t>
    </r>
    <r>
      <rPr>
        <sz val="8"/>
        <rFont val="細明體"/>
        <family val="3"/>
        <charset val="136"/>
      </rPr>
      <t>到期付息</t>
    </r>
  </si>
  <si>
    <t>159</t>
  </si>
  <si>
    <t>Interest Paid for Curr. Year</t>
    <phoneticPr fontId="0" type="noConversion"/>
  </si>
  <si>
    <t>TIM-ALLINT-FR</t>
    <phoneticPr fontId="0" type="noConversion"/>
  </si>
  <si>
    <t>160</t>
  </si>
  <si>
    <t>Interest Rate (%)</t>
  </si>
  <si>
    <t>9(4).9(06)</t>
    <phoneticPr fontId="0" type="noConversion"/>
  </si>
  <si>
    <t>TIM-INT-RATE</t>
    <phoneticPr fontId="0" type="noConversion"/>
  </si>
  <si>
    <t>161</t>
  </si>
  <si>
    <t>Tax Deducted for Curr. Year</t>
    <phoneticPr fontId="0" type="noConversion"/>
  </si>
  <si>
    <t>TIM-ALLTAX-FR</t>
    <phoneticPr fontId="0" type="noConversion"/>
  </si>
  <si>
    <t>162</t>
  </si>
  <si>
    <t>Closing Exchange Rate</t>
    <phoneticPr fontId="0" type="noConversion"/>
  </si>
  <si>
    <t>9(5).9(6)</t>
    <phoneticPr fontId="0" type="noConversion"/>
  </si>
  <si>
    <t>TIM-CAN-RATE</t>
    <phoneticPr fontId="0" type="noConversion"/>
  </si>
  <si>
    <t>163</t>
  </si>
  <si>
    <t>Interest Paid for Curr. Year (NTD)</t>
    <phoneticPr fontId="0" type="noConversion"/>
  </si>
  <si>
    <t>TIM-ALLINT-L</t>
    <phoneticPr fontId="0" type="noConversion"/>
  </si>
  <si>
    <t>164</t>
  </si>
  <si>
    <t>Open Date</t>
  </si>
  <si>
    <t>TIM-DYMD</t>
    <phoneticPr fontId="0" type="noConversion"/>
  </si>
  <si>
    <t>165</t>
  </si>
  <si>
    <t>Tax Deducted for Curr. Year (NTD)</t>
    <phoneticPr fontId="0" type="noConversion"/>
  </si>
  <si>
    <t>TIM-ALLTAX-L</t>
    <phoneticPr fontId="0" type="noConversion"/>
  </si>
  <si>
    <t>166</t>
  </si>
  <si>
    <t>Interest Start Date</t>
  </si>
  <si>
    <t>TIM-SYMD</t>
    <phoneticPr fontId="0" type="noConversion"/>
  </si>
  <si>
    <t>167</t>
  </si>
  <si>
    <t>Monthly Interest Paid</t>
    <phoneticPr fontId="0" type="noConversion"/>
  </si>
  <si>
    <t>TIM-REAL-PINT-TOTAMT</t>
    <phoneticPr fontId="0" type="noConversion"/>
  </si>
  <si>
    <t>168</t>
  </si>
  <si>
    <t>Maturity Date</t>
  </si>
  <si>
    <t>TIM-EYMD</t>
    <phoneticPr fontId="0" type="noConversion"/>
  </si>
  <si>
    <t>169</t>
  </si>
  <si>
    <t>Maturity Amount (Pre-Closure)</t>
  </si>
  <si>
    <t>TIM-RCV-INTAMT-FR</t>
    <phoneticPr fontId="0" type="noConversion"/>
  </si>
  <si>
    <t>170</t>
  </si>
  <si>
    <t>Close Date</t>
  </si>
  <si>
    <t>CCYYMMDD
If date = 0, converted to 99999999</t>
    <phoneticPr fontId="0" type="noConversion"/>
  </si>
  <si>
    <t>TIM-CAN-YMD</t>
    <phoneticPr fontId="0" type="noConversion"/>
  </si>
  <si>
    <t>171</t>
  </si>
  <si>
    <t>Maturity Amount</t>
  </si>
  <si>
    <t>TIM-MATURE-INT-AMT</t>
    <phoneticPr fontId="0" type="noConversion"/>
  </si>
  <si>
    <t>172</t>
  </si>
  <si>
    <t>Disposition Type</t>
  </si>
  <si>
    <r>
      <t xml:space="preserve">1: </t>
    </r>
    <r>
      <rPr>
        <sz val="8"/>
        <rFont val="細明體"/>
        <family val="3"/>
        <charset val="136"/>
      </rPr>
      <t>本息自轉</t>
    </r>
    <r>
      <rPr>
        <sz val="8"/>
        <rFont val="Arial"/>
        <family val="2"/>
      </rPr>
      <t xml:space="preserve">, 2: </t>
    </r>
    <r>
      <rPr>
        <sz val="8"/>
        <rFont val="細明體"/>
        <family val="3"/>
        <charset val="136"/>
      </rPr>
      <t>本金自轉</t>
    </r>
  </si>
  <si>
    <t>TIM-TR-KIND</t>
    <phoneticPr fontId="0" type="noConversion"/>
  </si>
  <si>
    <t>173</t>
  </si>
  <si>
    <t>Interest at Maturity</t>
  </si>
  <si>
    <t>If not (pci &amp; si), need to call sub program and calculate</t>
    <phoneticPr fontId="0" type="noConversion"/>
  </si>
  <si>
    <t>174</t>
  </si>
  <si>
    <t>Settlement Account No.</t>
  </si>
  <si>
    <t>9(14)</t>
    <phoneticPr fontId="0" type="noConversion"/>
  </si>
  <si>
    <t>TIM-TR-FNACNO</t>
    <phoneticPr fontId="0" type="noConversion"/>
  </si>
  <si>
    <t>175</t>
  </si>
  <si>
    <t>Price Difference</t>
    <phoneticPr fontId="0" type="noConversion"/>
  </si>
  <si>
    <t>TIM-CS-AMT</t>
    <phoneticPr fontId="0" type="noConversion"/>
  </si>
  <si>
    <t>176</t>
  </si>
  <si>
    <t>Early Closure</t>
  </si>
  <si>
    <t>IF TIM-CANCEL = "D" AND TIM-CAN-YMD &gt; 0 AND TIM-CAN-YMD &lt; TIM-EYMD, MOVE "Y" ELSE MOVE " " 
(Y:Early Closure
" ": Not early Closure)</t>
    <phoneticPr fontId="0" type="noConversion"/>
  </si>
  <si>
    <t>177</t>
  </si>
  <si>
    <t>Last Certificate No.</t>
  </si>
  <si>
    <t>TIM-B-FACNO</t>
    <phoneticPr fontId="0" type="noConversion"/>
  </si>
  <si>
    <t>178</t>
  </si>
  <si>
    <t>Hold Code</t>
  </si>
  <si>
    <t>TIM-TROUBLE</t>
    <phoneticPr fontId="0" type="noConversion"/>
  </si>
  <si>
    <t>179</t>
  </si>
  <si>
    <t>Hold Description</t>
    <phoneticPr fontId="0" type="noConversion"/>
  </si>
  <si>
    <t>X(26)</t>
    <phoneticPr fontId="0" type="noConversion"/>
  </si>
  <si>
    <r>
      <t>TIM-TROUBLE:
1:</t>
    </r>
    <r>
      <rPr>
        <sz val="8"/>
        <rFont val="細明體"/>
        <family val="3"/>
        <charset val="136"/>
      </rPr>
      <t>印鑑遺失</t>
    </r>
    <r>
      <rPr>
        <sz val="8"/>
        <rFont val="Arial"/>
        <family val="2"/>
      </rPr>
      <t xml:space="preserve"> 
2:</t>
    </r>
    <r>
      <rPr>
        <sz val="8"/>
        <rFont val="細明體"/>
        <family val="3"/>
        <charset val="136"/>
      </rPr>
      <t xml:space="preserve">存單摺掛失
</t>
    </r>
    <r>
      <rPr>
        <sz val="8"/>
        <rFont val="Arial"/>
        <family val="2"/>
      </rPr>
      <t>3:</t>
    </r>
    <r>
      <rPr>
        <sz val="8"/>
        <rFont val="細明體"/>
        <family val="3"/>
        <charset val="136"/>
      </rPr>
      <t xml:space="preserve">扣押存款
</t>
    </r>
    <r>
      <rPr>
        <sz val="8"/>
        <rFont val="Arial"/>
        <family val="2"/>
      </rPr>
      <t>4:</t>
    </r>
    <r>
      <rPr>
        <sz val="8"/>
        <rFont val="細明體"/>
        <family val="3"/>
        <charset val="136"/>
      </rPr>
      <t xml:space="preserve">禁治產
</t>
    </r>
    <r>
      <rPr>
        <sz val="8"/>
        <rFont val="Arial"/>
        <family val="2"/>
      </rPr>
      <t>5:</t>
    </r>
    <r>
      <rPr>
        <sz val="8"/>
        <rFont val="細明體"/>
        <family val="3"/>
        <charset val="136"/>
      </rPr>
      <t xml:space="preserve">存款人死亡
</t>
    </r>
    <r>
      <rPr>
        <sz val="8"/>
        <rFont val="Arial"/>
        <family val="2"/>
      </rPr>
      <t>6:</t>
    </r>
    <r>
      <rPr>
        <sz val="8"/>
        <rFont val="細明體"/>
        <family val="3"/>
        <charset val="136"/>
      </rPr>
      <t xml:space="preserve">暫停止付
</t>
    </r>
    <r>
      <rPr>
        <sz val="8"/>
        <rFont val="Arial"/>
        <family val="2"/>
      </rPr>
      <t>7:</t>
    </r>
    <r>
      <rPr>
        <sz val="8"/>
        <rFont val="細明體"/>
        <family val="3"/>
        <charset val="136"/>
      </rPr>
      <t xml:space="preserve">設定質權
</t>
    </r>
    <r>
      <rPr>
        <sz val="8"/>
        <rFont val="Arial"/>
        <family val="2"/>
      </rPr>
      <t>8:</t>
    </r>
    <r>
      <rPr>
        <sz val="8"/>
        <rFont val="細明體"/>
        <family val="3"/>
        <charset val="136"/>
      </rPr>
      <t xml:space="preserve">存單質借
</t>
    </r>
    <r>
      <rPr>
        <sz val="8"/>
        <rFont val="Arial"/>
        <family val="2"/>
      </rPr>
      <t>9:</t>
    </r>
    <r>
      <rPr>
        <sz val="8"/>
        <rFont val="細明體"/>
        <family val="3"/>
        <charset val="136"/>
      </rPr>
      <t xml:space="preserve">假處分
</t>
    </r>
    <r>
      <rPr>
        <sz val="8"/>
        <rFont val="Arial"/>
        <family val="2"/>
      </rPr>
      <t>10:</t>
    </r>
    <r>
      <rPr>
        <sz val="8"/>
        <rFont val="細明體"/>
        <family val="3"/>
        <charset val="136"/>
      </rPr>
      <t xml:space="preserve">貸放
</t>
    </r>
    <r>
      <rPr>
        <sz val="8"/>
        <rFont val="Arial"/>
        <family val="2"/>
      </rPr>
      <t>11:</t>
    </r>
    <r>
      <rPr>
        <sz val="8"/>
        <rFont val="細明體"/>
        <family val="3"/>
        <charset val="136"/>
      </rPr>
      <t xml:space="preserve">商品申購
</t>
    </r>
    <r>
      <rPr>
        <sz val="8"/>
        <rFont val="Arial"/>
        <family val="2"/>
      </rPr>
      <t>12:</t>
    </r>
    <r>
      <rPr>
        <sz val="8"/>
        <rFont val="細明體"/>
        <family val="3"/>
        <charset val="136"/>
      </rPr>
      <t xml:space="preserve">人工圈存
</t>
    </r>
    <r>
      <rPr>
        <sz val="8"/>
        <rFont val="Arial"/>
        <family val="2"/>
      </rPr>
      <t>30:</t>
    </r>
    <r>
      <rPr>
        <sz val="8"/>
        <rFont val="細明體"/>
        <family val="3"/>
        <charset val="136"/>
      </rPr>
      <t xml:space="preserve">其他
</t>
    </r>
    <r>
      <rPr>
        <sz val="8"/>
        <rFont val="Arial"/>
        <family val="2"/>
      </rPr>
      <t>32:Variable Narrative
33:Obatin addr/telephone num
34:Variable Narrative
35:KYC INCOMPLETE   
36:CARD PENDING COLLECTION
37:MISSING AGREEMENT
38:NO PHB,FX WITH NTD
39:Variable Narrative
OTHERS SPACES</t>
    </r>
  </si>
  <si>
    <t>TANDEM</t>
    <phoneticPr fontId="0" type="noConversion"/>
  </si>
  <si>
    <t>179description</t>
    <phoneticPr fontId="0" type="noConversion"/>
  </si>
  <si>
    <t>N</t>
    <phoneticPr fontId="0" type="noConversion"/>
  </si>
  <si>
    <t>Next Certificate No.</t>
  </si>
  <si>
    <t>TIM-N-FACNO</t>
    <phoneticPr fontId="0" type="noConversion"/>
  </si>
  <si>
    <t>180</t>
  </si>
  <si>
    <t>Auto Rollover</t>
  </si>
  <si>
    <t>TIM-TRO-TR-MARK</t>
    <phoneticPr fontId="0" type="noConversion"/>
  </si>
  <si>
    <t>181</t>
  </si>
  <si>
    <t>Certificate Re-issued</t>
  </si>
  <si>
    <r>
      <t>*:</t>
    </r>
    <r>
      <rPr>
        <sz val="8"/>
        <rFont val="細明體"/>
        <family val="3"/>
        <charset val="136"/>
      </rPr>
      <t xml:space="preserve">曾做過補發
</t>
    </r>
    <r>
      <rPr>
        <sz val="8"/>
        <rFont val="Arial"/>
        <family val="2"/>
      </rPr>
      <t>" ":</t>
    </r>
    <r>
      <rPr>
        <sz val="8"/>
        <rFont val="細明體"/>
        <family val="3"/>
        <charset val="136"/>
      </rPr>
      <t>未曾做過補發</t>
    </r>
  </si>
  <si>
    <t>TIM-LOST</t>
    <phoneticPr fontId="0" type="noConversion"/>
  </si>
  <si>
    <t>182</t>
  </si>
  <si>
    <t>Contact No. 1</t>
  </si>
  <si>
    <t>TIM-TEL1</t>
    <phoneticPr fontId="0" type="noConversion"/>
  </si>
  <si>
    <t>183, 2435</t>
    <phoneticPr fontId="0" type="noConversion"/>
  </si>
  <si>
    <t>Certificate Re-issue Date</t>
  </si>
  <si>
    <t>TIM-LOST-YMD</t>
    <phoneticPr fontId="0" type="noConversion"/>
  </si>
  <si>
    <t>184</t>
  </si>
  <si>
    <t>Contact No. 2</t>
  </si>
  <si>
    <t>TIM-TEL2</t>
    <phoneticPr fontId="0" type="noConversion"/>
  </si>
  <si>
    <t>185</t>
  </si>
  <si>
    <t>Last Certificate / Passbook No.</t>
  </si>
  <si>
    <t>TIM-OLD-PAPER-NO</t>
    <phoneticPr fontId="0" type="noConversion"/>
  </si>
  <si>
    <t>186</t>
  </si>
  <si>
    <t>Auto Transfer Term</t>
  </si>
  <si>
    <t>TIM-CTR-TIMES</t>
  </si>
  <si>
    <t>187</t>
  </si>
  <si>
    <t>Auto Transfer Term No.</t>
  </si>
  <si>
    <t>TIM-ATR-TIMES</t>
    <phoneticPr fontId="0" type="noConversion"/>
  </si>
  <si>
    <t>188</t>
  </si>
  <si>
    <t>Transaction Type</t>
  </si>
  <si>
    <r>
      <t>TIM-TX-TYPE --&gt; 
" ":</t>
    </r>
    <r>
      <rPr>
        <sz val="8"/>
        <rFont val="細明體"/>
        <family val="3"/>
        <charset val="136"/>
      </rPr>
      <t>臨櫃存單摺</t>
    </r>
    <r>
      <rPr>
        <sz val="8"/>
        <rFont val="Arial"/>
        <family val="2"/>
      </rPr>
      <t xml:space="preserve"> 
1:B2B
2:B2C
4:IVR
5:</t>
    </r>
    <r>
      <rPr>
        <sz val="8"/>
        <rFont val="細明體"/>
        <family val="3"/>
        <charset val="136"/>
      </rPr>
      <t>結構型商品</t>
    </r>
    <r>
      <rPr>
        <sz val="8"/>
        <rFont val="Arial"/>
        <family val="2"/>
      </rPr>
      <t xml:space="preserve"> 
6:</t>
    </r>
    <r>
      <rPr>
        <sz val="8"/>
        <rFont val="細明體"/>
        <family val="3"/>
        <charset val="136"/>
      </rPr>
      <t>信託</t>
    </r>
    <r>
      <rPr>
        <sz val="8"/>
        <rFont val="Arial"/>
        <family val="2"/>
      </rPr>
      <t xml:space="preserve"> 
7:PCI
8:</t>
    </r>
    <r>
      <rPr>
        <sz val="8"/>
        <rFont val="細明體"/>
        <family val="3"/>
        <charset val="136"/>
      </rPr>
      <t>無摺無單</t>
    </r>
  </si>
  <si>
    <t>189</t>
  </si>
  <si>
    <t>Signing Authority</t>
  </si>
  <si>
    <t>TIM-JOINT-KIND</t>
    <phoneticPr fontId="0" type="noConversion"/>
  </si>
  <si>
    <t>190</t>
  </si>
  <si>
    <r>
      <t>N</t>
    </r>
    <r>
      <rPr>
        <sz val="8"/>
        <rFont val="Arial"/>
        <family val="2"/>
      </rPr>
      <t>A</t>
    </r>
  </si>
  <si>
    <t>Hold Amount</t>
    <phoneticPr fontId="0" type="noConversion"/>
  </si>
  <si>
    <t>TIM-TRO-AMT</t>
    <phoneticPr fontId="0" type="noConversion"/>
  </si>
  <si>
    <t>191</t>
  </si>
  <si>
    <t>Mature Note</t>
  </si>
  <si>
    <r>
      <t>IF NOT (TIM-TX-TYPE = " " OR "1" OR "3")         
    IF TIM-TR-KIND = 1                            
       MOVE "</t>
    </r>
    <r>
      <rPr>
        <sz val="6"/>
        <rFont val="細明體"/>
        <family val="3"/>
        <charset val="136"/>
      </rPr>
      <t>本息自動展期</t>
    </r>
    <r>
      <rPr>
        <sz val="6"/>
        <rFont val="Arial"/>
        <family val="2"/>
      </rPr>
      <t>"  
    ELSE                                          
    IF TIM-TR-KIND = 2                            
       MOVE "</t>
    </r>
    <r>
      <rPr>
        <sz val="6"/>
        <rFont val="細明體"/>
        <family val="3"/>
        <charset val="136"/>
      </rPr>
      <t>本金自動展期</t>
    </r>
    <r>
      <rPr>
        <sz val="6"/>
        <rFont val="Arial"/>
        <family val="2"/>
      </rPr>
      <t>"  
    ELSE                                          
       MOVE "</t>
    </r>
    <r>
      <rPr>
        <sz val="6"/>
        <rFont val="細明體"/>
        <family val="3"/>
        <charset val="136"/>
      </rPr>
      <t>到期轉入活期</t>
    </r>
    <r>
      <rPr>
        <sz val="6"/>
        <rFont val="Arial"/>
        <family val="2"/>
      </rPr>
      <t xml:space="preserve">"  
    END-IF END-IF                                 
ELSE                                             
    MOVE SPACES            
END-IF.                                          </t>
    </r>
  </si>
  <si>
    <t>192</t>
  </si>
  <si>
    <t>No. of Monthly Interest Paid</t>
  </si>
  <si>
    <t xml:space="preserve">TIM-MTHLY-PAID NOT = "M"  MOVE 0 ELSE MOVE TMI-REAL-TIMES </t>
  </si>
  <si>
    <r>
      <t>F</t>
    </r>
    <r>
      <rPr>
        <sz val="8"/>
        <rFont val="Arial"/>
        <family val="2"/>
      </rPr>
      <t>TMINT-R</t>
    </r>
  </si>
  <si>
    <t>TMI-REAL-TIMES</t>
    <phoneticPr fontId="0" type="noConversion"/>
  </si>
  <si>
    <t>193</t>
  </si>
  <si>
    <t>Interest Payment Day</t>
  </si>
  <si>
    <r>
      <t xml:space="preserve">CCYYMMDD
</t>
    </r>
    <r>
      <rPr>
        <sz val="8"/>
        <rFont val="Arial"/>
        <family val="2"/>
      </rPr>
      <t>(TIM-MTHLY-PAID = "M" AND  TMI-NEXT-PDAY NOT = 99999999 THEN MOVE TMI-NEXT-PDAY)</t>
    </r>
    <r>
      <rPr>
        <sz val="8"/>
        <color indexed="10"/>
        <rFont val="Arial"/>
        <family val="2"/>
      </rPr>
      <t xml:space="preserve">
</t>
    </r>
    <r>
      <rPr>
        <b/>
        <sz val="8"/>
        <color indexed="10"/>
        <rFont val="Arial"/>
        <family val="2"/>
      </rPr>
      <t>If date = 0, converted to 99999999</t>
    </r>
  </si>
  <si>
    <t>TMI-NEXT-PDAY</t>
    <phoneticPr fontId="0" type="noConversion"/>
  </si>
  <si>
    <t>194</t>
  </si>
  <si>
    <t>Sub Product</t>
    <phoneticPr fontId="0" type="noConversion"/>
  </si>
  <si>
    <t>240:TD</t>
    <phoneticPr fontId="0" type="noConversion"/>
  </si>
  <si>
    <t>TANDEM</t>
    <phoneticPr fontId="0" type="noConversion"/>
  </si>
  <si>
    <r>
      <t>M</t>
    </r>
    <r>
      <rPr>
        <sz val="8"/>
        <rFont val="Arial"/>
        <family val="2"/>
      </rPr>
      <t>ASTERF-R</t>
    </r>
  </si>
  <si>
    <t>MT-PRODUCT-TANDEM</t>
  </si>
  <si>
    <t>X(03)</t>
    <phoneticPr fontId="0" type="noConversion"/>
  </si>
  <si>
    <t>TIM-CUR</t>
    <phoneticPr fontId="0" type="noConversion"/>
  </si>
  <si>
    <t>Status</t>
  </si>
  <si>
    <t>" ":Normal, "D":Closed</t>
    <phoneticPr fontId="0" type="noConversion"/>
  </si>
  <si>
    <t>TAMDEM</t>
    <phoneticPr fontId="0" type="noConversion"/>
  </si>
  <si>
    <t>TIM-CANCEL</t>
    <phoneticPr fontId="0" type="noConversion"/>
  </si>
  <si>
    <t>Customer ID</t>
    <phoneticPr fontId="0" type="noConversion"/>
  </si>
  <si>
    <t>X(11)</t>
    <phoneticPr fontId="0" type="noConversion"/>
  </si>
  <si>
    <t>TIM-IDNO</t>
    <phoneticPr fontId="0" type="noConversion"/>
  </si>
  <si>
    <t>Account Name</t>
    <phoneticPr fontId="0" type="noConversion"/>
  </si>
  <si>
    <t>X(40)</t>
    <phoneticPr fontId="0" type="noConversion"/>
  </si>
  <si>
    <t>CHINAX</t>
    <phoneticPr fontId="0" type="noConversion"/>
  </si>
  <si>
    <t>C-NAME</t>
    <phoneticPr fontId="0" type="noConversion"/>
  </si>
  <si>
    <t>T0002</t>
    <phoneticPr fontId="0" type="noConversion"/>
  </si>
  <si>
    <t>FinIQ Deal Number</t>
    <phoneticPr fontId="0" type="noConversion"/>
  </si>
  <si>
    <t>X(07)</t>
    <phoneticPr fontId="0" type="noConversion"/>
  </si>
  <si>
    <t>If "PCI", provide FinIQ Deal Number.</t>
    <phoneticPr fontId="0" type="noConversion"/>
  </si>
  <si>
    <t>STRACNO-R</t>
    <phoneticPr fontId="0" type="noConversion"/>
  </si>
  <si>
    <t xml:space="preserve"> SAC-PRD-COD</t>
    <phoneticPr fontId="0" type="noConversion"/>
  </si>
  <si>
    <t>Tandem Sub Product Code</t>
    <phoneticPr fontId="0" type="noConversion"/>
  </si>
  <si>
    <t>9(03)</t>
    <phoneticPr fontId="0" type="noConversion"/>
  </si>
  <si>
    <t>TIM-DEPKIND OF TIM-FACNO</t>
    <phoneticPr fontId="0" type="noConversion"/>
  </si>
  <si>
    <t>TRAILER-RECORD-T0002 REDEFINES                           HEADER-RECORD-T0002</t>
    <phoneticPr fontId="0" type="noConversion"/>
  </si>
  <si>
    <t>X(1)</t>
    <phoneticPr fontId="0" type="noConversion"/>
  </si>
  <si>
    <t>Field Source( Tandem, GGS, CIS, MFS, B2C...as like System name)</t>
  </si>
  <si>
    <t>Field Table Name( Field from which Table)</t>
  </si>
  <si>
    <t>CEMS screen mapping fields no</t>
  </si>
  <si>
    <r>
      <t>T</t>
    </r>
    <r>
      <rPr>
        <sz val="8"/>
        <rFont val="Arial"/>
        <family val="2"/>
      </rPr>
      <t>he field has logs(Y/N) when the field is changed.</t>
    </r>
  </si>
  <si>
    <t>HEADER-RECORD-IMDPT</t>
  </si>
  <si>
    <t>Every Column and Line has Hex-04 To Separa</t>
  </si>
  <si>
    <t>Tandem TO ISIS</t>
  </si>
  <si>
    <t>Will contain character 'H' to indicate Header record</t>
  </si>
  <si>
    <t>Source System Name</t>
  </si>
  <si>
    <t>X(15)</t>
  </si>
  <si>
    <t>System Name is "TandemCASA"</t>
  </si>
  <si>
    <t>Country Code</t>
  </si>
  <si>
    <t>X(10)</t>
  </si>
  <si>
    <t>Coutry Code is "TW"</t>
  </si>
  <si>
    <t>CCYYMMDD</t>
  </si>
  <si>
    <t>File Name</t>
  </si>
  <si>
    <t>file name "IMDPT"</t>
  </si>
  <si>
    <t xml:space="preserve">Delimiter </t>
  </si>
  <si>
    <t>Vaule is Hex-04</t>
  </si>
  <si>
    <t>DETAIL-RECORD-IMDPT</t>
  </si>
  <si>
    <t>Will contain character 'D' to indicate Retail record</t>
  </si>
  <si>
    <t>TANDEM</t>
  </si>
  <si>
    <t>IMDH-ACNT</t>
  </si>
  <si>
    <t>X(14)</t>
  </si>
  <si>
    <r>
      <t>帳號</t>
    </r>
    <r>
      <rPr>
        <sz val="8"/>
        <rFont val="Arial"/>
        <family val="2"/>
      </rPr>
      <t xml:space="preserve">  Primary Key</t>
    </r>
  </si>
  <si>
    <t>IMDPT / SIIMDPT</t>
  </si>
  <si>
    <r>
      <t xml:space="preserve">IMD-DEPKIND(5) + MD-ACNO(9) 
</t>
    </r>
    <r>
      <rPr>
        <sz val="8"/>
        <rFont val="細明體"/>
        <family val="3"/>
        <charset val="136"/>
      </rPr>
      <t>組字串，不滿位數補</t>
    </r>
    <r>
      <rPr>
        <sz val="8"/>
        <rFont val="Arial"/>
        <family val="2"/>
      </rPr>
      <t>0</t>
    </r>
  </si>
  <si>
    <t>IFR418</t>
  </si>
  <si>
    <t>480.2509</t>
  </si>
  <si>
    <t>N</t>
  </si>
  <si>
    <t xml:space="preserve">IMDH-IDNO </t>
  </si>
  <si>
    <t>X(11)</t>
  </si>
  <si>
    <t>身份證字號(新增：
SCREEN MAPPING 無))</t>
  </si>
  <si>
    <t>IMD-IDNO</t>
  </si>
  <si>
    <t>IMDH-CNAME</t>
  </si>
  <si>
    <t>X(30)</t>
  </si>
  <si>
    <r>
      <rPr>
        <sz val="8"/>
        <rFont val="細明體"/>
        <family val="3"/>
        <charset val="136"/>
      </rPr>
      <t>條件</t>
    </r>
    <r>
      <rPr>
        <sz val="8"/>
        <rFont val="Arial"/>
        <family val="2"/>
      </rPr>
      <t xml:space="preserve"> : CUSTOMER.CU_IDNO = IMDPT.IMD_IDNO</t>
    </r>
  </si>
  <si>
    <t>CUSTOMER</t>
  </si>
  <si>
    <t>CU-CNAME</t>
  </si>
  <si>
    <t>NA</t>
  </si>
  <si>
    <t>2722</t>
  </si>
  <si>
    <t>IMDH-PROD-CODE</t>
  </si>
  <si>
    <t>9(02)</t>
  </si>
  <si>
    <t>IMD-DEPKIND(4:5)</t>
  </si>
  <si>
    <t>966</t>
  </si>
  <si>
    <t>IMDH-SUB-PROD-CODE</t>
  </si>
  <si>
    <t xml:space="preserve">X(03) </t>
  </si>
  <si>
    <t>Ref HPRODUCT</t>
  </si>
  <si>
    <t>MASTERF</t>
  </si>
  <si>
    <t>Select MT-PRODUCT-TANDEM
Left Join MasterF with (NOLOCK)
On MT_HIB_Acnt = RTRIM(IMD_DEPKIND) + RIGHT('000000000'+RTRIM(IMD_ACNO),9)</t>
  </si>
  <si>
    <t>IFR420</t>
  </si>
  <si>
    <t>2407</t>
  </si>
  <si>
    <t>IMDH-TAXCD</t>
  </si>
  <si>
    <t>X(1)</t>
  </si>
  <si>
    <r>
      <t>扣稅別</t>
    </r>
    <r>
      <rPr>
        <sz val="8"/>
        <rFont val="Arial"/>
        <family val="2"/>
      </rPr>
      <t xml:space="preserve"> (A:10%; B:20%; C:0%</t>
    </r>
    <r>
      <rPr>
        <sz val="8"/>
        <rFont val="細明體"/>
        <family val="3"/>
        <charset val="136"/>
      </rPr>
      <t>開扣繳憑單</t>
    </r>
    <r>
      <rPr>
        <sz val="8"/>
        <rFont val="Arial"/>
        <family val="2"/>
      </rPr>
      <t>; D: 0%</t>
    </r>
    <r>
      <rPr>
        <sz val="8"/>
        <rFont val="細明體"/>
        <family val="3"/>
        <charset val="136"/>
      </rPr>
      <t>不開扣繳憑單</t>
    </r>
    <r>
      <rPr>
        <sz val="8"/>
        <rFont val="Arial"/>
        <family val="2"/>
      </rPr>
      <t>)</t>
    </r>
  </si>
  <si>
    <t>IMD-TAXCD</t>
  </si>
  <si>
    <t>482,2511</t>
  </si>
  <si>
    <t>Y</t>
  </si>
  <si>
    <t>IMDH-SCRTCD</t>
  </si>
  <si>
    <r>
      <t>秘密戶</t>
    </r>
    <r>
      <rPr>
        <sz val="8"/>
        <rFont val="Arial"/>
        <family val="2"/>
      </rPr>
      <t xml:space="preserve"> (1:</t>
    </r>
    <r>
      <rPr>
        <sz val="8"/>
        <rFont val="細明體"/>
        <family val="3"/>
        <charset val="136"/>
      </rPr>
      <t>不郵寄</t>
    </r>
    <r>
      <rPr>
        <sz val="8"/>
        <rFont val="Arial"/>
        <family val="2"/>
      </rPr>
      <t xml:space="preserve"> ; 2:</t>
    </r>
    <r>
      <rPr>
        <sz val="8"/>
        <rFont val="細明體"/>
        <family val="3"/>
        <charset val="136"/>
      </rPr>
      <t>要郵寄</t>
    </r>
    <r>
      <rPr>
        <sz val="8"/>
        <rFont val="Arial"/>
        <family val="2"/>
      </rPr>
      <t>)</t>
    </r>
  </si>
  <si>
    <t>IMD-SCRTCD</t>
  </si>
  <si>
    <t>483,2512</t>
  </si>
  <si>
    <t>IMDH-PRJ-SUB</t>
  </si>
  <si>
    <t>專案代號  Ref IPROJ</t>
  </si>
  <si>
    <t>IMD-PRJ-SUB</t>
  </si>
  <si>
    <t>484,2513</t>
  </si>
  <si>
    <t>IMDH-INAMT</t>
  </si>
  <si>
    <t>-9(14).9(2)</t>
  </si>
  <si>
    <t>本金</t>
  </si>
  <si>
    <t>IMD-INAMT</t>
  </si>
  <si>
    <t>485,2514</t>
  </si>
  <si>
    <t>IMDH-PERIOD</t>
  </si>
  <si>
    <t>9(05)</t>
  </si>
  <si>
    <t>期間</t>
  </si>
  <si>
    <t>IMD-PERIOD</t>
  </si>
  <si>
    <t>486,2515</t>
  </si>
  <si>
    <t>IMDH-CTFNO</t>
  </si>
  <si>
    <t>9(10)</t>
  </si>
  <si>
    <t>單擢號碼</t>
  </si>
  <si>
    <t>IMD-CTFNO</t>
  </si>
  <si>
    <t>487,2516</t>
  </si>
  <si>
    <t>IMDH-RAT</t>
  </si>
  <si>
    <t>-99.9(08)</t>
  </si>
  <si>
    <r>
      <t>利率</t>
    </r>
    <r>
      <rPr>
        <sz val="8"/>
        <rFont val="Arial"/>
        <family val="2"/>
      </rPr>
      <t>* 100</t>
    </r>
  </si>
  <si>
    <t>IMD-RAT</t>
  </si>
  <si>
    <t>488,2517</t>
  </si>
  <si>
    <t>IMDH-INT-LEVEL</t>
  </si>
  <si>
    <t>-9(05)</t>
  </si>
  <si>
    <t>加減碼</t>
  </si>
  <si>
    <t>IMD-INT-LEVEL</t>
  </si>
  <si>
    <t>489,2518</t>
  </si>
  <si>
    <t>IMDH-RATFLG</t>
  </si>
  <si>
    <r>
      <t>利率別</t>
    </r>
    <r>
      <rPr>
        <sz val="8"/>
        <rFont val="Arial"/>
        <family val="2"/>
      </rPr>
      <t xml:space="preserve"> (1.</t>
    </r>
    <r>
      <rPr>
        <sz val="8"/>
        <rFont val="細明體"/>
        <family val="3"/>
        <charset val="136"/>
      </rPr>
      <t>固定</t>
    </r>
    <r>
      <rPr>
        <sz val="8"/>
        <rFont val="Arial"/>
        <family val="2"/>
      </rPr>
      <t xml:space="preserve"> ;2.</t>
    </r>
    <r>
      <rPr>
        <sz val="8"/>
        <rFont val="細明體"/>
        <family val="3"/>
        <charset val="136"/>
      </rPr>
      <t>機動</t>
    </r>
    <r>
      <rPr>
        <sz val="8"/>
        <rFont val="Arial"/>
        <family val="2"/>
      </rPr>
      <t>)</t>
    </r>
  </si>
  <si>
    <t>IMD-RATFLG</t>
  </si>
  <si>
    <t>490,2519</t>
  </si>
  <si>
    <t>IMDH-TRACNT</t>
  </si>
  <si>
    <t>自轉帳號</t>
  </si>
  <si>
    <r>
      <t xml:space="preserve">IMD-TRDEPKIND(5)+IMD-TRACNO(9) 
</t>
    </r>
    <r>
      <rPr>
        <sz val="8"/>
        <rFont val="細明體"/>
        <family val="3"/>
        <charset val="136"/>
      </rPr>
      <t>組字串，不滿位數補</t>
    </r>
    <r>
      <rPr>
        <sz val="8"/>
        <rFont val="Arial"/>
        <family val="2"/>
      </rPr>
      <t>0</t>
    </r>
  </si>
  <si>
    <t>491,2520</t>
  </si>
  <si>
    <t>IMDH-SPECFLG</t>
  </si>
  <si>
    <r>
      <t>自動展期</t>
    </r>
    <r>
      <rPr>
        <sz val="8"/>
        <rFont val="Arial"/>
        <family val="2"/>
      </rPr>
      <t xml:space="preserve"> ( " “ = </t>
    </r>
    <r>
      <rPr>
        <sz val="8"/>
        <rFont val="細明體"/>
        <family val="3"/>
        <charset val="136"/>
      </rPr>
      <t>轉息</t>
    </r>
    <r>
      <rPr>
        <sz val="8"/>
        <rFont val="Arial"/>
        <family val="2"/>
      </rPr>
      <t xml:space="preserve"> ; not spaces = 轉期)
20110920調整description</t>
    </r>
  </si>
  <si>
    <t>IMD-SPECFLG</t>
  </si>
  <si>
    <t>492,2521,2481,452</t>
  </si>
  <si>
    <t>IMDH-TUNDAY</t>
  </si>
  <si>
    <t>X(02)</t>
  </si>
  <si>
    <r>
      <t>約轉日</t>
    </r>
    <r>
      <rPr>
        <sz val="8"/>
        <rFont val="Arial"/>
        <family val="2"/>
      </rPr>
      <t>( DD)</t>
    </r>
  </si>
  <si>
    <t>IMD-TUNDAY</t>
  </si>
  <si>
    <t>493,2522</t>
  </si>
  <si>
    <t>IMDH-OPDAT</t>
  </si>
  <si>
    <r>
      <t>開戶日</t>
    </r>
    <r>
      <rPr>
        <sz val="8"/>
        <rFont val="Arial"/>
        <family val="2"/>
      </rPr>
      <t>is the format CCYYMMDD</t>
    </r>
  </si>
  <si>
    <t>IMD-OPDAT</t>
  </si>
  <si>
    <t>494,2523</t>
  </si>
  <si>
    <t>IMDH-INTDAT</t>
  </si>
  <si>
    <r>
      <t>起息日</t>
    </r>
    <r>
      <rPr>
        <sz val="8"/>
        <rFont val="Arial"/>
        <family val="2"/>
      </rPr>
      <t>is the format CCYYMMDD</t>
    </r>
  </si>
  <si>
    <t>IMD-INTDAT</t>
  </si>
  <si>
    <t>495,2524</t>
  </si>
  <si>
    <t>IMDH-DUEDAT</t>
  </si>
  <si>
    <r>
      <t>到期日</t>
    </r>
    <r>
      <rPr>
        <sz val="8"/>
        <rFont val="Arial"/>
        <family val="2"/>
      </rPr>
      <t>is the format CCYYMMDD</t>
    </r>
  </si>
  <si>
    <t>IMD-DUEDAT</t>
  </si>
  <si>
    <t>496,2525</t>
  </si>
  <si>
    <t xml:space="preserve">IMDH-UNIT </t>
  </si>
  <si>
    <t>9(03)</t>
  </si>
  <si>
    <t>勸募單位</t>
  </si>
  <si>
    <t>IMD-UNIT</t>
  </si>
  <si>
    <t>481</t>
  </si>
  <si>
    <t>IMDH-PERID</t>
  </si>
  <si>
    <t>9(07)</t>
  </si>
  <si>
    <t>勸募員工</t>
  </si>
  <si>
    <t>IMD-PERID</t>
  </si>
  <si>
    <t>2422, 3105</t>
  </si>
  <si>
    <t>IMDH-AREA</t>
  </si>
  <si>
    <r>
      <t xml:space="preserve">業績區分
</t>
    </r>
    <r>
      <rPr>
        <sz val="8"/>
        <rFont val="Arial"/>
        <family val="2"/>
      </rPr>
      <t xml:space="preserve"> (1</t>
    </r>
    <r>
      <rPr>
        <sz val="8"/>
        <rFont val="細明體"/>
        <family val="3"/>
        <charset val="136"/>
      </rPr>
      <t>法金</t>
    </r>
    <r>
      <rPr>
        <sz val="8"/>
        <rFont val="Arial"/>
        <family val="2"/>
      </rPr>
      <t>/ 2</t>
    </r>
    <r>
      <rPr>
        <sz val="8"/>
        <rFont val="細明體"/>
        <family val="3"/>
        <charset val="136"/>
      </rPr>
      <t>個金</t>
    </r>
    <r>
      <rPr>
        <sz val="8"/>
        <rFont val="Arial"/>
        <family val="2"/>
      </rPr>
      <t xml:space="preserve"> / 3</t>
    </r>
    <r>
      <rPr>
        <sz val="8"/>
        <rFont val="細明體"/>
        <family val="3"/>
        <charset val="136"/>
      </rPr>
      <t>分行</t>
    </r>
    <r>
      <rPr>
        <sz val="8"/>
        <rFont val="Arial"/>
        <family val="2"/>
      </rPr>
      <t>/ 4</t>
    </r>
    <r>
      <rPr>
        <sz val="8"/>
        <rFont val="細明體"/>
        <family val="3"/>
        <charset val="136"/>
      </rPr>
      <t>證券</t>
    </r>
    <r>
      <rPr>
        <sz val="8"/>
        <rFont val="Arial"/>
        <family val="2"/>
      </rPr>
      <t>)</t>
    </r>
  </si>
  <si>
    <t>IMD-AREA</t>
  </si>
  <si>
    <t>497,2526,2481,452</t>
  </si>
  <si>
    <t>IMDH-KINDFLG</t>
  </si>
  <si>
    <r>
      <t xml:space="preserve">存款種類
</t>
    </r>
    <r>
      <rPr>
        <sz val="8"/>
        <rFont val="Arial"/>
        <family val="2"/>
      </rPr>
      <t>1</t>
    </r>
    <r>
      <rPr>
        <sz val="8"/>
        <rFont val="細明體"/>
        <family val="3"/>
        <charset val="136"/>
      </rPr>
      <t>一般存款</t>
    </r>
    <r>
      <rPr>
        <sz val="8"/>
        <rFont val="Arial"/>
        <family val="2"/>
      </rPr>
      <t xml:space="preserve"> 2</t>
    </r>
    <r>
      <rPr>
        <sz val="8"/>
        <rFont val="細明體"/>
        <family val="3"/>
        <charset val="136"/>
      </rPr>
      <t>綜合存款</t>
    </r>
    <r>
      <rPr>
        <sz val="8"/>
        <rFont val="Arial"/>
        <family val="2"/>
      </rPr>
      <t xml:space="preserve"> 3 B2B</t>
    </r>
    <r>
      <rPr>
        <sz val="8"/>
        <rFont val="細明體"/>
        <family val="3"/>
        <charset val="136"/>
      </rPr>
      <t>定儲</t>
    </r>
    <r>
      <rPr>
        <sz val="8"/>
        <rFont val="Arial"/>
        <family val="2"/>
      </rPr>
      <t xml:space="preserve"> 4</t>
    </r>
    <r>
      <rPr>
        <sz val="8"/>
        <rFont val="細明體"/>
        <family val="3"/>
        <charset val="136"/>
      </rPr>
      <t>可轉讓定存</t>
    </r>
    <r>
      <rPr>
        <sz val="8"/>
        <rFont val="Arial"/>
        <family val="2"/>
      </rPr>
      <t>(NTD) 5</t>
    </r>
    <r>
      <rPr>
        <sz val="8"/>
        <rFont val="細明體"/>
        <family val="3"/>
        <charset val="136"/>
      </rPr>
      <t>整存整付儲蓄存款</t>
    </r>
    <r>
      <rPr>
        <sz val="8"/>
        <rFont val="Arial"/>
        <family val="2"/>
      </rPr>
      <t>(</t>
    </r>
    <r>
      <rPr>
        <sz val="8"/>
        <rFont val="細明體"/>
        <family val="3"/>
        <charset val="136"/>
      </rPr>
      <t>續存利息滾入本金</t>
    </r>
    <r>
      <rPr>
        <sz val="8"/>
        <rFont val="Arial"/>
        <family val="2"/>
      </rPr>
      <t xml:space="preserve">) 6 </t>
    </r>
    <r>
      <rPr>
        <sz val="8"/>
        <rFont val="細明體"/>
        <family val="3"/>
        <charset val="136"/>
      </rPr>
      <t>郵匯局存款</t>
    </r>
    <r>
      <rPr>
        <sz val="8"/>
        <rFont val="Arial"/>
        <family val="2"/>
      </rPr>
      <t xml:space="preserve"> (POIMDTP) 7</t>
    </r>
    <r>
      <rPr>
        <sz val="8"/>
        <rFont val="細明體"/>
        <family val="3"/>
        <charset val="136"/>
      </rPr>
      <t>存單存摺</t>
    </r>
    <r>
      <rPr>
        <sz val="8"/>
        <rFont val="Arial"/>
        <family val="2"/>
      </rPr>
      <t xml:space="preserve"> 8</t>
    </r>
    <r>
      <rPr>
        <sz val="8"/>
        <rFont val="細明體"/>
        <family val="3"/>
        <charset val="136"/>
      </rPr>
      <t>語音存單</t>
    </r>
    <r>
      <rPr>
        <sz val="8"/>
        <rFont val="Arial"/>
        <family val="2"/>
      </rPr>
      <t xml:space="preserve">(B2C)- </t>
    </r>
    <r>
      <rPr>
        <sz val="8"/>
        <rFont val="細明體"/>
        <family val="3"/>
        <charset val="136"/>
      </rPr>
      <t>無摺</t>
    </r>
    <r>
      <rPr>
        <sz val="8"/>
        <rFont val="Arial"/>
        <family val="2"/>
      </rPr>
      <t xml:space="preserve"> 9ALMA</t>
    </r>
    <r>
      <rPr>
        <sz val="8"/>
        <rFont val="細明體"/>
        <family val="3"/>
        <charset val="136"/>
      </rPr>
      <t>存單</t>
    </r>
    <r>
      <rPr>
        <sz val="8"/>
        <rFont val="Arial"/>
        <family val="2"/>
      </rPr>
      <t>S Product44(</t>
    </r>
    <r>
      <rPr>
        <sz val="8"/>
        <rFont val="細明體"/>
        <family val="3"/>
        <charset val="136"/>
      </rPr>
      <t>無單無摺</t>
    </r>
    <r>
      <rPr>
        <sz val="8"/>
        <rFont val="Arial"/>
        <family val="2"/>
      </rPr>
      <t>) A: ATIC</t>
    </r>
  </si>
  <si>
    <t>IMD-KINDFLG</t>
  </si>
  <si>
    <t>498,2527</t>
  </si>
  <si>
    <t>IMDH-INT-TYPE</t>
  </si>
  <si>
    <r>
      <t>付息方式</t>
    </r>
    <r>
      <rPr>
        <sz val="8"/>
        <rFont val="Arial"/>
        <family val="2"/>
      </rPr>
      <t xml:space="preserve"> (M-Monthly interest pay / D-interest pay at maturity)</t>
    </r>
  </si>
  <si>
    <t>IMD-INT-TYPE</t>
  </si>
  <si>
    <t>499,2528</t>
  </si>
  <si>
    <t>IMDH-REN-INT</t>
  </si>
  <si>
    <r>
      <t>展期</t>
    </r>
    <r>
      <rPr>
        <sz val="8"/>
        <rFont val="Arial"/>
        <family val="2"/>
      </rPr>
      <t>(T-interest transfer to specified account ; A-remain to principle)</t>
    </r>
  </si>
  <si>
    <t>IMD-REN-INT</t>
  </si>
  <si>
    <t>500,2529</t>
  </si>
  <si>
    <t>IMDH-SPC-FLG</t>
  </si>
  <si>
    <r>
      <t>特別指示</t>
    </r>
    <r>
      <rPr>
        <sz val="8"/>
        <rFont val="Arial"/>
        <family val="2"/>
      </rPr>
      <t xml:space="preserve"> (S-Special instructions ; blank- no instructions)</t>
    </r>
  </si>
  <si>
    <t>IMD-SPC-FLG</t>
  </si>
  <si>
    <t>501,2530</t>
  </si>
  <si>
    <t xml:space="preserve">IMDH-GO-FLG </t>
  </si>
  <si>
    <r>
      <t>性質</t>
    </r>
    <r>
      <rPr>
        <sz val="8"/>
        <rFont val="Arial"/>
        <family val="2"/>
      </rPr>
      <t xml:space="preserve"> (1.</t>
    </r>
    <r>
      <rPr>
        <sz val="8"/>
        <rFont val="細明體"/>
        <family val="3"/>
        <charset val="136"/>
      </rPr>
      <t>投資商品</t>
    </r>
    <r>
      <rPr>
        <sz val="8"/>
        <rFont val="Arial"/>
        <family val="2"/>
      </rPr>
      <t xml:space="preserve"> ; 2.</t>
    </r>
    <r>
      <rPr>
        <sz val="8"/>
        <rFont val="細明體"/>
        <family val="3"/>
        <charset val="136"/>
      </rPr>
      <t>轉匯他行</t>
    </r>
    <r>
      <rPr>
        <sz val="8"/>
        <rFont val="Arial"/>
        <family val="2"/>
      </rPr>
      <t>; 3.</t>
    </r>
    <r>
      <rPr>
        <sz val="8"/>
        <rFont val="細明體"/>
        <family val="3"/>
        <charset val="136"/>
      </rPr>
      <t>其他</t>
    </r>
    <r>
      <rPr>
        <sz val="8"/>
        <rFont val="Arial"/>
        <family val="2"/>
      </rPr>
      <t>)</t>
    </r>
  </si>
  <si>
    <t>IMD-GO-FLG</t>
  </si>
  <si>
    <t>502,2531</t>
  </si>
  <si>
    <t>IMDH-SIGN-FLG</t>
  </si>
  <si>
    <r>
      <t>簽章方式</t>
    </r>
    <r>
      <rPr>
        <sz val="8"/>
        <rFont val="Arial"/>
        <family val="2"/>
      </rPr>
      <t xml:space="preserve"> (B:</t>
    </r>
    <r>
      <rPr>
        <sz val="8"/>
        <rFont val="細明體"/>
        <family val="3"/>
        <charset val="136"/>
      </rPr>
      <t>貳式憑貳式</t>
    </r>
    <r>
      <rPr>
        <sz val="8"/>
        <rFont val="Arial"/>
        <family val="2"/>
      </rPr>
      <t xml:space="preserve"> 
E:</t>
    </r>
    <r>
      <rPr>
        <sz val="8"/>
        <rFont val="細明體"/>
        <family val="3"/>
        <charset val="136"/>
      </rPr>
      <t>貳式憑壹式</t>
    </r>
    <r>
      <rPr>
        <sz val="8"/>
        <rFont val="Arial"/>
        <family val="2"/>
      </rPr>
      <t>)</t>
    </r>
  </si>
  <si>
    <t>IMD-SIGN-FLG</t>
  </si>
  <si>
    <t>503,2532</t>
  </si>
  <si>
    <t>IMDH-EVENT-FLG</t>
  </si>
  <si>
    <t xml:space="preserve"> Q</t>
  </si>
  <si>
    <t>IMD-EVENT-FLG</t>
  </si>
  <si>
    <t>IIR120</t>
  </si>
  <si>
    <t>453</t>
  </si>
  <si>
    <t>IMDH-TEL</t>
  </si>
  <si>
    <t>Contact No.</t>
  </si>
  <si>
    <t>Select ITE-TEL 
Left Join ITEL On  IMD_IDNO = ITE_IDNO</t>
  </si>
  <si>
    <t>2411</t>
  </si>
  <si>
    <t>IMDH-CLSFLG</t>
  </si>
  <si>
    <t xml:space="preserve">"0" 正常戶 
 "1" 一般結清
 "2" 中途解約-利息打八折
 "3" 中途解約-不打折-搬遷單位
 "4" 中途解約-不打折-次順位債券
 "5" 中途解約-不打折-專案
 "7" 中途解約-不打折-轉結購型商品
 "10" 全部續存
 "11" 部份續存 </t>
  </si>
  <si>
    <t xml:space="preserve">IMD-CLSFLG </t>
  </si>
  <si>
    <t>2410</t>
  </si>
  <si>
    <t>IMDH-CLSDAT</t>
  </si>
  <si>
    <t>IMD-CLSDAT</t>
  </si>
  <si>
    <t>2423</t>
  </si>
  <si>
    <t>IMDH-IT1-TR-FLG</t>
  </si>
  <si>
    <t>續存(是/否)</t>
  </si>
  <si>
    <t xml:space="preserve"> IPCTL1
</t>
  </si>
  <si>
    <r>
      <t>IPCTL1</t>
    </r>
    <r>
      <rPr>
        <b/>
        <sz val="8"/>
        <color indexed="10"/>
        <rFont val="細明體"/>
        <family val="3"/>
        <charset val="136"/>
      </rPr>
      <t>及</t>
    </r>
    <r>
      <rPr>
        <b/>
        <sz val="8"/>
        <color indexed="10"/>
        <rFont val="Arial"/>
        <family val="2"/>
      </rPr>
      <t>IMDPT</t>
    </r>
    <r>
      <rPr>
        <b/>
        <sz val="8"/>
        <color indexed="10"/>
        <rFont val="細明體"/>
        <family val="3"/>
        <charset val="136"/>
      </rPr>
      <t xml:space="preserve">之間的連結是
</t>
    </r>
    <r>
      <rPr>
        <b/>
        <sz val="8"/>
        <color indexed="10"/>
        <rFont val="Arial"/>
        <family val="2"/>
      </rPr>
      <t>(IT1-DEPKIND = IMD-DEPKIND AND IT1-ACNO = IMD-ACNO</t>
    </r>
    <r>
      <rPr>
        <b/>
        <sz val="8"/>
        <color indexed="10"/>
        <rFont val="細明體"/>
        <family val="3"/>
        <charset val="136"/>
      </rPr>
      <t>只</t>
    </r>
    <r>
      <rPr>
        <b/>
        <sz val="8"/>
        <color indexed="10"/>
        <rFont val="Arial"/>
        <family val="2"/>
      </rPr>
      <t>join IMDPT,</t>
    </r>
    <r>
      <rPr>
        <b/>
        <sz val="8"/>
        <color indexed="10"/>
        <rFont val="細明體"/>
        <family val="3"/>
        <charset val="136"/>
      </rPr>
      <t>不需</t>
    </r>
    <r>
      <rPr>
        <b/>
        <sz val="8"/>
        <color indexed="10"/>
        <rFont val="Arial"/>
        <family val="2"/>
      </rPr>
      <t>joint SIIMDPT)
IT1-TR-FLG</t>
    </r>
  </si>
  <si>
    <t>IFR490</t>
  </si>
  <si>
    <t>SME NO.41</t>
  </si>
  <si>
    <t>IMDH-IT1-TR-GO</t>
  </si>
  <si>
    <t>續存方式</t>
  </si>
  <si>
    <t xml:space="preserve"> IPCTL1</t>
  </si>
  <si>
    <t>IT1-TR-GO</t>
  </si>
  <si>
    <t>SME NO.43</t>
  </si>
  <si>
    <t>IMDH-IT1-ACNT</t>
  </si>
  <si>
    <t>9(14)</t>
  </si>
  <si>
    <t>到期存入活期帳號</t>
  </si>
  <si>
    <t>IT1-TRDEPKIND+ IT1-TRACNO</t>
  </si>
  <si>
    <t>SME NO.44</t>
  </si>
  <si>
    <t>IMDH-IT1-SET-CNT</t>
  </si>
  <si>
    <t>9(01)</t>
  </si>
  <si>
    <t>續存次數</t>
  </si>
  <si>
    <t>IT1-SET-CNT</t>
  </si>
  <si>
    <t>SME NO.42</t>
  </si>
  <si>
    <t>TRAILER-RECORD-IMDPT REDEFINES                           HEADER-RECORD-IMDPT</t>
  </si>
  <si>
    <r>
      <t xml:space="preserve">Will contain character </t>
    </r>
    <r>
      <rPr>
        <b/>
        <sz val="8"/>
        <rFont val="Arial"/>
        <family val="2"/>
      </rPr>
      <t xml:space="preserve">'T' </t>
    </r>
    <r>
      <rPr>
        <sz val="8"/>
        <rFont val="Arial"/>
        <family val="2"/>
      </rPr>
      <t>to indicate Trailer record</t>
    </r>
  </si>
  <si>
    <t>Transfer Remark</t>
  </si>
  <si>
    <t>Field Source( Tandem, GGS, CIS, MFS, B2C...as like System name)</t>
    <phoneticPr fontId="4" type="noConversion"/>
  </si>
  <si>
    <t>Field Table Name( Field from which Table)</t>
    <phoneticPr fontId="4" type="noConversion"/>
  </si>
  <si>
    <t>Field Name</t>
    <phoneticPr fontId="4" type="noConversion"/>
  </si>
  <si>
    <t>CEMS screen mapping fields no</t>
    <phoneticPr fontId="4" type="noConversion"/>
  </si>
  <si>
    <r>
      <t>G</t>
    </r>
    <r>
      <rPr>
        <sz val="8"/>
        <rFont val="Arial"/>
        <family val="2"/>
      </rPr>
      <t>GS fields Name</t>
    </r>
  </si>
  <si>
    <t>HEADER-RECORD-CUSTOMER</t>
    <phoneticPr fontId="4" type="noConversion"/>
  </si>
  <si>
    <t xml:space="preserve"> </t>
    <phoneticPr fontId="16" type="noConversion"/>
  </si>
  <si>
    <t>Source System Name</t>
    <phoneticPr fontId="4" type="noConversion"/>
  </si>
  <si>
    <t>X(15)</t>
    <phoneticPr fontId="4" type="noConversion"/>
  </si>
  <si>
    <t>System Name is "TandemCIS"</t>
    <phoneticPr fontId="4" type="noConversion"/>
  </si>
  <si>
    <t>Country Code</t>
    <phoneticPr fontId="4" type="noConversion"/>
  </si>
  <si>
    <t>X(10)</t>
    <phoneticPr fontId="4" type="noConversion"/>
  </si>
  <si>
    <t>Coutry Code is "TW"</t>
    <phoneticPr fontId="4" type="noConversion"/>
  </si>
  <si>
    <t>CCYYMMDD</t>
    <phoneticPr fontId="4" type="noConversion"/>
  </si>
  <si>
    <t>File Name</t>
    <phoneticPr fontId="4" type="noConversion"/>
  </si>
  <si>
    <t>file name "CUSTOMER"</t>
    <phoneticPr fontId="4" type="noConversion"/>
  </si>
  <si>
    <t xml:space="preserve">Delimiter </t>
    <phoneticPr fontId="4" type="noConversion"/>
  </si>
  <si>
    <t>X(01)</t>
    <phoneticPr fontId="4" type="noConversion"/>
  </si>
  <si>
    <t>Vaule is Hex-04</t>
    <phoneticPr fontId="4" type="noConversion"/>
  </si>
  <si>
    <t xml:space="preserve">DETAIL-RECORD-CUSTOMER </t>
    <phoneticPr fontId="4" type="noConversion"/>
  </si>
  <si>
    <t>Record Type</t>
    <phoneticPr fontId="4" type="noConversion"/>
  </si>
  <si>
    <t>Tandem TO ISIS</t>
    <phoneticPr fontId="4" type="noConversion"/>
  </si>
  <si>
    <r>
      <t>Customer ID</t>
    </r>
    <r>
      <rPr>
        <sz val="8"/>
        <color indexed="10"/>
        <rFont val="Helvetica"/>
        <family val="2"/>
      </rPr>
      <t> </t>
    </r>
  </si>
  <si>
    <t>X(11)</t>
    <phoneticPr fontId="16" type="noConversion"/>
  </si>
  <si>
    <r>
      <t>t</t>
    </r>
    <r>
      <rPr>
        <sz val="8"/>
        <rFont val="Arial"/>
        <family val="2"/>
      </rPr>
      <t xml:space="preserve">he criterion1 is by buisness type = "CB" 
the criterion2 is by buisness type = "SME" and Customer id is not 8 Digits( Company) </t>
    </r>
    <r>
      <rPr>
        <sz val="8"/>
        <color indexed="10"/>
        <rFont val="Arial"/>
        <family val="2"/>
      </rPr>
      <t xml:space="preserve"> (KEY)</t>
    </r>
  </si>
  <si>
    <r>
      <t>C</t>
    </r>
    <r>
      <rPr>
        <sz val="8"/>
        <rFont val="Arial"/>
        <family val="2"/>
      </rPr>
      <t>USTOMER-R</t>
    </r>
  </si>
  <si>
    <t>CU-IDNO</t>
    <phoneticPr fontId="16" type="noConversion"/>
  </si>
  <si>
    <r>
      <t>C</t>
    </r>
    <r>
      <rPr>
        <sz val="8"/>
        <rFont val="Arial"/>
        <family val="2"/>
      </rPr>
      <t>IS SCREEN</t>
    </r>
  </si>
  <si>
    <t>762</t>
  </si>
  <si>
    <t>Y</t>
    <phoneticPr fontId="16" type="noConversion"/>
  </si>
  <si>
    <t>Account Name in English</t>
  </si>
  <si>
    <t>X(80)</t>
  </si>
  <si>
    <t>cu-eng-name</t>
  </si>
  <si>
    <t>763</t>
  </si>
  <si>
    <t>Account Name in Mandarin</t>
  </si>
  <si>
    <t>Chinese Char Set UTF-8</t>
    <phoneticPr fontId="4" type="noConversion"/>
  </si>
  <si>
    <t>cu-cname</t>
  </si>
  <si>
    <t>764</t>
  </si>
  <si>
    <t>Cross Sell Potential</t>
  </si>
  <si>
    <t>X(04)</t>
    <phoneticPr fontId="16" type="noConversion"/>
  </si>
  <si>
    <t>CU_IDNO = CT_IDNO move CT_XSELL_PRODUCT_FLAG+CT_BB_SEGMENT+  CT_POTENTIAL_FLAG + CT_RELATIONSHIP_FLAG</t>
  </si>
  <si>
    <r>
      <t>C</t>
    </r>
    <r>
      <rPr>
        <sz val="8"/>
        <rFont val="Arial"/>
        <family val="2"/>
      </rPr>
      <t>ONTACT-R</t>
    </r>
  </si>
  <si>
    <t>CT-XSELL-SEGMENT
CT-CUSTOMER-SEGMENT</t>
    <phoneticPr fontId="16" type="noConversion"/>
  </si>
  <si>
    <t>765</t>
  </si>
  <si>
    <t>DOB (YYYYMMDD)</t>
    <phoneticPr fontId="16" type="noConversion"/>
  </si>
  <si>
    <t>CU-BIRTHDAY</t>
  </si>
  <si>
    <t>767</t>
  </si>
  <si>
    <t>Nationality</t>
  </si>
  <si>
    <t>X(02)</t>
    <phoneticPr fontId="16" type="noConversion"/>
  </si>
  <si>
    <t>refer to COUNTRYCODE</t>
    <phoneticPr fontId="16" type="noConversion"/>
  </si>
  <si>
    <t>CU-CITIZENSHIP</t>
  </si>
  <si>
    <t>773</t>
  </si>
  <si>
    <t>Passport No.</t>
  </si>
  <si>
    <t>X(20)</t>
    <phoneticPr fontId="16" type="noConversion"/>
  </si>
  <si>
    <t>CU-PASSBOOK</t>
  </si>
  <si>
    <t>774</t>
  </si>
  <si>
    <t>Tandem ARM Code</t>
  </si>
  <si>
    <t>X(03)</t>
  </si>
  <si>
    <t>REFER TO ARMCODE</t>
    <phoneticPr fontId="16" type="noConversion"/>
  </si>
  <si>
    <t>CU-CLASS</t>
  </si>
  <si>
    <t>777</t>
  </si>
  <si>
    <t>Customer Type</t>
  </si>
  <si>
    <t>Vale:CB, WB, SME</t>
    <phoneticPr fontId="16" type="noConversion"/>
  </si>
  <si>
    <t>CU-BUSINESS-KIND</t>
  </si>
  <si>
    <t>778</t>
  </si>
  <si>
    <t>Profession  客戶職業行業別</t>
  </si>
  <si>
    <t>9(04)</t>
  </si>
  <si>
    <r>
      <t xml:space="preserve">REFER TO </t>
    </r>
    <r>
      <rPr>
        <b/>
        <sz val="8"/>
        <color indexed="10"/>
        <rFont val="Arial"/>
        <family val="2"/>
      </rPr>
      <t>JOBKIND</t>
    </r>
  </si>
  <si>
    <r>
      <rPr>
        <strike/>
        <sz val="10"/>
        <rFont val="Arial"/>
        <family val="2"/>
      </rPr>
      <t xml:space="preserve">CU-BUSINESS  </t>
    </r>
    <r>
      <rPr>
        <b/>
        <sz val="10"/>
        <color indexed="10"/>
        <rFont val="Arial"/>
        <family val="2"/>
      </rPr>
      <t xml:space="preserve"> 
CU-CRAFT</t>
    </r>
  </si>
  <si>
    <t>779</t>
  </si>
  <si>
    <t>Profession (For JCIC Use) )聯徵職業別代碼</t>
  </si>
  <si>
    <t>X(06)</t>
  </si>
  <si>
    <t xml:space="preserve">REFER TO JCICCODE </t>
  </si>
  <si>
    <t xml:space="preserve">CU-JCICCODE </t>
  </si>
  <si>
    <t>781</t>
  </si>
  <si>
    <t>Occupational ISIC code   客戶業種別(政府機關</t>
  </si>
  <si>
    <t>9(06)</t>
  </si>
  <si>
    <r>
      <t xml:space="preserve">REFER TO ISICCode </t>
    </r>
    <r>
      <rPr>
        <sz val="8"/>
        <color indexed="10"/>
        <rFont val="Arial"/>
        <family val="2"/>
      </rPr>
      <t xml:space="preserve"> </t>
    </r>
  </si>
  <si>
    <t>CU-BUSINESS</t>
  </si>
  <si>
    <t>780</t>
  </si>
  <si>
    <t>Open Branch</t>
  </si>
  <si>
    <r>
      <t xml:space="preserve">CU-FIRST-BRANCH </t>
    </r>
    <r>
      <rPr>
        <sz val="8"/>
        <color indexed="10"/>
        <rFont val="細明體"/>
        <family val="3"/>
        <charset val="136"/>
      </rPr>
      <t>組字串，不滿位數補</t>
    </r>
    <r>
      <rPr>
        <sz val="8"/>
        <color indexed="10"/>
        <rFont val="Arial"/>
        <family val="2"/>
      </rPr>
      <t>0</t>
    </r>
  </si>
  <si>
    <t>783</t>
  </si>
  <si>
    <t>Date of Incorporation</t>
  </si>
  <si>
    <t>cu-birthday</t>
  </si>
  <si>
    <t>Country of Incorporation</t>
  </si>
  <si>
    <t>cu-citizenship</t>
  </si>
  <si>
    <t>Customer Creation Date</t>
  </si>
  <si>
    <t>cu-first-day</t>
  </si>
  <si>
    <t>782</t>
  </si>
  <si>
    <t>Last Modified Date</t>
  </si>
  <si>
    <t>cu-last-update-day</t>
  </si>
  <si>
    <t>796</t>
  </si>
  <si>
    <t>Record Created By (Employee ID)</t>
  </si>
  <si>
    <t>9(6)</t>
    <phoneticPr fontId="16" type="noConversion"/>
  </si>
  <si>
    <t>TANDEM</t>
    <phoneticPr fontId="4" type="noConversion"/>
  </si>
  <si>
    <t xml:space="preserve">CU-FIRST-TELLER .       </t>
  </si>
  <si>
    <t>784</t>
  </si>
  <si>
    <t>Hold Mail (Y / N)  To indicate whether to receive statement or not)</t>
    <phoneticPr fontId="16" type="noConversion"/>
  </si>
  <si>
    <t>To indicate whether to receive statement or not</t>
    <phoneticPr fontId="16" type="noConversion"/>
  </si>
  <si>
    <t xml:space="preserve">CU-SECRET-MARK .        </t>
  </si>
  <si>
    <t>785</t>
  </si>
  <si>
    <t xml:space="preserve">Direct Marketing </t>
  </si>
  <si>
    <t>X(01)</t>
    <phoneticPr fontId="16" type="noConversion"/>
  </si>
  <si>
    <r>
      <rPr>
        <strike/>
        <sz val="8"/>
        <rFont val="Arial"/>
        <family val="2"/>
      </rPr>
      <t>"Y": Agree, Partial Agree,"N":  Not Agree</t>
    </r>
    <r>
      <rPr>
        <sz val="8"/>
        <rFont val="Arial"/>
        <family val="2"/>
      </rPr>
      <t xml:space="preserve">
Y:Agree
L:Partial Agree
N:Not Agree
“”:No Comment
</t>
    </r>
  </si>
  <si>
    <t xml:space="preserve">CU-SELLING-FLG .        </t>
  </si>
  <si>
    <t>786</t>
  </si>
  <si>
    <t>Customer (Alive / Death)</t>
    <phoneticPr fontId="16" type="noConversion"/>
  </si>
  <si>
    <t xml:space="preserve"> "Y" : Alive , "N"  Death</t>
    <phoneticPr fontId="16" type="noConversion"/>
  </si>
  <si>
    <t xml:space="preserve">CU-EXIST-FLG .          </t>
  </si>
  <si>
    <t>787</t>
  </si>
  <si>
    <t>Consolidated Statement Deliver to Address as per ID (Y/ " ")</t>
  </si>
  <si>
    <t>Vaule : Y, " "</t>
    <phoneticPr fontId="16" type="noConversion"/>
  </si>
  <si>
    <t xml:space="preserve">CU-DETAIL-FLG .         </t>
  </si>
  <si>
    <t>788</t>
  </si>
  <si>
    <r>
      <t xml:space="preserve">Address </t>
    </r>
    <r>
      <rPr>
        <sz val="10"/>
        <rFont val="Arial"/>
        <family val="2"/>
      </rPr>
      <t>Falg</t>
    </r>
  </si>
  <si>
    <t>Only Address as per ID / Other Address</t>
  </si>
  <si>
    <t xml:space="preserve">CU-ADDRESS-FLG .        </t>
  </si>
  <si>
    <t>789</t>
  </si>
  <si>
    <t>Consolidated Statement Delivery Mode (Mail, Email, etc)</t>
  </si>
  <si>
    <t>Y : Mail 
E: Email</t>
    <phoneticPr fontId="16" type="noConversion"/>
  </si>
  <si>
    <t xml:space="preserve">CU-STATE-FLG .          </t>
  </si>
  <si>
    <t>790</t>
  </si>
  <si>
    <t>Consolidated Statement Delivery Addess Type (Address as per ID, etc.)</t>
  </si>
  <si>
    <t>Value "A00" " "</t>
    <phoneticPr fontId="16" type="noConversion"/>
  </si>
  <si>
    <t xml:space="preserve">CU-ACOUNT-STATE .       </t>
  </si>
  <si>
    <t>791</t>
  </si>
  <si>
    <t>Statement Day</t>
  </si>
  <si>
    <t>5, 10, 15,20, 25</t>
    <phoneticPr fontId="16" type="noConversion"/>
  </si>
  <si>
    <t xml:space="preserve">CU-ST-DD .              </t>
  </si>
  <si>
    <t>792</t>
  </si>
  <si>
    <t>Last Modified By (Employee ID)</t>
  </si>
  <si>
    <t>9(6).</t>
    <phoneticPr fontId="16" type="noConversion"/>
  </si>
  <si>
    <t xml:space="preserve">CU-LAST-UPDATE-TELLER </t>
  </si>
  <si>
    <t>794</t>
  </si>
  <si>
    <t>Last Modified By Branch</t>
  </si>
  <si>
    <r>
      <t xml:space="preserve">CU-LAST-UPDATE-BRANCH </t>
    </r>
    <r>
      <rPr>
        <sz val="8"/>
        <rFont val="細明體"/>
        <family val="3"/>
        <charset val="136"/>
      </rPr>
      <t>組字串，不滿位數補</t>
    </r>
    <r>
      <rPr>
        <sz val="8"/>
        <rFont val="Arial"/>
        <family val="2"/>
      </rPr>
      <t>0</t>
    </r>
  </si>
  <si>
    <t>795</t>
  </si>
  <si>
    <t>Credit Card Statement Delivery Mode</t>
  </si>
  <si>
    <t>X(18)</t>
  </si>
  <si>
    <t>"Y":用E MAIL寄送
ELSE 紙本郵寄至通訊地址
只送desc, 不送code</t>
  </si>
  <si>
    <t>CUSTOMER-R</t>
  </si>
  <si>
    <t>CU_CCMS_STATE</t>
  </si>
  <si>
    <t>CIS SCREEN</t>
  </si>
  <si>
    <t xml:space="preserve">X(03) </t>
    <phoneticPr fontId="4" type="noConversion"/>
  </si>
  <si>
    <t xml:space="preserve">CUSTOMER.CU_IDNO  = MSPKAGE.PK_IDNO if no link data the value is spaces </t>
    <phoneticPr fontId="16" type="noConversion"/>
  </si>
  <si>
    <t>MSPKAGE-R</t>
    <phoneticPr fontId="4" type="noConversion"/>
  </si>
  <si>
    <t>PK-REL-TYPE</t>
  </si>
  <si>
    <t>TANDEM-RSPKAGE</t>
    <phoneticPr fontId="4" type="noConversion"/>
  </si>
  <si>
    <t>1339</t>
    <phoneticPr fontId="4" type="noConversion"/>
  </si>
  <si>
    <t xml:space="preserve">MB-PK-STATUS </t>
  </si>
  <si>
    <t>9(02)</t>
    <phoneticPr fontId="4" type="noConversion"/>
  </si>
  <si>
    <t>0.刪除
1.簽署加入 
2.未達標準 
3.精選客戶 
4.簽署終止 
5.資格終止
6. 精選未達 
 7.預備取消 
8.精選預備取消</t>
  </si>
  <si>
    <t xml:space="preserve">CUSTOMER.CU_IDNO  = MSPKAGE.PK_IDNO if no link data the value is 00 </t>
    <phoneticPr fontId="16" type="noConversion"/>
  </si>
  <si>
    <t xml:space="preserve">PK-CU-STATUS </t>
  </si>
  <si>
    <t>TRAILER-RECORD-CUSTOMER</t>
    <phoneticPr fontId="4" type="noConversion"/>
  </si>
  <si>
    <t>HEADER-RECORD-SAVEBOX</t>
  </si>
  <si>
    <t>file name "BIUCUST"</t>
  </si>
  <si>
    <t>DETAIL-RECORD-WEOUTAGR</t>
  </si>
  <si>
    <t>Customer ID</t>
  </si>
  <si>
    <t>ID(Primary Key)</t>
  </si>
  <si>
    <t>BIUCUST</t>
  </si>
  <si>
    <t>B-IDNO</t>
  </si>
  <si>
    <t>SME NO.75</t>
  </si>
  <si>
    <t>relationship manager PWD</t>
  </si>
  <si>
    <t>七碼員編</t>
  </si>
  <si>
    <t>B-PSID</t>
  </si>
  <si>
    <t>relationship manager NAME</t>
  </si>
  <si>
    <t>X(12)</t>
  </si>
  <si>
    <t>員工姓名</t>
  </si>
  <si>
    <t>B-NAME</t>
  </si>
  <si>
    <t>relationship branch</t>
  </si>
  <si>
    <t>分行別</t>
  </si>
  <si>
    <t>B-BRANCH</t>
  </si>
  <si>
    <t>TRAILER-RECORD-WEOUTAGR REDEFINES                           HEADER-RECORD-WEOUTAGR</t>
  </si>
  <si>
    <t>HEADER-RECORD-CUSTREL</t>
    <phoneticPr fontId="4" type="noConversion"/>
  </si>
  <si>
    <t xml:space="preserve"> </t>
    <phoneticPr fontId="4" type="noConversion"/>
  </si>
  <si>
    <t>Customer id must be in CU_IDNO of table "Customer"</t>
  </si>
  <si>
    <r>
      <t>C</t>
    </r>
    <r>
      <rPr>
        <sz val="8"/>
        <rFont val="Arial"/>
        <family val="2"/>
      </rPr>
      <t>USTREL-R</t>
    </r>
  </si>
  <si>
    <t>CN-IDNO</t>
    <phoneticPr fontId="16" type="noConversion"/>
  </si>
  <si>
    <t>Blocking Date for Check Transaction</t>
  </si>
  <si>
    <t>9(08)</t>
    <phoneticPr fontId="16" type="noConversion"/>
  </si>
  <si>
    <t>CCYYMMDD( CN-CHKSTOP-DATE + 19110000)</t>
    <phoneticPr fontId="4" type="noConversion"/>
  </si>
  <si>
    <t xml:space="preserve">CN-CHKSTOP-DATE . </t>
  </si>
  <si>
    <t>797</t>
  </si>
  <si>
    <t>Last Evaluation Date (Enquiry to Credit Bureau)</t>
    <phoneticPr fontId="16" type="noConversion"/>
  </si>
  <si>
    <t>CCYYMMDD(CN-CHKINQ-DATE + 19110000)</t>
    <phoneticPr fontId="4" type="noConversion"/>
  </si>
  <si>
    <t xml:space="preserve">CN-CHKINQ-DATE .  </t>
  </si>
  <si>
    <t>798</t>
  </si>
  <si>
    <t>Bounce Check Settlement Count</t>
  </si>
  <si>
    <t xml:space="preserve">CN-CHK-CANCEL-CNT </t>
  </si>
  <si>
    <t>799</t>
  </si>
  <si>
    <t>Title</t>
  </si>
  <si>
    <t xml:space="preserve">CN-JOB </t>
  </si>
  <si>
    <t>800</t>
  </si>
  <si>
    <t>Annual Income (By Thousand)</t>
  </si>
  <si>
    <t xml:space="preserve">CN-INCOME .     </t>
  </si>
  <si>
    <t>801</t>
  </si>
  <si>
    <r>
      <t>Annual Income Information Update Date (YY</t>
    </r>
    <r>
      <rPr>
        <sz val="10"/>
        <rFont val="Arial"/>
        <family val="2"/>
      </rPr>
      <t>Y</t>
    </r>
    <r>
      <rPr>
        <sz val="10"/>
        <rFont val="Arial"/>
        <family val="2"/>
      </rPr>
      <t>MM) Taiwan Calendar</t>
    </r>
  </si>
  <si>
    <t>9(06)</t>
    <phoneticPr fontId="16" type="noConversion"/>
  </si>
  <si>
    <t>CCYYMM ( CN-INCOME-YYMM + 191100)</t>
    <phoneticPr fontId="16" type="noConversion"/>
  </si>
  <si>
    <t xml:space="preserve">CN-INCOME-YYYMM </t>
  </si>
  <si>
    <t>802</t>
  </si>
  <si>
    <t>Education Level</t>
  </si>
  <si>
    <r>
      <t>1:</t>
    </r>
    <r>
      <rPr>
        <sz val="8"/>
        <rFont val="細明體"/>
        <family val="3"/>
        <charset val="136"/>
      </rPr>
      <t>博士</t>
    </r>
    <r>
      <rPr>
        <sz val="8"/>
        <rFont val="Arial"/>
        <family val="2"/>
      </rPr>
      <t>2:</t>
    </r>
    <r>
      <rPr>
        <sz val="8"/>
        <rFont val="細明體"/>
        <family val="3"/>
        <charset val="136"/>
      </rPr>
      <t>碩士</t>
    </r>
    <r>
      <rPr>
        <sz val="8"/>
        <rFont val="Arial"/>
        <family val="2"/>
      </rPr>
      <t>3:</t>
    </r>
    <r>
      <rPr>
        <sz val="8"/>
        <rFont val="細明體"/>
        <family val="3"/>
        <charset val="136"/>
      </rPr>
      <t>大學</t>
    </r>
    <r>
      <rPr>
        <sz val="8"/>
        <rFont val="Arial"/>
        <family val="2"/>
      </rPr>
      <t>4:</t>
    </r>
    <r>
      <rPr>
        <sz val="8"/>
        <rFont val="細明體"/>
        <family val="3"/>
        <charset val="136"/>
      </rPr>
      <t>專科</t>
    </r>
    <r>
      <rPr>
        <sz val="8"/>
        <rFont val="Arial"/>
        <family val="2"/>
      </rPr>
      <t>5:</t>
    </r>
    <r>
      <rPr>
        <sz val="8"/>
        <rFont val="細明體"/>
        <family val="3"/>
        <charset val="136"/>
      </rPr>
      <t>高中</t>
    </r>
    <r>
      <rPr>
        <sz val="8"/>
        <rFont val="Arial"/>
        <family val="2"/>
      </rPr>
      <t>6:</t>
    </r>
    <r>
      <rPr>
        <sz val="8"/>
        <rFont val="細明體"/>
        <family val="3"/>
        <charset val="136"/>
      </rPr>
      <t>其它</t>
    </r>
  </si>
  <si>
    <t xml:space="preserve">CN-KNOW-FLG .   </t>
  </si>
  <si>
    <t>803</t>
  </si>
  <si>
    <t xml:space="preserve">Marital Status </t>
    <phoneticPr fontId="16" type="noConversion"/>
  </si>
  <si>
    <r>
      <t>1:</t>
    </r>
    <r>
      <rPr>
        <sz val="8"/>
        <rFont val="細明體"/>
        <family val="3"/>
        <charset val="136"/>
      </rPr>
      <t>已婚</t>
    </r>
    <r>
      <rPr>
        <sz val="8"/>
        <rFont val="Arial"/>
        <family val="2"/>
      </rPr>
      <t>2:</t>
    </r>
    <r>
      <rPr>
        <sz val="8"/>
        <rFont val="細明體"/>
        <family val="3"/>
        <charset val="136"/>
      </rPr>
      <t>未婚</t>
    </r>
    <r>
      <rPr>
        <sz val="8"/>
        <rFont val="Arial"/>
        <family val="2"/>
      </rPr>
      <t>3:</t>
    </r>
    <r>
      <rPr>
        <sz val="8"/>
        <rFont val="細明體"/>
        <family val="3"/>
        <charset val="136"/>
      </rPr>
      <t xml:space="preserve">其他
</t>
    </r>
    <r>
      <rPr>
        <sz val="8"/>
        <rFont val="Arial"/>
        <family val="2"/>
      </rPr>
      <t>Married / Single / Other</t>
    </r>
  </si>
  <si>
    <t xml:space="preserve">CN-MARRIAGE-FLG </t>
  </si>
  <si>
    <t>804</t>
  </si>
  <si>
    <t xml:space="preserve">Gender </t>
    <phoneticPr fontId="16" type="noConversion"/>
  </si>
  <si>
    <r>
      <t>1:</t>
    </r>
    <r>
      <rPr>
        <sz val="8"/>
        <rFont val="細明體"/>
        <family val="3"/>
        <charset val="136"/>
      </rPr>
      <t>男</t>
    </r>
    <r>
      <rPr>
        <sz val="8"/>
        <rFont val="Arial"/>
        <family val="2"/>
      </rPr>
      <t>2:</t>
    </r>
    <r>
      <rPr>
        <sz val="8"/>
        <rFont val="細明體"/>
        <family val="3"/>
        <charset val="136"/>
      </rPr>
      <t>女</t>
    </r>
    <r>
      <rPr>
        <sz val="8"/>
        <rFont val="Arial"/>
        <family val="2"/>
      </rPr>
      <t>U:</t>
    </r>
    <r>
      <rPr>
        <sz val="8"/>
        <rFont val="細明體"/>
        <family val="3"/>
        <charset val="136"/>
      </rPr>
      <t xml:space="preserve">其他
</t>
    </r>
    <r>
      <rPr>
        <sz val="8"/>
        <rFont val="Arial"/>
        <family val="2"/>
      </rPr>
      <t>Male / Female / Other</t>
    </r>
  </si>
  <si>
    <t xml:space="preserve">CN-SEX .        </t>
  </si>
  <si>
    <t>805</t>
  </si>
  <si>
    <t>Spouse ID</t>
  </si>
  <si>
    <t xml:space="preserve">CN-WIDNO .    </t>
  </si>
  <si>
    <t>806</t>
  </si>
  <si>
    <t>Stay in Own House</t>
    <phoneticPr fontId="16" type="noConversion"/>
  </si>
  <si>
    <t xml:space="preserve"> (Y / N)</t>
  </si>
  <si>
    <t xml:space="preserve">CN-HOURSE-FLG </t>
  </si>
  <si>
    <t>807</t>
  </si>
  <si>
    <t>Next Of Kin</t>
  </si>
  <si>
    <t xml:space="preserve">CN-LIAISON-NAME .  </t>
  </si>
  <si>
    <t>808</t>
  </si>
  <si>
    <t>Next Of Kin Contact Number</t>
  </si>
  <si>
    <t xml:space="preserve">CN-LIAISON-TEL .   </t>
  </si>
  <si>
    <t>809</t>
  </si>
  <si>
    <t>Next Of Kin Relationship</t>
  </si>
  <si>
    <r>
      <t>1:</t>
    </r>
    <r>
      <rPr>
        <sz val="8"/>
        <rFont val="細明體"/>
        <family val="3"/>
        <charset val="136"/>
      </rPr>
      <t>配偶</t>
    </r>
    <r>
      <rPr>
        <sz val="8"/>
        <rFont val="Arial"/>
        <family val="2"/>
      </rPr>
      <t>2:</t>
    </r>
    <r>
      <rPr>
        <sz val="8"/>
        <rFont val="細明體"/>
        <family val="3"/>
        <charset val="136"/>
      </rPr>
      <t>家人</t>
    </r>
    <r>
      <rPr>
        <sz val="8"/>
        <rFont val="Arial"/>
        <family val="2"/>
      </rPr>
      <t>3:</t>
    </r>
    <r>
      <rPr>
        <sz val="8"/>
        <rFont val="細明體"/>
        <family val="3"/>
        <charset val="136"/>
      </rPr>
      <t>親屬</t>
    </r>
    <r>
      <rPr>
        <sz val="8"/>
        <rFont val="Arial"/>
        <family val="2"/>
      </rPr>
      <t>4:</t>
    </r>
    <r>
      <rPr>
        <sz val="8"/>
        <rFont val="細明體"/>
        <family val="3"/>
        <charset val="136"/>
      </rPr>
      <t>朋友</t>
    </r>
    <r>
      <rPr>
        <sz val="8"/>
        <rFont val="Arial"/>
        <family val="2"/>
      </rPr>
      <t>(</t>
    </r>
    <r>
      <rPr>
        <sz val="8"/>
        <rFont val="細明體"/>
        <family val="3"/>
        <charset val="136"/>
      </rPr>
      <t>同學</t>
    </r>
    <r>
      <rPr>
        <sz val="8"/>
        <rFont val="Arial"/>
        <family val="2"/>
      </rPr>
      <t>)5:</t>
    </r>
    <r>
      <rPr>
        <sz val="8"/>
        <rFont val="細明體"/>
        <family val="3"/>
        <charset val="136"/>
      </rPr>
      <t>同事</t>
    </r>
    <r>
      <rPr>
        <sz val="8"/>
        <rFont val="Arial"/>
        <family val="2"/>
      </rPr>
      <t>6:</t>
    </r>
    <r>
      <rPr>
        <sz val="8"/>
        <rFont val="細明體"/>
        <family val="3"/>
        <charset val="136"/>
      </rPr>
      <t>其他</t>
    </r>
  </si>
  <si>
    <t>CN-LIAISON-RELATION</t>
  </si>
  <si>
    <t>810</t>
  </si>
  <si>
    <t>Next Of Kin Mobile Number</t>
  </si>
  <si>
    <t xml:space="preserve">CN-LIAISON-ACTNO . </t>
  </si>
  <si>
    <t>811</t>
  </si>
  <si>
    <t>Resident Permit Approval Date</t>
    <phoneticPr fontId="16" type="noConversion"/>
  </si>
  <si>
    <t>CCYYMMDD</t>
    <phoneticPr fontId="16" type="noConversion"/>
  </si>
  <si>
    <t xml:space="preserve">CN-ISUDAT </t>
  </si>
  <si>
    <t>Resident Permit Expiry Date</t>
    <phoneticPr fontId="16" type="noConversion"/>
  </si>
  <si>
    <t xml:space="preserve">CN-EXPDAT </t>
  </si>
  <si>
    <t>Business Category</t>
  </si>
  <si>
    <r>
      <t>0.</t>
    </r>
    <r>
      <rPr>
        <sz val="8"/>
        <rFont val="細明體"/>
        <family val="3"/>
        <charset val="136"/>
      </rPr>
      <t xml:space="preserve">其他
</t>
    </r>
    <r>
      <rPr>
        <sz val="8"/>
        <rFont val="Arial"/>
        <family val="2"/>
      </rPr>
      <t>1.</t>
    </r>
    <r>
      <rPr>
        <sz val="8"/>
        <rFont val="細明體"/>
        <family val="3"/>
        <charset val="136"/>
      </rPr>
      <t xml:space="preserve">大陸台商
</t>
    </r>
    <r>
      <rPr>
        <sz val="8"/>
        <rFont val="Arial"/>
        <family val="2"/>
      </rPr>
      <t>2.</t>
    </r>
    <r>
      <rPr>
        <sz val="8"/>
        <rFont val="細明體"/>
        <family val="3"/>
        <charset val="136"/>
      </rPr>
      <t>大陸台商以外大陸地法人或個人</t>
    </r>
    <r>
      <rPr>
        <sz val="8"/>
        <rFont val="Arial"/>
        <family val="2"/>
      </rPr>
      <t xml:space="preserve"> 
3.</t>
    </r>
    <r>
      <rPr>
        <sz val="8"/>
        <rFont val="細明體"/>
        <family val="3"/>
        <charset val="136"/>
      </rPr>
      <t>大陸台商以外之大陸</t>
    </r>
    <r>
      <rPr>
        <sz val="8"/>
        <rFont val="Arial"/>
        <family val="2"/>
      </rPr>
      <t xml:space="preserve"> </t>
    </r>
    <r>
      <rPr>
        <sz val="8"/>
        <rFont val="細明體"/>
        <family val="3"/>
        <charset val="136"/>
      </rPr>
      <t>海外地區法人或個人）</t>
    </r>
  </si>
  <si>
    <t>CUSTREL-R</t>
  </si>
  <si>
    <r>
      <t>CN-TWN-MARK  </t>
    </r>
    <r>
      <rPr>
        <sz val="7.5"/>
        <rFont val="Arial"/>
        <family val="2"/>
      </rPr>
      <t xml:space="preserve"> </t>
    </r>
  </si>
  <si>
    <t>Forex Loan with SCB</t>
  </si>
  <si>
    <t>Y/N</t>
  </si>
  <si>
    <t xml:space="preserve">CN-LOAN-FLG </t>
  </si>
  <si>
    <t>CUST-D-EMPLOYER</t>
  </si>
  <si>
    <t>defect 354及463要求新增此欄位</t>
  </si>
  <si>
    <t xml:space="preserve">CN-COMPANY-NAME </t>
  </si>
  <si>
    <r>
      <t xml:space="preserve">Number of </t>
    </r>
    <r>
      <rPr>
        <sz val="8"/>
        <rFont val="Arial"/>
        <family val="2"/>
      </rPr>
      <t>Detail</t>
    </r>
    <r>
      <rPr>
        <sz val="8"/>
        <rFont val="Arial"/>
        <family val="2"/>
      </rPr>
      <t xml:space="preserve"> Records</t>
    </r>
  </si>
  <si>
    <t>CN-EXPDAT , CN-CHKSTOP-DATE , CN-CHKINQ-DATE , CN-ISUDAT如果年是9999，不論月日是多少，全部改為40001231</t>
  </si>
  <si>
    <t>HEADER-RECORD-CUSTMIS</t>
    <phoneticPr fontId="4" type="noConversion"/>
  </si>
  <si>
    <t>file name "Contact"</t>
    <phoneticPr fontId="4" type="noConversion"/>
  </si>
  <si>
    <r>
      <t>Customer ID</t>
    </r>
    <r>
      <rPr>
        <sz val="8"/>
        <rFont val="Helvetica"/>
        <family val="2"/>
      </rPr>
      <t> </t>
    </r>
  </si>
  <si>
    <r>
      <t>C</t>
    </r>
    <r>
      <rPr>
        <sz val="8"/>
        <rFont val="Arial"/>
        <family val="2"/>
      </rPr>
      <t>USTMIS-R</t>
    </r>
  </si>
  <si>
    <t>CM-IDNO</t>
    <phoneticPr fontId="16" type="noConversion"/>
  </si>
  <si>
    <t>Contact Kind</t>
    <phoneticPr fontId="16" type="noConversion"/>
  </si>
  <si>
    <t>X(03)</t>
    <phoneticPr fontId="16" type="noConversion"/>
  </si>
  <si>
    <t>B01-- BANKING (  CM-KIND = " " or "A00") (key)
C01-- Credit Card( CM-KIND = "C01")</t>
    <phoneticPr fontId="4" type="noConversion"/>
  </si>
  <si>
    <t xml:space="preserve">CM-KIND </t>
    <phoneticPr fontId="4" type="noConversion"/>
  </si>
  <si>
    <t>Contact type</t>
    <phoneticPr fontId="16" type="noConversion"/>
  </si>
  <si>
    <t>TYPE KIND (“M”-Mobile,“H”-Home,“O”-Office,“F” -Fax, "E"-Email) (key)</t>
    <phoneticPr fontId="16" type="noConversion"/>
  </si>
  <si>
    <t>refer Remarks</t>
    <phoneticPr fontId="16" type="noConversion"/>
  </si>
  <si>
    <t>Contact number</t>
    <phoneticPr fontId="16" type="noConversion"/>
  </si>
  <si>
    <t xml:space="preserve">Number is by CM-KIND 
( CM-KIND = "      "  Number is 1 and 2, 
  CM-KIND = "A00"  Number is 3 and 4.
  CM-KIND = "C01"  Number is 1 and 2).(key)
Home number has 1~4 for banking service and 1~2 for credit card,
Office number has 1~4 for banking service and 1 for credit card,
Moblie number has 1~4 fo banking service and 1~2 for credit card,
Fax number has 1 and 2 for banking service and credit card.
Email has 1 for banking service, </t>
    <phoneticPr fontId="16" type="noConversion"/>
  </si>
  <si>
    <t>Phone No</t>
  </si>
  <si>
    <r>
      <t xml:space="preserve">CM-TEL-HOME-1
CM-TEL-HOME-2
</t>
    </r>
    <r>
      <rPr>
        <sz val="8"/>
        <color indexed="10"/>
        <rFont val="Arial"/>
        <family val="2"/>
      </rPr>
      <t>CM-TEL-OFFICE + "||"+CM-TEL-OFFICE-EXTN</t>
    </r>
    <r>
      <rPr>
        <sz val="8"/>
        <rFont val="Arial"/>
        <family val="2"/>
      </rPr>
      <t xml:space="preserve">
CM-FAX-HOME
CM-FAX-OFFICE
CM-MOBILE-PHONE-1
CM-MOBILE-PHONE-2
CM_EMAIL_personal</t>
    </r>
  </si>
  <si>
    <t>833, 832</t>
    <phoneticPr fontId="16" type="noConversion"/>
  </si>
  <si>
    <t>file name "Address"</t>
    <phoneticPr fontId="4" type="noConversion"/>
  </si>
  <si>
    <t>Address Kind</t>
    <phoneticPr fontId="16" type="noConversion"/>
  </si>
  <si>
    <r>
      <t xml:space="preserve">"  "-- </t>
    </r>
    <r>
      <rPr>
        <sz val="8"/>
        <rFont val="細明體"/>
        <family val="3"/>
        <charset val="136"/>
      </rPr>
      <t xml:space="preserve">戶籍地
</t>
    </r>
    <r>
      <rPr>
        <sz val="8"/>
        <rFont val="Arial"/>
        <family val="2"/>
      </rPr>
      <t>A00--</t>
    </r>
    <r>
      <rPr>
        <sz val="8"/>
        <rFont val="細明體"/>
        <family val="3"/>
        <charset val="136"/>
      </rPr>
      <t xml:space="preserve">通訊地
</t>
    </r>
    <r>
      <rPr>
        <sz val="8"/>
        <rFont val="Arial"/>
        <family val="2"/>
      </rPr>
      <t>C01-credit card (key)</t>
    </r>
  </si>
  <si>
    <t>Language</t>
  </si>
  <si>
    <t>"C" Chinese "E" English (key)</t>
    <phoneticPr fontId="16" type="noConversion"/>
  </si>
  <si>
    <r>
      <t>Address</t>
    </r>
    <r>
      <rPr>
        <sz val="10"/>
        <rFont val="Arial"/>
        <family val="2"/>
      </rPr>
      <t>-1</t>
    </r>
    <r>
      <rPr>
        <sz val="10"/>
        <rFont val="Arial"/>
        <family val="2"/>
      </rPr>
      <t xml:space="preserve"> </t>
    </r>
  </si>
  <si>
    <t>X(40)</t>
    <phoneticPr fontId="16" type="noConversion"/>
  </si>
  <si>
    <t>CM-ADDRESS-1, CM-ADDRESS-C(1:40)</t>
    <phoneticPr fontId="16" type="noConversion"/>
  </si>
  <si>
    <r>
      <t>Address</t>
    </r>
    <r>
      <rPr>
        <sz val="10"/>
        <rFont val="Arial"/>
        <family val="2"/>
      </rPr>
      <t>-2</t>
    </r>
    <r>
      <rPr>
        <sz val="10"/>
        <rFont val="Arial"/>
        <family val="2"/>
      </rPr>
      <t xml:space="preserve"> </t>
    </r>
  </si>
  <si>
    <t>CM-ADDRESS-2,CM-ADDRESS-C(41:80)</t>
    <phoneticPr fontId="16" type="noConversion"/>
  </si>
  <si>
    <t>834,832</t>
    <phoneticPr fontId="16" type="noConversion"/>
  </si>
  <si>
    <r>
      <t>Address</t>
    </r>
    <r>
      <rPr>
        <sz val="10"/>
        <rFont val="Arial"/>
        <family val="2"/>
      </rPr>
      <t>-3</t>
    </r>
    <r>
      <rPr>
        <sz val="10"/>
        <rFont val="Arial"/>
        <family val="2"/>
      </rPr>
      <t xml:space="preserve"> </t>
    </r>
  </si>
  <si>
    <t>CM-ADDRESS-3(when English)
Set Spaces (when Chinese)</t>
  </si>
  <si>
    <t>835</t>
  </si>
  <si>
    <r>
      <t>Address</t>
    </r>
    <r>
      <rPr>
        <sz val="10"/>
        <rFont val="Arial"/>
        <family val="2"/>
      </rPr>
      <t>-4</t>
    </r>
    <r>
      <rPr>
        <sz val="10"/>
        <rFont val="Arial"/>
        <family val="2"/>
      </rPr>
      <t xml:space="preserve"> </t>
    </r>
  </si>
  <si>
    <t>CM-ADDRESS-4(when English)
Set Spaces (when Chinese)</t>
  </si>
  <si>
    <t>836</t>
  </si>
  <si>
    <t>Postal Code</t>
  </si>
  <si>
    <t>X(05)</t>
    <phoneticPr fontId="16" type="noConversion"/>
  </si>
  <si>
    <t xml:space="preserve">CM-ADDRESS-NO </t>
  </si>
  <si>
    <t>Area Code</t>
  </si>
  <si>
    <t>X(15)</t>
    <phoneticPr fontId="16" type="noConversion"/>
  </si>
  <si>
    <t xml:space="preserve">CM-AREA               </t>
  </si>
  <si>
    <t>X(05)</t>
  </si>
  <si>
    <r>
      <t>R</t>
    </r>
    <r>
      <rPr>
        <sz val="8"/>
        <rFont val="Arial"/>
        <family val="2"/>
      </rPr>
      <t>EFER TO COUNTRYCODE</t>
    </r>
  </si>
  <si>
    <t>If Language as English address then use CM-COUNTRY.
If Language as Chinese address then use CM-COUNTRY-C.</t>
  </si>
  <si>
    <t>HEADER-RECORD-FundDetail</t>
    <phoneticPr fontId="4" type="noConversion"/>
  </si>
  <si>
    <t>MFS</t>
    <phoneticPr fontId="4" type="noConversion"/>
  </si>
  <si>
    <t>System Name is "MFS"</t>
    <phoneticPr fontId="4" type="noConversion"/>
  </si>
  <si>
    <t>Effective Date</t>
    <phoneticPr fontId="4" type="noConversion"/>
  </si>
  <si>
    <t>9(08)</t>
    <phoneticPr fontId="4" type="noConversion"/>
  </si>
  <si>
    <t>YYYYMMDD</t>
    <phoneticPr fontId="4" type="noConversion"/>
  </si>
  <si>
    <t>X(15)</t>
    <phoneticPr fontId="15" type="noConversion"/>
  </si>
  <si>
    <t>file name "CustomerProfile"</t>
    <phoneticPr fontId="4" type="noConversion"/>
  </si>
  <si>
    <t>DETAIL-RECORD-FundDetail</t>
    <phoneticPr fontId="4" type="noConversion"/>
  </si>
  <si>
    <t>Customer ID</t>
    <phoneticPr fontId="4" type="noConversion"/>
  </si>
  <si>
    <t>X(11)</t>
    <phoneticPr fontId="4" type="noConversion"/>
  </si>
  <si>
    <r>
      <t>客戶</t>
    </r>
    <r>
      <rPr>
        <sz val="8"/>
        <rFont val="Arial"/>
        <family val="2"/>
      </rPr>
      <t>ID (KEY)</t>
    </r>
  </si>
  <si>
    <t>CEMS_CustomerProfile</t>
    <phoneticPr fontId="4" type="noConversion"/>
  </si>
  <si>
    <t>CustomerID</t>
    <phoneticPr fontId="4" type="noConversion"/>
  </si>
  <si>
    <t>Customer Profile</t>
    <phoneticPr fontId="4" type="noConversion"/>
  </si>
  <si>
    <t>Statement Delivery Mode</t>
    <phoneticPr fontId="4" type="noConversion"/>
  </si>
  <si>
    <t>X(20)</t>
    <phoneticPr fontId="4" type="noConversion"/>
  </si>
  <si>
    <t>帳單寄送方式</t>
    <phoneticPr fontId="4" type="noConversion"/>
  </si>
  <si>
    <t>StatementDesc</t>
    <phoneticPr fontId="4" type="noConversion"/>
  </si>
  <si>
    <t>1300</t>
  </si>
  <si>
    <t>Statement Delivery Frequency</t>
  </si>
  <si>
    <t>帳單寄送日( from CIS)</t>
    <phoneticPr fontId="4" type="noConversion"/>
  </si>
  <si>
    <t>StatementDate</t>
    <phoneticPr fontId="4" type="noConversion"/>
  </si>
  <si>
    <t>1301</t>
  </si>
  <si>
    <t>from CIS</t>
    <phoneticPr fontId="4" type="noConversion"/>
  </si>
  <si>
    <t>Office</t>
  </si>
  <si>
    <t>X(30)</t>
    <phoneticPr fontId="4" type="noConversion"/>
  </si>
  <si>
    <t>公司電話(From CIS)</t>
    <phoneticPr fontId="4" type="noConversion"/>
  </si>
  <si>
    <t>CustOTel</t>
    <phoneticPr fontId="4" type="noConversion"/>
  </si>
  <si>
    <t>1306</t>
  </si>
  <si>
    <t>CIS</t>
    <phoneticPr fontId="4" type="noConversion"/>
  </si>
  <si>
    <t>Mobile</t>
  </si>
  <si>
    <t>X(16)</t>
    <phoneticPr fontId="4" type="noConversion"/>
  </si>
  <si>
    <t>手機(From CIS)</t>
    <phoneticPr fontId="4" type="noConversion"/>
  </si>
  <si>
    <t>MobilePhone</t>
    <phoneticPr fontId="4" type="noConversion"/>
  </si>
  <si>
    <t>1307</t>
  </si>
  <si>
    <t>Home</t>
  </si>
  <si>
    <t>家裡電話(From CIS)</t>
    <phoneticPr fontId="4" type="noConversion"/>
  </si>
  <si>
    <t>CustHTel</t>
    <phoneticPr fontId="4" type="noConversion"/>
  </si>
  <si>
    <t>1308</t>
  </si>
  <si>
    <t>Overseas Securities</t>
  </si>
  <si>
    <t>X(100)</t>
    <phoneticPr fontId="4" type="noConversion"/>
  </si>
  <si>
    <t>海外有價證券附加條款</t>
    <phoneticPr fontId="4" type="noConversion"/>
  </si>
  <si>
    <t>SecurityClauseVer</t>
    <phoneticPr fontId="4" type="noConversion"/>
  </si>
  <si>
    <t>1309</t>
  </si>
  <si>
    <t>身份別(From PRO)</t>
    <phoneticPr fontId="4" type="noConversion"/>
  </si>
  <si>
    <t>IdentityDesc</t>
    <phoneticPr fontId="4" type="noConversion"/>
  </si>
  <si>
    <t>1310</t>
  </si>
  <si>
    <t xml:space="preserve">PRO </t>
    <phoneticPr fontId="4" type="noConversion"/>
  </si>
  <si>
    <t>Income Tax Rate</t>
  </si>
  <si>
    <t>X(60)</t>
    <phoneticPr fontId="4" type="noConversion"/>
  </si>
  <si>
    <t>所得稅率</t>
    <phoneticPr fontId="4" type="noConversion"/>
  </si>
  <si>
    <t>TaxRateDesc</t>
    <phoneticPr fontId="4" type="noConversion"/>
  </si>
  <si>
    <t>1311</t>
  </si>
  <si>
    <t>Last Modified By &amp; Date/Time</t>
    <phoneticPr fontId="4" type="noConversion"/>
  </si>
  <si>
    <t>X(50)</t>
    <phoneticPr fontId="4" type="noConversion"/>
  </si>
  <si>
    <t>最後修改行員及日期(yyyy/MM/dd HH:mm:ss)</t>
    <phoneticPr fontId="4" type="noConversion"/>
  </si>
  <si>
    <t>TxDateTime</t>
    <phoneticPr fontId="4" type="noConversion"/>
  </si>
  <si>
    <t>1312</t>
  </si>
  <si>
    <t>Trust Opened Date/Time</t>
  </si>
  <si>
    <t>信託開戶日期(yyyy/MM/dd HH:mm:ss)</t>
    <phoneticPr fontId="4" type="noConversion"/>
  </si>
  <si>
    <t>CreateDateTime</t>
    <phoneticPr fontId="4" type="noConversion"/>
  </si>
  <si>
    <t>1313</t>
  </si>
  <si>
    <t>Customer Signed Contract</t>
  </si>
  <si>
    <t>契約版本</t>
    <phoneticPr fontId="4" type="noConversion"/>
  </si>
  <si>
    <t>ContractDesc</t>
    <phoneticPr fontId="4" type="noConversion"/>
  </si>
  <si>
    <t>1314</t>
  </si>
  <si>
    <t>Customer Code</t>
  </si>
  <si>
    <t>客戶代碼</t>
    <phoneticPr fontId="4" type="noConversion"/>
  </si>
  <si>
    <t>CustNo</t>
    <phoneticPr fontId="4" type="noConversion"/>
  </si>
  <si>
    <t>1315</t>
  </si>
  <si>
    <t>Is American?</t>
  </si>
  <si>
    <t>X(1)</t>
    <phoneticPr fontId="4" type="noConversion"/>
  </si>
  <si>
    <t>美國人註記 (Y=是, N=不是)</t>
    <phoneticPr fontId="4" type="noConversion"/>
  </si>
  <si>
    <t>AmericanFlg</t>
    <phoneticPr fontId="4" type="noConversion"/>
  </si>
  <si>
    <t>1316</t>
  </si>
  <si>
    <t>NUSP Signed Date</t>
  </si>
  <si>
    <t>X(8)</t>
    <phoneticPr fontId="4" type="noConversion"/>
  </si>
  <si>
    <r>
      <t>NUSP</t>
    </r>
    <r>
      <rPr>
        <sz val="8"/>
        <rFont val="細明體"/>
        <family val="3"/>
        <charset val="136"/>
      </rPr>
      <t>簽署日期</t>
    </r>
    <r>
      <rPr>
        <sz val="8"/>
        <rFont val="Arial"/>
        <family val="2"/>
      </rPr>
      <t>(yyyyMMdd)</t>
    </r>
  </si>
  <si>
    <t>NuspSignedDate</t>
    <phoneticPr fontId="4" type="noConversion"/>
  </si>
  <si>
    <t>1317</t>
  </si>
  <si>
    <t>W8BEN Signed Date</t>
  </si>
  <si>
    <r>
      <t>W8BEN</t>
    </r>
    <r>
      <rPr>
        <sz val="8"/>
        <rFont val="細明體"/>
        <family val="3"/>
        <charset val="136"/>
      </rPr>
      <t>簽署日期</t>
    </r>
    <r>
      <rPr>
        <sz val="8"/>
        <rFont val="Arial"/>
        <family val="2"/>
      </rPr>
      <t>(yyyyMMdd)</t>
    </r>
  </si>
  <si>
    <t>W8SignedDate</t>
    <phoneticPr fontId="4" type="noConversion"/>
  </si>
  <si>
    <t>1318</t>
  </si>
  <si>
    <t>Board Meeting?</t>
  </si>
  <si>
    <t>董事會記紀綠日期(yyyyMMdd)</t>
    <phoneticPr fontId="4" type="noConversion"/>
  </si>
  <si>
    <t>BoardRecDate</t>
    <phoneticPr fontId="4" type="noConversion"/>
  </si>
  <si>
    <t>1319</t>
  </si>
  <si>
    <t>Settlement Account No.(TWD)</t>
  </si>
  <si>
    <t>X(800)</t>
    <phoneticPr fontId="4" type="noConversion"/>
  </si>
  <si>
    <t>台幣約定帳號</t>
    <phoneticPr fontId="4" type="noConversion"/>
  </si>
  <si>
    <t>CTFAccount</t>
    <phoneticPr fontId="4" type="noConversion"/>
  </si>
  <si>
    <t>1321</t>
  </si>
  <si>
    <t>Settlement Account No.(Forex)</t>
  </si>
  <si>
    <t>X(400)</t>
    <phoneticPr fontId="4" type="noConversion"/>
  </si>
  <si>
    <t>外幣約定帳號</t>
    <phoneticPr fontId="4" type="noConversion"/>
  </si>
  <si>
    <t>CTFFAccount</t>
    <phoneticPr fontId="4" type="noConversion"/>
  </si>
  <si>
    <t>1322</t>
  </si>
  <si>
    <t>TRAILER-RECORD-FundDetail</t>
    <phoneticPr fontId="4" type="noConversion"/>
  </si>
  <si>
    <t>Number of  Detail Records</t>
    <phoneticPr fontId="4" type="noConversion"/>
  </si>
  <si>
    <t>Currency-REC</t>
    <phoneticPr fontId="4" type="noConversion"/>
  </si>
  <si>
    <t>HEADER-RECORD-Currency</t>
    <phoneticPr fontId="4" type="noConversion"/>
  </si>
  <si>
    <t>file name "FundDtl"</t>
    <phoneticPr fontId="4" type="noConversion"/>
  </si>
  <si>
    <t>DETAIL-RECORD-Currency</t>
    <phoneticPr fontId="4" type="noConversion"/>
  </si>
  <si>
    <t>CurrencyCode</t>
    <phoneticPr fontId="4" type="noConversion"/>
  </si>
  <si>
    <t>X(04)</t>
    <phoneticPr fontId="4" type="noConversion"/>
  </si>
  <si>
    <t>幣別代號</t>
    <phoneticPr fontId="4" type="noConversion"/>
  </si>
  <si>
    <t>Currency Code</t>
    <phoneticPr fontId="4" type="noConversion"/>
  </si>
  <si>
    <t>Func. 1.1: Commodity Data Inq</t>
    <phoneticPr fontId="4" type="noConversion"/>
  </si>
  <si>
    <t>X(12)</t>
    <phoneticPr fontId="4" type="noConversion"/>
  </si>
  <si>
    <t>幣別名稱</t>
    <phoneticPr fontId="4" type="noConversion"/>
  </si>
  <si>
    <t>Currency Name</t>
    <phoneticPr fontId="4" type="noConversion"/>
  </si>
  <si>
    <t>9(03)</t>
    <phoneticPr fontId="4" type="noConversion"/>
  </si>
  <si>
    <t>小數位數</t>
    <phoneticPr fontId="4" type="noConversion"/>
  </si>
  <si>
    <t xml:space="preserve">Allow decimals </t>
    <phoneticPr fontId="4" type="noConversion"/>
  </si>
  <si>
    <t>TRAILER-RECORD-Currency REDEFINES                           HEADER-RECORD-Currency</t>
    <phoneticPr fontId="4" type="noConversion"/>
  </si>
  <si>
    <t>FundCategoryl-REC</t>
    <phoneticPr fontId="4" type="noConversion"/>
  </si>
  <si>
    <t>HEADER-RECORD-FundCategory</t>
    <phoneticPr fontId="4" type="noConversion"/>
  </si>
  <si>
    <t>DETAIL-RECORD-FundCategory</t>
    <phoneticPr fontId="4" type="noConversion"/>
  </si>
  <si>
    <t>基金類型代號</t>
    <phoneticPr fontId="4" type="noConversion"/>
  </si>
  <si>
    <t>FundCategory</t>
    <phoneticPr fontId="4" type="noConversion"/>
  </si>
  <si>
    <t>Category Code</t>
    <phoneticPr fontId="4" type="noConversion"/>
  </si>
  <si>
    <t>基金類型名稱</t>
    <phoneticPr fontId="4" type="noConversion"/>
  </si>
  <si>
    <t>Category Name</t>
    <phoneticPr fontId="4" type="noConversion"/>
  </si>
  <si>
    <t>TRAILER-RECORD-FundCategory REDEFINES                           HEADER-RECORD-FundCategory</t>
    <phoneticPr fontId="4" type="noConversion"/>
  </si>
  <si>
    <t>X(93)</t>
    <phoneticPr fontId="4" type="noConversion"/>
  </si>
  <si>
    <t>InvRegion-REC</t>
    <phoneticPr fontId="4" type="noConversion"/>
  </si>
  <si>
    <t>HEADER-RECORD-InvRegion</t>
    <phoneticPr fontId="4" type="noConversion"/>
  </si>
  <si>
    <t>DETAIL-RECORD-InvRegion</t>
    <phoneticPr fontId="4" type="noConversion"/>
  </si>
  <si>
    <t>X(02)</t>
    <phoneticPr fontId="4" type="noConversion"/>
  </si>
  <si>
    <t>投資地區代號</t>
    <phoneticPr fontId="4" type="noConversion"/>
  </si>
  <si>
    <t>Investment area code</t>
    <phoneticPr fontId="4" type="noConversion"/>
  </si>
  <si>
    <t>投資地區名稱</t>
    <phoneticPr fontId="4" type="noConversion"/>
  </si>
  <si>
    <t>Investment area name</t>
    <phoneticPr fontId="4" type="noConversion"/>
  </si>
  <si>
    <t>TRAILER-RECORD-InvRegion REDEFINES                           HEADER-RECORD-InvRegion</t>
    <phoneticPr fontId="4" type="noConversion"/>
  </si>
  <si>
    <t>X(23)</t>
    <phoneticPr fontId="4" type="noConversion"/>
  </si>
  <si>
    <t>Country-REC</t>
    <phoneticPr fontId="4" type="noConversion"/>
  </si>
  <si>
    <t>HEADER-RECORD-Country</t>
    <phoneticPr fontId="4" type="noConversion"/>
  </si>
  <si>
    <t>DETAIL-RECORD-Country</t>
    <phoneticPr fontId="4" type="noConversion"/>
  </si>
  <si>
    <t>註冊國家代號</t>
    <phoneticPr fontId="4" type="noConversion"/>
  </si>
  <si>
    <t>Country</t>
    <phoneticPr fontId="4" type="noConversion"/>
  </si>
  <si>
    <t>Registration country code</t>
    <phoneticPr fontId="4" type="noConversion"/>
  </si>
  <si>
    <t>註冊國家名稱</t>
    <phoneticPr fontId="4" type="noConversion"/>
  </si>
  <si>
    <t>Registration country name</t>
    <phoneticPr fontId="4" type="noConversion"/>
  </si>
  <si>
    <t>TRAILER-RECORD-Country REDEFINES                           HEADER-RECORD-Country</t>
    <phoneticPr fontId="4" type="noConversion"/>
  </si>
  <si>
    <t>InvTarget-REC</t>
    <phoneticPr fontId="4" type="noConversion"/>
  </si>
  <si>
    <t>HEADER-RECORD-InvTarget</t>
    <phoneticPr fontId="4" type="noConversion"/>
  </si>
  <si>
    <t>DETAIL-RECORD-InvTarget</t>
    <phoneticPr fontId="4" type="noConversion"/>
  </si>
  <si>
    <t>投資標的代號</t>
    <phoneticPr fontId="4" type="noConversion"/>
  </si>
  <si>
    <t>InvTarget</t>
    <phoneticPr fontId="4" type="noConversion"/>
  </si>
  <si>
    <t>Target Industry Code</t>
    <phoneticPr fontId="4" type="noConversion"/>
  </si>
  <si>
    <t>投資標的名稱</t>
    <phoneticPr fontId="4" type="noConversion"/>
  </si>
  <si>
    <t>Target Industry Name</t>
    <phoneticPr fontId="4" type="noConversion"/>
  </si>
  <si>
    <t>TRAILER-RECORD-InvTarget REDEFINES                           HEADER-RECORD-InvTarget</t>
    <phoneticPr fontId="4" type="noConversion"/>
  </si>
  <si>
    <t>HEADER-RECORD-MASTERB</t>
  </si>
  <si>
    <t>file name "MASTERB"</t>
  </si>
  <si>
    <t xml:space="preserve">DETAIL-RECORD-MASTERB </t>
  </si>
  <si>
    <t>MB-ACNT</t>
  </si>
  <si>
    <t>Primary Key</t>
  </si>
  <si>
    <t>MASTERB-R</t>
  </si>
  <si>
    <t>M-DEPKIND+M-ACNO</t>
  </si>
  <si>
    <t>TANDEM-RBMASTER</t>
  </si>
  <si>
    <t>340</t>
  </si>
  <si>
    <t>MB-BRNID</t>
  </si>
  <si>
    <t>M-DEPKIND(1:3) ; Refer to CMDEPM</t>
  </si>
  <si>
    <t>M-DEPKIND(1:3)</t>
  </si>
  <si>
    <t>341</t>
  </si>
  <si>
    <t>MB-IDNO</t>
  </si>
  <si>
    <t>M-IDNO</t>
  </si>
  <si>
    <t>TANDEM-RMASTERB</t>
  </si>
  <si>
    <t>not exsited in screen mapping file</t>
  </si>
  <si>
    <t>MB-CNAME</t>
  </si>
  <si>
    <t>2354</t>
  </si>
  <si>
    <t>MB-CANCEL</t>
  </si>
  <si>
    <t>M-CANCEL</t>
  </si>
  <si>
    <t>354</t>
  </si>
  <si>
    <t>MB-TANDEM-PROD-CODE</t>
  </si>
  <si>
    <t>MASTERF-R</t>
  </si>
  <si>
    <t>TANDEM-RCMASTER</t>
  </si>
  <si>
    <t>965</t>
  </si>
  <si>
    <t>MB-TEL</t>
  </si>
  <si>
    <t>M-TELEPHONE</t>
  </si>
  <si>
    <t>342</t>
  </si>
  <si>
    <t>MB-NEW-BAL</t>
  </si>
  <si>
    <t>-9(11).99</t>
  </si>
  <si>
    <t>M-NEW-BAL</t>
  </si>
  <si>
    <t>343,2146</t>
  </si>
  <si>
    <t>MB-OLD-BAL</t>
  </si>
  <si>
    <t>M-OLD-BAL</t>
  </si>
  <si>
    <t>344</t>
  </si>
  <si>
    <t>MB-UN-BAL</t>
  </si>
  <si>
    <t>不可抵用金額</t>
  </si>
  <si>
    <t>M-UNPAYABLE</t>
  </si>
  <si>
    <t>345, 2273, 2360</t>
  </si>
  <si>
    <t>MB-CHANGE-YMD</t>
  </si>
  <si>
    <t>CCYYMMDD( M-CHANGE-YMD + 19110000), 
if account is closed, the field is close date</t>
  </si>
  <si>
    <t>M-CHANGE-YMD</t>
  </si>
  <si>
    <t>346, 2362</t>
  </si>
  <si>
    <t>MB-PERID</t>
  </si>
  <si>
    <t xml:space="preserve">MB-PERID </t>
  </si>
  <si>
    <t>347</t>
  </si>
  <si>
    <t>MB-AREA</t>
  </si>
  <si>
    <t>X</t>
  </si>
  <si>
    <t xml:space="preserve">MB-EMP-KIND </t>
  </si>
  <si>
    <r>
      <t>行存性質 (E:</t>
    </r>
    <r>
      <rPr>
        <b/>
        <sz val="8"/>
        <rFont val="細明體"/>
        <family val="3"/>
        <charset val="136"/>
      </rPr>
      <t>職員</t>
    </r>
    <r>
      <rPr>
        <b/>
        <sz val="8"/>
        <rFont val="Arial"/>
        <family val="2"/>
      </rPr>
      <t xml:space="preserve"> W:</t>
    </r>
    <r>
      <rPr>
        <b/>
        <sz val="8"/>
        <rFont val="細明體"/>
        <family val="3"/>
        <charset val="136"/>
      </rPr>
      <t>工友</t>
    </r>
    <r>
      <rPr>
        <b/>
        <sz val="8"/>
        <rFont val="Arial"/>
        <family val="2"/>
      </rPr>
      <t xml:space="preserve"> Q:</t>
    </r>
    <r>
      <rPr>
        <b/>
        <sz val="8"/>
        <rFont val="細明體"/>
        <family val="3"/>
        <charset val="136"/>
      </rPr>
      <t>離職行員)</t>
    </r>
  </si>
  <si>
    <t>MASTERBB-R</t>
  </si>
  <si>
    <t>1427</t>
  </si>
  <si>
    <t>MB-KIND</t>
  </si>
  <si>
    <t>存款性質(A:綜存 L:備償專戶 J:聯名戶)</t>
  </si>
  <si>
    <t>M-KIND</t>
  </si>
  <si>
    <t>348, 1449, 1428, 1429</t>
  </si>
  <si>
    <t>MB-OPEN-YMD</t>
  </si>
  <si>
    <t>CCYYMMDD( MB-OPEN-YMD + 19110000)</t>
  </si>
  <si>
    <t>349</t>
  </si>
  <si>
    <t>MB-AMASS-DATE</t>
  </si>
  <si>
    <t>CCYYMMDD( MB-LAST-AMASS-YMD + 19110000)</t>
  </si>
  <si>
    <t>MB-LAST-AMASS-YMD</t>
  </si>
  <si>
    <t>350</t>
  </si>
  <si>
    <t xml:space="preserve">MB-AMASS  </t>
  </si>
  <si>
    <t>-9(11)</t>
  </si>
  <si>
    <t xml:space="preserve">MB-AMASS </t>
  </si>
  <si>
    <t>352</t>
  </si>
  <si>
    <t>MB-AVR-BAL</t>
  </si>
  <si>
    <t>程式計算</t>
  </si>
  <si>
    <t>353</t>
  </si>
  <si>
    <t>MB-TROUBLE</t>
  </si>
  <si>
    <t>Refer TROUBLE</t>
  </si>
  <si>
    <t xml:space="preserve">M-TROUBLE </t>
  </si>
  <si>
    <t>354, 2363</t>
  </si>
  <si>
    <t>MB-TX-SEQ</t>
  </si>
  <si>
    <t>9(4)</t>
  </si>
  <si>
    <t>M-TX-SEQ</t>
  </si>
  <si>
    <t>355</t>
  </si>
  <si>
    <t>MB-TROUBLE-LIMIT</t>
  </si>
  <si>
    <t>9(9)</t>
  </si>
  <si>
    <t xml:space="preserve">M-TROUBLE-LIMIT </t>
  </si>
  <si>
    <t>356</t>
  </si>
  <si>
    <t>MB-ALMA-ACNT</t>
  </si>
  <si>
    <t>ALMASTR-R</t>
  </si>
  <si>
    <t>A-DEPKIND+A-ACNO</t>
  </si>
  <si>
    <t>360, 2376</t>
  </si>
  <si>
    <t>MB-ALMA-RANK</t>
  </si>
  <si>
    <r>
      <t>program define the leave by average of balance
"E"</t>
    </r>
    <r>
      <rPr>
        <b/>
        <sz val="8"/>
        <rFont val="細明體"/>
        <family val="3"/>
        <charset val="136"/>
      </rPr>
      <t>：</t>
    </r>
    <r>
      <rPr>
        <b/>
        <sz val="8"/>
        <rFont val="Arial"/>
        <family val="2"/>
      </rPr>
      <t>0       THRU 49999 
"C"</t>
    </r>
    <r>
      <rPr>
        <b/>
        <sz val="8"/>
        <rFont val="細明體"/>
        <family val="3"/>
        <charset val="136"/>
      </rPr>
      <t>：</t>
    </r>
    <r>
      <rPr>
        <b/>
        <sz val="8"/>
        <rFont val="Arial"/>
        <family val="2"/>
      </rPr>
      <t>50000   THRU 499999
"B"</t>
    </r>
    <r>
      <rPr>
        <b/>
        <sz val="8"/>
        <rFont val="細明體"/>
        <family val="3"/>
        <charset val="136"/>
      </rPr>
      <t>：</t>
    </r>
    <r>
      <rPr>
        <b/>
        <sz val="8"/>
        <rFont val="Arial"/>
        <family val="2"/>
      </rPr>
      <t>500000  THRU 1999999  
"A"</t>
    </r>
    <r>
      <rPr>
        <b/>
        <sz val="8"/>
        <rFont val="細明體"/>
        <family val="3"/>
        <charset val="136"/>
      </rPr>
      <t>：</t>
    </r>
    <r>
      <rPr>
        <b/>
        <sz val="8"/>
        <rFont val="Arial"/>
        <family val="2"/>
      </rPr>
      <t>2000000 THRU 2999999 
"S"</t>
    </r>
    <r>
      <rPr>
        <b/>
        <sz val="8"/>
        <rFont val="細明體"/>
        <family val="3"/>
        <charset val="136"/>
      </rPr>
      <t>：</t>
    </r>
    <r>
      <rPr>
        <b/>
        <sz val="8"/>
        <rFont val="Arial"/>
        <family val="2"/>
      </rPr>
      <t xml:space="preserve">3000000 THRU 999999999999
</t>
    </r>
    <r>
      <rPr>
        <b/>
        <sz val="8"/>
        <color indexed="10"/>
        <rFont val="Arial"/>
        <family val="2"/>
      </rPr>
      <t>除了原來的判斷以外，多一項條件如下</t>
    </r>
    <r>
      <rPr>
        <b/>
        <sz val="8"/>
        <rFont val="Arial"/>
        <family val="2"/>
      </rPr>
      <t xml:space="preserve">
</t>
    </r>
    <r>
      <rPr>
        <b/>
        <sz val="8"/>
        <color indexed="10"/>
        <rFont val="Arial"/>
        <family val="2"/>
      </rPr>
      <t xml:space="preserve">if MB-SUB-PROD-CODE = 21
MB-ALMA-RANK = A-CONTRACT-RANK </t>
    </r>
  </si>
  <si>
    <t>A-CONTRACT-RANK</t>
  </si>
  <si>
    <t>360</t>
  </si>
  <si>
    <t>MB-ZERO</t>
  </si>
  <si>
    <r>
      <t>B:</t>
    </r>
    <r>
      <rPr>
        <b/>
        <sz val="8"/>
        <rFont val="細明體"/>
        <family val="3"/>
        <charset val="136"/>
      </rPr>
      <t>貳式憑貳式</t>
    </r>
    <r>
      <rPr>
        <b/>
        <sz val="8"/>
        <rFont val="Arial"/>
        <family val="2"/>
      </rPr>
      <t xml:space="preserve"> 
E:</t>
    </r>
    <r>
      <rPr>
        <b/>
        <sz val="8"/>
        <rFont val="細明體"/>
        <family val="3"/>
        <charset val="136"/>
      </rPr>
      <t>貳式憑壹式</t>
    </r>
  </si>
  <si>
    <t>M-ZERO</t>
  </si>
  <si>
    <t>MB-ATM-MARK</t>
  </si>
  <si>
    <r>
      <t xml:space="preserve">spaces : </t>
    </r>
    <r>
      <rPr>
        <b/>
        <sz val="8"/>
        <rFont val="細明體"/>
        <family val="3"/>
        <charset val="136"/>
      </rPr>
      <t>無</t>
    </r>
    <r>
      <rPr>
        <b/>
        <sz val="8"/>
        <rFont val="Arial"/>
        <family val="2"/>
      </rPr>
      <t>; 
not space :</t>
    </r>
    <r>
      <rPr>
        <b/>
        <sz val="8"/>
        <rFont val="細明體"/>
        <family val="3"/>
        <charset val="136"/>
      </rPr>
      <t>有</t>
    </r>
  </si>
  <si>
    <t>M-ATM-MARK</t>
  </si>
  <si>
    <t>357</t>
  </si>
  <si>
    <t>MB-ATM-DR-AMT</t>
  </si>
  <si>
    <t>-9(09)</t>
  </si>
  <si>
    <t>M-ATM-DR-AMT</t>
  </si>
  <si>
    <t>357,358</t>
  </si>
  <si>
    <t>M-BOOK-NO</t>
  </si>
  <si>
    <t>2279,2357</t>
  </si>
  <si>
    <t>MB-PROJ-CODE</t>
  </si>
  <si>
    <t>Refer PRODUCT
this field is existed in saving account only.</t>
  </si>
  <si>
    <t xml:space="preserve">MB-PRODUCT </t>
  </si>
  <si>
    <t>351, 1426</t>
  </si>
  <si>
    <t>MB-OTHER-UNIT-AMT</t>
  </si>
  <si>
    <t>M-OTHER-UNIT-AMT</t>
  </si>
  <si>
    <t>359</t>
  </si>
  <si>
    <t>MB-TFRAGR-FLG</t>
  </si>
  <si>
    <r>
      <t>非約轉功能</t>
    </r>
    <r>
      <rPr>
        <b/>
        <sz val="8"/>
        <rFont val="Arial"/>
        <family val="2"/>
      </rPr>
      <t xml:space="preserve"> - Y:</t>
    </r>
    <r>
      <rPr>
        <b/>
        <sz val="8"/>
        <rFont val="細明體"/>
        <family val="3"/>
        <charset val="136"/>
      </rPr>
      <t>允許</t>
    </r>
    <r>
      <rPr>
        <b/>
        <sz val="8"/>
        <rFont val="Arial"/>
        <family val="2"/>
      </rPr>
      <t xml:space="preserve"> N:</t>
    </r>
    <r>
      <rPr>
        <b/>
        <sz val="8"/>
        <rFont val="細明體"/>
        <family val="3"/>
        <charset val="136"/>
      </rPr>
      <t>不允許</t>
    </r>
  </si>
  <si>
    <t>ISSUE</t>
  </si>
  <si>
    <t>ISS-TFRAGR-FLG</t>
  </si>
  <si>
    <t>361</t>
  </si>
  <si>
    <t>MB-WAIVE-FEE-CNT</t>
  </si>
  <si>
    <t>9(3)</t>
  </si>
  <si>
    <t xml:space="preserve">FFREE-F </t>
  </si>
  <si>
    <t>FF-TOT-CNT1</t>
  </si>
  <si>
    <t>362</t>
  </si>
  <si>
    <t>MB-WAIVE-FEE-USED</t>
  </si>
  <si>
    <t>FF-USE-CNT1</t>
  </si>
  <si>
    <t>363</t>
  </si>
  <si>
    <t>MB-BOOK-SEQ</t>
  </si>
  <si>
    <t>M-BOOK-SEQ</t>
  </si>
  <si>
    <t>364</t>
  </si>
  <si>
    <t>MB-SA-COMP</t>
  </si>
  <si>
    <t>Ref SAPAYRLL
"Open Branch for Payrol" is only existed in saving account</t>
  </si>
  <si>
    <t>SAACNT-R</t>
  </si>
  <si>
    <t>SA-COMP-CODE</t>
  </si>
  <si>
    <t>365,1526,1788,2278,2737, 2262</t>
  </si>
  <si>
    <t>MB-INT-KIND</t>
  </si>
  <si>
    <t>366</t>
  </si>
  <si>
    <t>MB-TAX-RATE</t>
  </si>
  <si>
    <t>9(02).99</t>
  </si>
  <si>
    <t>MB-TAX-RATE*100</t>
  </si>
  <si>
    <t>367</t>
  </si>
  <si>
    <t>MB-NBOLD-QTY</t>
  </si>
  <si>
    <t xml:space="preserve">IF M-NBOLD-QTY NOT &lt; 9999              
   MOVE 9999          TO WR-NBOLD-QTY  
ELSE                                   
   MOVE M-NBOLD-QTY   TO WR-NBOLD-QTY  
END-IF                                 </t>
  </si>
  <si>
    <t>M-NBOLD-QTY</t>
  </si>
  <si>
    <t>368</t>
  </si>
  <si>
    <t xml:space="preserve">MB-AMASS-12M </t>
  </si>
  <si>
    <t>369</t>
  </si>
  <si>
    <t xml:space="preserve">MB-AMASS-6M </t>
  </si>
  <si>
    <t>370</t>
  </si>
  <si>
    <t>MB-INT-12M</t>
  </si>
  <si>
    <t>-9(9).99</t>
  </si>
  <si>
    <t>371</t>
  </si>
  <si>
    <t>MB-INT-6M</t>
  </si>
  <si>
    <t>372</t>
  </si>
  <si>
    <t>MB-TAX-12M</t>
  </si>
  <si>
    <t>373</t>
  </si>
  <si>
    <t>MB-TAX-6M</t>
  </si>
  <si>
    <t>374</t>
  </si>
  <si>
    <t>MB-OD-INT-KIND</t>
  </si>
  <si>
    <t>9(1)</t>
  </si>
  <si>
    <r>
      <t>1.</t>
    </r>
    <r>
      <rPr>
        <b/>
        <sz val="8"/>
        <rFont val="細明體"/>
        <family val="3"/>
        <charset val="136"/>
      </rPr>
      <t>固定利率</t>
    </r>
    <r>
      <rPr>
        <b/>
        <sz val="8"/>
        <rFont val="Arial"/>
        <family val="2"/>
      </rPr>
      <t xml:space="preserve"> 2.</t>
    </r>
    <r>
      <rPr>
        <b/>
        <sz val="8"/>
        <rFont val="細明體"/>
        <family val="3"/>
        <charset val="136"/>
      </rPr>
      <t>機動利率</t>
    </r>
    <r>
      <rPr>
        <b/>
        <sz val="8"/>
        <rFont val="Arial"/>
        <family val="2"/>
      </rPr>
      <t xml:space="preserve"> 3.</t>
    </r>
    <r>
      <rPr>
        <b/>
        <sz val="8"/>
        <rFont val="細明體"/>
        <family val="3"/>
        <charset val="136"/>
      </rPr>
      <t>浮動利率</t>
    </r>
    <r>
      <rPr>
        <b/>
        <sz val="8"/>
        <rFont val="Arial"/>
        <family val="2"/>
      </rPr>
      <t xml:space="preserve"> 4.MOD</t>
    </r>
  </si>
  <si>
    <t>ODBATCH-R</t>
  </si>
  <si>
    <t>O-OD-INT-KIND</t>
  </si>
  <si>
    <t>2141</t>
  </si>
  <si>
    <t>MB-OD-RATE</t>
  </si>
  <si>
    <t>-9(2).9(08)</t>
  </si>
  <si>
    <t>O-OD-RATE</t>
  </si>
  <si>
    <t>2142</t>
  </si>
  <si>
    <t>MB-OD-INT</t>
  </si>
  <si>
    <t>O-OD-INT</t>
  </si>
  <si>
    <t>2143</t>
  </si>
  <si>
    <t>MB-OD-LIMIT</t>
  </si>
  <si>
    <t>M-OD-LIMIT</t>
  </si>
  <si>
    <t>2144</t>
  </si>
  <si>
    <t>MB-OD-DUE</t>
  </si>
  <si>
    <t>CCYYMMDD( M-OD-DUE + 19110000)</t>
  </si>
  <si>
    <t xml:space="preserve">M-OD-DUE </t>
  </si>
  <si>
    <t>2145</t>
  </si>
  <si>
    <t>MB-STATIC-DATE</t>
  </si>
  <si>
    <t>Dormant / Unclaim Date
IF M-STATIC = "S" = Dormant
IF M-STATIC = "U" = Unclaim</t>
  </si>
  <si>
    <t>STMARK-R</t>
  </si>
  <si>
    <t>ST-SET-YMD</t>
  </si>
  <si>
    <t>2363</t>
  </si>
  <si>
    <t>MB-SUB-PROD-CODE</t>
  </si>
  <si>
    <t>科目</t>
  </si>
  <si>
    <t>M-DEPKIND (4:2)</t>
  </si>
  <si>
    <t xml:space="preserve">MB-STATIC </t>
  </si>
  <si>
    <r>
      <t>Dormant / Unclaim /</t>
    </r>
    <r>
      <rPr>
        <b/>
        <sz val="8"/>
        <color indexed="10"/>
        <rFont val="細明體"/>
        <family val="3"/>
        <charset val="136"/>
      </rPr>
      <t>整批結清(IF M_CANCEL = 'D' AND M-BATCH-CANCEL-FLG != ' ')</t>
    </r>
  </si>
  <si>
    <t>M-STATIC</t>
  </si>
  <si>
    <t>MB-SALARY</t>
  </si>
  <si>
    <t>薪質．公教(A:薪資戶A級 B:薪資戶B級 C:薪資戶C級 E:公教職員 W:公教工友)</t>
  </si>
  <si>
    <t>TRAILER-RECORD-MASTERB REDEFINES                           HEADER-RECORD-MASTERB</t>
  </si>
  <si>
    <t>file name "MSPKAGE"</t>
  </si>
  <si>
    <t>ID</t>
  </si>
  <si>
    <t>MSPKAGE</t>
  </si>
  <si>
    <t>PK-IDNO</t>
  </si>
  <si>
    <t>Application Date</t>
  </si>
  <si>
    <t>申請日期(轉西元年)</t>
  </si>
  <si>
    <t>PK-CU-OPEN-YMD</t>
  </si>
  <si>
    <t>SME NO.1</t>
  </si>
  <si>
    <t>Customer Program</t>
  </si>
  <si>
    <t>X(20)</t>
  </si>
  <si>
    <t>客戶等級+"-"+等級說明</t>
  </si>
  <si>
    <t>PK-CU-LEVEL+"-"+PK-XSELL-MEMO</t>
  </si>
  <si>
    <t>SME NO.4</t>
  </si>
  <si>
    <t>Contact Strategy</t>
  </si>
  <si>
    <t>聯繫頻率(new table)</t>
  </si>
  <si>
    <t>LEVCONT</t>
  </si>
  <si>
    <t>WHEN PK-CU-LEVEL = LC-LEVEL 
    THEN LC-CONTACT
ELSE
    MOVE " "</t>
    <phoneticPr fontId="21" type="noConversion"/>
  </si>
  <si>
    <t>HEADER-RECORD-MASTERC</t>
  </si>
  <si>
    <t>file name "MASTERC"</t>
  </si>
  <si>
    <t xml:space="preserve">DETAIL-RECORD-MASTERC </t>
  </si>
  <si>
    <t>MC-ACNT</t>
  </si>
  <si>
    <t xml:space="preserve">MASTERC-R </t>
  </si>
  <si>
    <t>375,2717</t>
  </si>
  <si>
    <t>MC-DEP</t>
  </si>
  <si>
    <r>
      <t>M-DEPKIND(1:3) /</t>
    </r>
    <r>
      <rPr>
        <b/>
        <sz val="8"/>
        <rFont val="Arial"/>
        <family val="2"/>
      </rPr>
      <t xml:space="preserve"> Ref to CMDEPMH</t>
    </r>
  </si>
  <si>
    <t>376,2718</t>
  </si>
  <si>
    <t>MC-IDNO</t>
  </si>
  <si>
    <t>not existed in screen mapping file</t>
  </si>
  <si>
    <t>MC-CNAME</t>
  </si>
  <si>
    <t>MC-TANDEM-PROD-CODE</t>
  </si>
  <si>
    <t>2802,963,2721,2342</t>
  </si>
  <si>
    <t>MC-TEL</t>
  </si>
  <si>
    <t>377,2724</t>
  </si>
  <si>
    <t>MC-NEW-BAL</t>
  </si>
  <si>
    <t>378, 2803</t>
  </si>
  <si>
    <t>MC-OLD-BAL</t>
  </si>
  <si>
    <t>379, 2804</t>
  </si>
  <si>
    <t>MC-UN-BAL</t>
  </si>
  <si>
    <t>380, 2805</t>
  </si>
  <si>
    <t>MC-AV-BAL</t>
  </si>
  <si>
    <t>可用餘額</t>
  </si>
  <si>
    <t>MASTERC-R</t>
  </si>
  <si>
    <t>program count it</t>
  </si>
  <si>
    <t>CTI</t>
  </si>
  <si>
    <t>2140</t>
  </si>
  <si>
    <t>MC-CHANGE-YMD</t>
  </si>
  <si>
    <t>381, 2806</t>
  </si>
  <si>
    <t>MC-TROUBLE</t>
  </si>
  <si>
    <t>389,2738</t>
  </si>
  <si>
    <t>MC-PERID</t>
  </si>
  <si>
    <t>MASTERCB-R</t>
  </si>
  <si>
    <t>382,2732,1469,2736</t>
  </si>
  <si>
    <t>MC-AREA</t>
  </si>
  <si>
    <r>
      <t>1:</t>
    </r>
    <r>
      <rPr>
        <b/>
        <sz val="8"/>
        <rFont val="細明體"/>
        <family val="3"/>
        <charset val="136"/>
      </rPr>
      <t>法金</t>
    </r>
    <r>
      <rPr>
        <b/>
        <sz val="8"/>
        <rFont val="Arial"/>
        <family val="2"/>
      </rPr>
      <t>; 2:</t>
    </r>
    <r>
      <rPr>
        <b/>
        <sz val="8"/>
        <rFont val="細明體"/>
        <family val="3"/>
        <charset val="136"/>
      </rPr>
      <t>個金</t>
    </r>
    <r>
      <rPr>
        <b/>
        <sz val="8"/>
        <rFont val="Arial"/>
        <family val="2"/>
      </rPr>
      <t xml:space="preserve"> ; 3: </t>
    </r>
    <r>
      <rPr>
        <b/>
        <sz val="8"/>
        <rFont val="細明體"/>
        <family val="3"/>
        <charset val="136"/>
      </rPr>
      <t>分行</t>
    </r>
    <r>
      <rPr>
        <b/>
        <sz val="8"/>
        <rFont val="Arial"/>
        <family val="2"/>
      </rPr>
      <t>; 4:</t>
    </r>
    <r>
      <rPr>
        <b/>
        <sz val="8"/>
        <rFont val="細明體"/>
        <family val="3"/>
        <charset val="136"/>
      </rPr>
      <t>證券</t>
    </r>
    <r>
      <rPr>
        <b/>
        <sz val="8"/>
        <rFont val="Arial"/>
        <family val="2"/>
      </rPr>
      <t xml:space="preserve"> </t>
    </r>
  </si>
  <si>
    <t>MC-CANCEL</t>
  </si>
  <si>
    <t>383,2719</t>
  </si>
  <si>
    <t>MC-OPEN-DATE</t>
  </si>
  <si>
    <t>384,2776</t>
  </si>
  <si>
    <t>MC-AMASS-DATE</t>
  </si>
  <si>
    <t>385, 2807</t>
  </si>
  <si>
    <t>MC-AMASS</t>
  </si>
  <si>
    <t>387, 2808</t>
  </si>
  <si>
    <t>MC-AVR-AMT</t>
  </si>
  <si>
    <t>388, 2809</t>
  </si>
  <si>
    <t>MC-SEC-ACNT</t>
  </si>
  <si>
    <t>M-SECOND-DEPKIND + M-SECOND-ACNO</t>
  </si>
  <si>
    <t>390,2734</t>
  </si>
  <si>
    <t>MC-OD-KIND</t>
  </si>
  <si>
    <t xml:space="preserve">1.擔保 2.無擔保 </t>
  </si>
  <si>
    <t>M-OD-KIND</t>
  </si>
  <si>
    <t>TANDEM-RSODDATA</t>
  </si>
  <si>
    <t>1716</t>
  </si>
  <si>
    <t>MC-OD-INT-KIND</t>
  </si>
  <si>
    <t>401,1450,2141</t>
  </si>
  <si>
    <t>MC-OD-RATE</t>
  </si>
  <si>
    <t>401,1450,2142</t>
  </si>
  <si>
    <t>MC-OD-DUE</t>
  </si>
  <si>
    <t>西元年(年月日)</t>
  </si>
  <si>
    <t>M-OD-DUE</t>
  </si>
  <si>
    <t>402</t>
  </si>
  <si>
    <t>MC-OD-LIMIT</t>
  </si>
  <si>
    <t>403,1451</t>
  </si>
  <si>
    <t>MC-OD-AMASS</t>
  </si>
  <si>
    <t>-9(13)</t>
  </si>
  <si>
    <t>O-OD-AMASS</t>
  </si>
  <si>
    <t>404</t>
  </si>
  <si>
    <t>MC-OD-INT</t>
  </si>
  <si>
    <t>406,2149</t>
  </si>
  <si>
    <t>MC-SEC-ACNT-BAL</t>
  </si>
  <si>
    <t>405, 2810</t>
  </si>
  <si>
    <t>MC-SEC-ACNT-AVR-BAL</t>
  </si>
  <si>
    <t>407, 2811</t>
  </si>
  <si>
    <t>MC-ALMA-ACNT</t>
  </si>
  <si>
    <t>408,2735, 2376</t>
  </si>
  <si>
    <t>MC-ALMA-ACNT-RANK</t>
  </si>
  <si>
    <r>
      <t>program define the leave by average of balance
"E"</t>
    </r>
    <r>
      <rPr>
        <b/>
        <sz val="8"/>
        <rFont val="細明體"/>
        <family val="3"/>
        <charset val="136"/>
      </rPr>
      <t>：</t>
    </r>
    <r>
      <rPr>
        <b/>
        <sz val="8"/>
        <rFont val="Arial"/>
        <family val="2"/>
      </rPr>
      <t>0       THRU 49999 
"C"</t>
    </r>
    <r>
      <rPr>
        <b/>
        <sz val="8"/>
        <rFont val="細明體"/>
        <family val="3"/>
        <charset val="136"/>
      </rPr>
      <t>：</t>
    </r>
    <r>
      <rPr>
        <b/>
        <sz val="8"/>
        <rFont val="Arial"/>
        <family val="2"/>
      </rPr>
      <t>50000   THRU 499999
"B"</t>
    </r>
    <r>
      <rPr>
        <b/>
        <sz val="8"/>
        <rFont val="細明體"/>
        <family val="3"/>
        <charset val="136"/>
      </rPr>
      <t>：</t>
    </r>
    <r>
      <rPr>
        <b/>
        <sz val="8"/>
        <rFont val="Arial"/>
        <family val="2"/>
      </rPr>
      <t>500000  THRU 1999999  
"A"</t>
    </r>
    <r>
      <rPr>
        <b/>
        <sz val="8"/>
        <rFont val="細明體"/>
        <family val="3"/>
        <charset val="136"/>
      </rPr>
      <t>：</t>
    </r>
    <r>
      <rPr>
        <b/>
        <sz val="8"/>
        <rFont val="Arial"/>
        <family val="2"/>
      </rPr>
      <t>2000000 THRU 2999999 
"S"</t>
    </r>
    <r>
      <rPr>
        <b/>
        <sz val="8"/>
        <rFont val="細明體"/>
        <family val="3"/>
        <charset val="136"/>
      </rPr>
      <t>：</t>
    </r>
    <r>
      <rPr>
        <b/>
        <sz val="8"/>
        <rFont val="Arial"/>
        <family val="2"/>
      </rPr>
      <t>3000000 THRU 999999999999</t>
    </r>
  </si>
  <si>
    <t>408,2735</t>
  </si>
  <si>
    <t>MC-VOICE</t>
  </si>
  <si>
    <t xml:space="preserve">M-VOICE </t>
  </si>
  <si>
    <t>409, 2739</t>
  </si>
  <si>
    <t>MC-JOIN-KIND</t>
  </si>
  <si>
    <t>M-JOINT-KIND</t>
  </si>
  <si>
    <t>410, 2740</t>
  </si>
  <si>
    <t>MC-STATIC-DATE</t>
  </si>
  <si>
    <t>MC-SUB-PROD-CODE</t>
  </si>
  <si>
    <t>MC-REJECT-DATE</t>
  </si>
  <si>
    <t>拒往日期(西元年)</t>
  </si>
  <si>
    <t>HREJECT-REC</t>
  </si>
  <si>
    <t>HR-DATE</t>
  </si>
  <si>
    <t>TANDEM-REUERYR</t>
  </si>
  <si>
    <t>SME NO13,14</t>
  </si>
  <si>
    <t>TRAILER-RECORD-MASTERC REDEFINES                           HEADER-RECORD-MASTERC</t>
  </si>
  <si>
    <t>HEADER-RECORD-T0002</t>
    <phoneticPr fontId="4" type="noConversion"/>
  </si>
  <si>
    <t>Every Column and Line has Hex-04 To Separa</t>
    <phoneticPr fontId="19" type="noConversion"/>
  </si>
  <si>
    <t>System Name is "FXCASA"</t>
    <phoneticPr fontId="4" type="noConversion"/>
  </si>
  <si>
    <t>Value is Hex-04</t>
    <phoneticPr fontId="4" type="noConversion"/>
  </si>
  <si>
    <t>DETAIL-RECORD-T0002</t>
    <phoneticPr fontId="4" type="noConversion"/>
  </si>
  <si>
    <t>Account No.</t>
    <phoneticPr fontId="4" type="noConversion"/>
  </si>
  <si>
    <t>9(15)</t>
    <phoneticPr fontId="4" type="noConversion"/>
  </si>
  <si>
    <t>TIM-FACNO</t>
    <phoneticPr fontId="4" type="noConversion"/>
  </si>
  <si>
    <t>2571</t>
    <phoneticPr fontId="4" type="noConversion"/>
  </si>
  <si>
    <t>Y</t>
    <phoneticPr fontId="4" type="noConversion"/>
  </si>
  <si>
    <t>FTTIMM-R</t>
    <phoneticPr fontId="4" type="noConversion"/>
  </si>
  <si>
    <t>TIM-ACC-UNIT</t>
    <phoneticPr fontId="4" type="noConversion"/>
  </si>
  <si>
    <t>T0002</t>
    <phoneticPr fontId="4" type="noConversion"/>
  </si>
  <si>
    <t>2572</t>
    <phoneticPr fontId="4" type="noConversion"/>
  </si>
  <si>
    <t>N</t>
    <phoneticPr fontId="4" type="noConversion"/>
  </si>
  <si>
    <t>refer to CMDEPM</t>
    <phoneticPr fontId="19" type="noConversion"/>
  </si>
  <si>
    <t>TIM-COL-BRNO</t>
    <phoneticPr fontId="4" type="noConversion"/>
  </si>
  <si>
    <t>2573</t>
  </si>
  <si>
    <t>Y:Secret Account
N:Not Secret Account</t>
    <phoneticPr fontId="19" type="noConversion"/>
  </si>
  <si>
    <t>TIM-SECRET-MARK</t>
    <phoneticPr fontId="4" type="noConversion"/>
  </si>
  <si>
    <t>2574</t>
  </si>
  <si>
    <t>Auto give seqno by System. It's not a code.</t>
    <phoneticPr fontId="19" type="noConversion"/>
  </si>
  <si>
    <t>TIM-FNACNO</t>
    <phoneticPr fontId="4" type="noConversion"/>
  </si>
  <si>
    <t>2575</t>
  </si>
  <si>
    <t>TIM-TAX-RATE</t>
    <phoneticPr fontId="4" type="noConversion"/>
  </si>
  <si>
    <t>2576</t>
  </si>
  <si>
    <t>TIM-DEP-CODE</t>
    <phoneticPr fontId="4" type="noConversion"/>
  </si>
  <si>
    <t>2577</t>
  </si>
  <si>
    <t>9(01)</t>
    <phoneticPr fontId="4" type="noConversion"/>
  </si>
  <si>
    <t>It's not code.</t>
    <phoneticPr fontId="19" type="noConversion"/>
  </si>
  <si>
    <t>TIM-RANGE-MARK</t>
    <phoneticPr fontId="4" type="noConversion"/>
  </si>
  <si>
    <t>2578</t>
  </si>
  <si>
    <t>2579</t>
  </si>
  <si>
    <t>TIM-PAPER-NO</t>
    <phoneticPr fontId="4" type="noConversion"/>
  </si>
  <si>
    <t>2580</t>
  </si>
  <si>
    <t>TIM-RANGE</t>
    <phoneticPr fontId="4" type="noConversion"/>
  </si>
  <si>
    <t>2581</t>
  </si>
  <si>
    <t>9(11).99</t>
    <phoneticPr fontId="4" type="noConversion"/>
  </si>
  <si>
    <t>TIM-BAL</t>
    <phoneticPr fontId="4" type="noConversion"/>
  </si>
  <si>
    <t>2582</t>
  </si>
  <si>
    <t>X(08)</t>
    <phoneticPr fontId="4" type="noConversion"/>
  </si>
  <si>
    <t>2583</t>
  </si>
  <si>
    <t>Interest Paid for Curr. Year</t>
    <phoneticPr fontId="4" type="noConversion"/>
  </si>
  <si>
    <t>TIM-ALLINT-FR</t>
    <phoneticPr fontId="4" type="noConversion"/>
  </si>
  <si>
    <t>2584</t>
  </si>
  <si>
    <t>9(4).9(06)</t>
    <phoneticPr fontId="4" type="noConversion"/>
  </si>
  <si>
    <t>TIM-INT-RATE</t>
    <phoneticPr fontId="4" type="noConversion"/>
  </si>
  <si>
    <t>2585</t>
  </si>
  <si>
    <t>Tax Deducted for Curr. Year</t>
    <phoneticPr fontId="4" type="noConversion"/>
  </si>
  <si>
    <t>TIM-ALLTAX-FR</t>
    <phoneticPr fontId="4" type="noConversion"/>
  </si>
  <si>
    <t>2586</t>
  </si>
  <si>
    <t>Closing Exchange Rate</t>
    <phoneticPr fontId="4" type="noConversion"/>
  </si>
  <si>
    <t>9(5).9(6)</t>
    <phoneticPr fontId="4" type="noConversion"/>
  </si>
  <si>
    <t>TIM-CAN-RATE</t>
    <phoneticPr fontId="4" type="noConversion"/>
  </si>
  <si>
    <t>2587</t>
  </si>
  <si>
    <t>Interest Paid for Curr. Year (NTD)</t>
    <phoneticPr fontId="4" type="noConversion"/>
  </si>
  <si>
    <t>TIM-ALLINT-L</t>
    <phoneticPr fontId="4" type="noConversion"/>
  </si>
  <si>
    <t>2588</t>
  </si>
  <si>
    <t>TIM-DYMD</t>
    <phoneticPr fontId="4" type="noConversion"/>
  </si>
  <si>
    <t>2589</t>
  </si>
  <si>
    <t>Tax Deducted for Curr. Year (NTD)</t>
    <phoneticPr fontId="4" type="noConversion"/>
  </si>
  <si>
    <t>TIM-ALLTAX-L</t>
    <phoneticPr fontId="4" type="noConversion"/>
  </si>
  <si>
    <t>2590</t>
  </si>
  <si>
    <t>TIM-SYMD</t>
    <phoneticPr fontId="4" type="noConversion"/>
  </si>
  <si>
    <t>2591</t>
  </si>
  <si>
    <t>Monthly Interest Paid</t>
    <phoneticPr fontId="4" type="noConversion"/>
  </si>
  <si>
    <t>TIM-REAL-PINT-TOTAMT</t>
    <phoneticPr fontId="4" type="noConversion"/>
  </si>
  <si>
    <t>2592</t>
  </si>
  <si>
    <t>TIM-EYMD</t>
    <phoneticPr fontId="4" type="noConversion"/>
  </si>
  <si>
    <t>2593</t>
  </si>
  <si>
    <t>TIM-RCV-INTAMT-FR</t>
    <phoneticPr fontId="4" type="noConversion"/>
  </si>
  <si>
    <t>2594</t>
  </si>
  <si>
    <t>CCYYMMDD
If date = 0, converted to 99999999</t>
    <phoneticPr fontId="4" type="noConversion"/>
  </si>
  <si>
    <t>TIM-CAN-YMD</t>
    <phoneticPr fontId="4" type="noConversion"/>
  </si>
  <si>
    <t>2595</t>
  </si>
  <si>
    <t>TIM-MATURE-INT-AMT</t>
    <phoneticPr fontId="19" type="noConversion"/>
  </si>
  <si>
    <t>2596</t>
  </si>
  <si>
    <t>TIM-TR-KIND</t>
    <phoneticPr fontId="4" type="noConversion"/>
  </si>
  <si>
    <t>2597</t>
  </si>
  <si>
    <t>If not (pci &amp; si), need to call sub program and calculate</t>
    <phoneticPr fontId="4" type="noConversion"/>
  </si>
  <si>
    <t>2598</t>
  </si>
  <si>
    <t>9(14)</t>
    <phoneticPr fontId="4" type="noConversion"/>
  </si>
  <si>
    <t>TIM-TR-FNACNO</t>
    <phoneticPr fontId="4" type="noConversion"/>
  </si>
  <si>
    <t>2599</t>
  </si>
  <si>
    <t>Price Difference</t>
    <phoneticPr fontId="4" type="noConversion"/>
  </si>
  <si>
    <t>TIM-CS-AMT</t>
    <phoneticPr fontId="4" type="noConversion"/>
  </si>
  <si>
    <t>2600</t>
  </si>
  <si>
    <t>IF TIM-CANCEL = "D" AND TIM-CAN-YMD &gt; 0 AND TIM-CAN-YMD &lt; TIM-EYMD, MOVE "Y" ELSE MOVE " " 
(Y:Early Closure
" ": Not early Closure)</t>
    <phoneticPr fontId="4" type="noConversion"/>
  </si>
  <si>
    <t>2601</t>
  </si>
  <si>
    <t>TIM-B-FACNO</t>
    <phoneticPr fontId="4" type="noConversion"/>
  </si>
  <si>
    <t>2602</t>
  </si>
  <si>
    <t>TIM-TROUBLE</t>
    <phoneticPr fontId="4" type="noConversion"/>
  </si>
  <si>
    <t>2603</t>
  </si>
  <si>
    <t>Hold Description</t>
    <phoneticPr fontId="19" type="noConversion"/>
  </si>
  <si>
    <t>X(26)</t>
    <phoneticPr fontId="19" type="noConversion"/>
  </si>
  <si>
    <t>TANDEM</t>
    <phoneticPr fontId="19" type="noConversion"/>
  </si>
  <si>
    <t>2603description</t>
    <phoneticPr fontId="19" type="noConversion"/>
  </si>
  <si>
    <t>N</t>
    <phoneticPr fontId="19" type="noConversion"/>
  </si>
  <si>
    <t>TIM-N-FACNO</t>
    <phoneticPr fontId="4" type="noConversion"/>
  </si>
  <si>
    <t>2604</t>
  </si>
  <si>
    <t>Y:Yes
N:No</t>
    <phoneticPr fontId="19" type="noConversion"/>
  </si>
  <si>
    <t>TIM-TRO-TR-MARK</t>
    <phoneticPr fontId="4" type="noConversion"/>
  </si>
  <si>
    <t>2605</t>
  </si>
  <si>
    <t>TIM-LOST</t>
    <phoneticPr fontId="4" type="noConversion"/>
  </si>
  <si>
    <t>2606</t>
  </si>
  <si>
    <t>TIM-TEL1</t>
    <phoneticPr fontId="4" type="noConversion"/>
  </si>
  <si>
    <t>2607, 2435</t>
    <phoneticPr fontId="19" type="noConversion"/>
  </si>
  <si>
    <t>TIM-LOST-YMD</t>
    <phoneticPr fontId="4" type="noConversion"/>
  </si>
  <si>
    <t>2608</t>
  </si>
  <si>
    <t>TIM-TEL2</t>
    <phoneticPr fontId="4" type="noConversion"/>
  </si>
  <si>
    <t>2609</t>
  </si>
  <si>
    <t>TIM-OLD-PAPER-NO</t>
    <phoneticPr fontId="4" type="noConversion"/>
  </si>
  <si>
    <t>2610</t>
  </si>
  <si>
    <t>2611</t>
  </si>
  <si>
    <t>TIM-ATR-TIMES</t>
    <phoneticPr fontId="4" type="noConversion"/>
  </si>
  <si>
    <t>2612</t>
  </si>
  <si>
    <t>2613</t>
  </si>
  <si>
    <t>TIM-JOINT-KIND</t>
    <phoneticPr fontId="4" type="noConversion"/>
  </si>
  <si>
    <t>2614</t>
  </si>
  <si>
    <t>Hold Amount</t>
    <phoneticPr fontId="4" type="noConversion"/>
  </si>
  <si>
    <t>TIM-TRO-AMT</t>
    <phoneticPr fontId="4" type="noConversion"/>
  </si>
  <si>
    <t>2615</t>
  </si>
  <si>
    <t>2616</t>
  </si>
  <si>
    <t>TMI-REAL-TIMES</t>
    <phoneticPr fontId="4" type="noConversion"/>
  </si>
  <si>
    <t>2617</t>
  </si>
  <si>
    <r>
      <t xml:space="preserve">CCYYMMDD
</t>
    </r>
    <r>
      <rPr>
        <sz val="8"/>
        <rFont val="Arial"/>
        <family val="2"/>
      </rPr>
      <t xml:space="preserve">(TIM-MTHLY-PAID = "M" AND  TMI-NEXT-PDAY NOT = 99999999 THEN MOVE TMI-NEXT-PDAY)
</t>
    </r>
    <r>
      <rPr>
        <b/>
        <sz val="8"/>
        <color indexed="10"/>
        <rFont val="Arial"/>
        <family val="2"/>
      </rPr>
      <t>If date = 0, converted to 99999999</t>
    </r>
  </si>
  <si>
    <t>TMI-NEXT-PDAY</t>
    <phoneticPr fontId="4" type="noConversion"/>
  </si>
  <si>
    <t>2618</t>
  </si>
  <si>
    <t>Sub Product</t>
    <phoneticPr fontId="4" type="noConversion"/>
  </si>
  <si>
    <t>240:TD</t>
    <phoneticPr fontId="19" type="noConversion"/>
  </si>
  <si>
    <t>X(03)</t>
    <phoneticPr fontId="4" type="noConversion"/>
  </si>
  <si>
    <t>TIM-CUR</t>
    <phoneticPr fontId="4" type="noConversion"/>
  </si>
  <si>
    <t>" ":Normal, "D":Closed</t>
    <phoneticPr fontId="4" type="noConversion"/>
  </si>
  <si>
    <t>TAMDEM</t>
    <phoneticPr fontId="4" type="noConversion"/>
  </si>
  <si>
    <t>TIM-CANCEL</t>
    <phoneticPr fontId="4" type="noConversion"/>
  </si>
  <si>
    <t>TIM-IDNO</t>
    <phoneticPr fontId="4" type="noConversion"/>
  </si>
  <si>
    <t>Account Name</t>
    <phoneticPr fontId="19" type="noConversion"/>
  </si>
  <si>
    <t>X(40)</t>
    <phoneticPr fontId="19" type="noConversion"/>
  </si>
  <si>
    <t>CHINAX</t>
    <phoneticPr fontId="19" type="noConversion"/>
  </si>
  <si>
    <t>C-NAME</t>
    <phoneticPr fontId="19" type="noConversion"/>
  </si>
  <si>
    <t>T0002</t>
    <phoneticPr fontId="19" type="noConversion"/>
  </si>
  <si>
    <t>FinIQ Deal Number</t>
    <phoneticPr fontId="19" type="noConversion"/>
  </si>
  <si>
    <t>X(07)</t>
    <phoneticPr fontId="19" type="noConversion"/>
  </si>
  <si>
    <t>If "PCI", provide FinIQ Deal Number.</t>
    <phoneticPr fontId="19" type="noConversion"/>
  </si>
  <si>
    <t>STRACNO-R</t>
    <phoneticPr fontId="19" type="noConversion"/>
  </si>
  <si>
    <t xml:space="preserve"> SAC-PRD-COD</t>
    <phoneticPr fontId="19" type="noConversion"/>
  </si>
  <si>
    <t>Tandem Sub Product Code</t>
    <phoneticPr fontId="19" type="noConversion"/>
  </si>
  <si>
    <t>9(03)</t>
    <phoneticPr fontId="19" type="noConversion"/>
  </si>
  <si>
    <t>TIM-DEPKIND OF TIM-FACNO</t>
    <phoneticPr fontId="19" type="noConversion"/>
  </si>
  <si>
    <t>TRAILER-RECORD-T0002 REDEFINES                           HEADER-RECORD-T0002</t>
    <phoneticPr fontId="4" type="noConversion"/>
  </si>
  <si>
    <t>HEADER-RECORD-P0002</t>
    <phoneticPr fontId="4" type="noConversion"/>
  </si>
  <si>
    <t>File Name</t>
    <phoneticPr fontId="19" type="noConversion"/>
  </si>
  <si>
    <t>X(15)</t>
    <phoneticPr fontId="19" type="noConversion"/>
  </si>
  <si>
    <t xml:space="preserve"> File name "FD0002" </t>
    <phoneticPr fontId="4" type="noConversion"/>
  </si>
  <si>
    <t>DETAIL-RECORD-P0002</t>
    <phoneticPr fontId="4" type="noConversion"/>
  </si>
  <si>
    <t>Account No.</t>
  </si>
  <si>
    <r>
      <t>F</t>
    </r>
    <r>
      <rPr>
        <sz val="8"/>
        <rFont val="Arial"/>
        <family val="2"/>
      </rPr>
      <t>DMSTBM-R</t>
    </r>
  </si>
  <si>
    <t>MST-FNACNO</t>
    <phoneticPr fontId="4" type="noConversion"/>
  </si>
  <si>
    <r>
      <t>P</t>
    </r>
    <r>
      <rPr>
        <sz val="8"/>
        <rFont val="Arial"/>
        <family val="2"/>
      </rPr>
      <t>0002</t>
    </r>
  </si>
  <si>
    <t>48</t>
  </si>
  <si>
    <t>Y</t>
    <phoneticPr fontId="19" type="noConversion"/>
  </si>
  <si>
    <t>FDMSTBM-R</t>
    <phoneticPr fontId="4" type="noConversion"/>
  </si>
  <si>
    <t>MST-ACC-UNIT</t>
    <phoneticPr fontId="4" type="noConversion"/>
  </si>
  <si>
    <t>49</t>
  </si>
  <si>
    <r>
      <t>X</t>
    </r>
    <r>
      <rPr>
        <sz val="8"/>
        <rFont val="Arial"/>
        <family val="2"/>
      </rPr>
      <t>(03)</t>
    </r>
  </si>
  <si>
    <t>key</t>
    <phoneticPr fontId="19" type="noConversion"/>
  </si>
  <si>
    <t>MST-CUR</t>
    <phoneticPr fontId="19" type="noConversion"/>
  </si>
  <si>
    <t>50</t>
  </si>
  <si>
    <t>Old Account No.</t>
  </si>
  <si>
    <r>
      <t>9</t>
    </r>
    <r>
      <rPr>
        <sz val="8"/>
        <rFont val="Arial"/>
        <family val="2"/>
      </rPr>
      <t>(16)</t>
    </r>
  </si>
  <si>
    <t>MST-FACNO</t>
    <phoneticPr fontId="19" type="noConversion"/>
  </si>
  <si>
    <t>51</t>
  </si>
  <si>
    <r>
      <t>9</t>
    </r>
    <r>
      <rPr>
        <sz val="8"/>
        <rFont val="Arial"/>
        <family val="2"/>
      </rPr>
      <t>(03)</t>
    </r>
  </si>
  <si>
    <t>MST-COL-BRNO</t>
    <phoneticPr fontId="19" type="noConversion"/>
  </si>
  <si>
    <t>52</t>
  </si>
  <si>
    <r>
      <t>X</t>
    </r>
    <r>
      <rPr>
        <sz val="8"/>
        <rFont val="Arial"/>
        <family val="2"/>
      </rPr>
      <t>(01)</t>
    </r>
  </si>
  <si>
    <t>MST-SECRET-MARK</t>
    <phoneticPr fontId="19" type="noConversion"/>
  </si>
  <si>
    <t>53</t>
  </si>
  <si>
    <t>9(02)</t>
    <phoneticPr fontId="19" type="noConversion"/>
  </si>
  <si>
    <r>
      <t>F</t>
    </r>
    <r>
      <rPr>
        <sz val="8"/>
        <rFont val="Arial"/>
        <family val="2"/>
      </rPr>
      <t>DMSTBBM-R</t>
    </r>
  </si>
  <si>
    <t>MSB-TAX-RATE</t>
    <phoneticPr fontId="19" type="noConversion"/>
  </si>
  <si>
    <t>54</t>
  </si>
  <si>
    <r>
      <t>F</t>
    </r>
    <r>
      <rPr>
        <sz val="8"/>
        <rFont val="Arial"/>
        <family val="2"/>
      </rPr>
      <t>DCTLM-R</t>
    </r>
  </si>
  <si>
    <t>CTL-BOOK-NO</t>
    <phoneticPr fontId="19" type="noConversion"/>
  </si>
  <si>
    <t>55</t>
  </si>
  <si>
    <t>Current Balance</t>
  </si>
  <si>
    <t>9(11).99</t>
    <phoneticPr fontId="19" type="noConversion"/>
  </si>
  <si>
    <t>MST-NEW-BAL</t>
    <phoneticPr fontId="19" type="noConversion"/>
  </si>
  <si>
    <t>57</t>
  </si>
  <si>
    <t>Sub Product</t>
  </si>
  <si>
    <r>
      <t>01:</t>
    </r>
    <r>
      <rPr>
        <sz val="8"/>
        <rFont val="細明體"/>
        <family val="3"/>
        <charset val="136"/>
      </rPr>
      <t>普通一般戶</t>
    </r>
    <r>
      <rPr>
        <sz val="8"/>
        <rFont val="Arial"/>
        <family val="2"/>
      </rPr>
      <t xml:space="preserve">
02:</t>
    </r>
    <r>
      <rPr>
        <sz val="8"/>
        <rFont val="細明體"/>
        <family val="3"/>
        <charset val="136"/>
      </rPr>
      <t>期貨一般戶</t>
    </r>
    <r>
      <rPr>
        <sz val="8"/>
        <rFont val="Arial"/>
        <family val="2"/>
      </rPr>
      <t xml:space="preserve"> 
03:</t>
    </r>
    <r>
      <rPr>
        <sz val="8"/>
        <rFont val="細明體"/>
        <family val="3"/>
        <charset val="136"/>
      </rPr>
      <t>期貨經紀商</t>
    </r>
    <r>
      <rPr>
        <sz val="8"/>
        <rFont val="Arial"/>
        <family val="2"/>
      </rPr>
      <t xml:space="preserve">
04:</t>
    </r>
    <r>
      <rPr>
        <sz val="8"/>
        <rFont val="細明體"/>
        <family val="3"/>
        <charset val="136"/>
      </rPr>
      <t>複委託期貨經紀商</t>
    </r>
  </si>
  <si>
    <t>MST-DEP-CODE</t>
    <phoneticPr fontId="19" type="noConversion"/>
  </si>
  <si>
    <t>58</t>
  </si>
  <si>
    <t>Hold Amount</t>
  </si>
  <si>
    <t>MST-UNPAY-AMT</t>
    <phoneticPr fontId="19" type="noConversion"/>
  </si>
  <si>
    <t>59</t>
  </si>
  <si>
    <t>Interest Rate Type</t>
  </si>
  <si>
    <r>
      <t>01:</t>
    </r>
    <r>
      <rPr>
        <sz val="8"/>
        <rFont val="細明體"/>
        <family val="3"/>
        <charset val="136"/>
      </rPr>
      <t xml:space="preserve">不計息
</t>
    </r>
    <r>
      <rPr>
        <sz val="8"/>
        <rFont val="Arial"/>
        <family val="2"/>
      </rPr>
      <t>02:</t>
    </r>
    <r>
      <rPr>
        <sz val="8"/>
        <rFont val="細明體"/>
        <family val="3"/>
        <charset val="136"/>
      </rPr>
      <t xml:space="preserve">依牌告利率計息
</t>
    </r>
    <r>
      <rPr>
        <sz val="8"/>
        <rFont val="Arial"/>
        <family val="2"/>
      </rPr>
      <t>99:</t>
    </r>
    <r>
      <rPr>
        <sz val="8"/>
        <rFont val="細明體"/>
        <family val="3"/>
        <charset val="136"/>
      </rPr>
      <t>加減利率戶</t>
    </r>
  </si>
  <si>
    <t>MSB-INT-KIND</t>
    <phoneticPr fontId="19" type="noConversion"/>
  </si>
  <si>
    <t>60</t>
  </si>
  <si>
    <t>MST-NEW-BAL - MST-UNPAY-AMT</t>
    <phoneticPr fontId="19" type="noConversion"/>
  </si>
  <si>
    <t>61</t>
  </si>
  <si>
    <t>Interest Spread</t>
  </si>
  <si>
    <t>9(04).9(08)</t>
    <phoneticPr fontId="19" type="noConversion"/>
  </si>
  <si>
    <t>MSB-INT-LEVEL</t>
    <phoneticPr fontId="19" type="noConversion"/>
  </si>
  <si>
    <t>62</t>
  </si>
  <si>
    <t>Opened Date</t>
  </si>
  <si>
    <t>9(08)</t>
    <phoneticPr fontId="19" type="noConversion"/>
  </si>
  <si>
    <t>CCYYMMDD</t>
    <phoneticPr fontId="19" type="noConversion"/>
  </si>
  <si>
    <t>MSB-OPEN-YMD</t>
    <phoneticPr fontId="19" type="noConversion"/>
  </si>
  <si>
    <t>63, 2269</t>
    <phoneticPr fontId="19" type="noConversion"/>
  </si>
  <si>
    <t>Closed Date</t>
  </si>
  <si>
    <t>MST-CHANGE-YMD</t>
    <phoneticPr fontId="19" type="noConversion"/>
  </si>
  <si>
    <t>64, 2265</t>
    <phoneticPr fontId="19" type="noConversion"/>
  </si>
  <si>
    <t>Admin Charge (for Withdrawal)</t>
  </si>
  <si>
    <t>MST-CASH-AMT</t>
    <phoneticPr fontId="19" type="noConversion"/>
  </si>
  <si>
    <t>65</t>
  </si>
  <si>
    <t>X(01)</t>
    <phoneticPr fontId="19" type="noConversion"/>
  </si>
  <si>
    <t>D:Closed</t>
    <phoneticPr fontId="19" type="noConversion"/>
  </si>
  <si>
    <t>MST-CANCEL</t>
    <phoneticPr fontId="19" type="noConversion"/>
  </si>
  <si>
    <t>66</t>
  </si>
  <si>
    <t>Passbook Available</t>
  </si>
  <si>
    <t xml:space="preserve"> (MST-PASSBOOK-FLG = "N" OR MST-DEPKIND OF MST-FACNO = 055) MOVE "N", ELSE MOVE "Y"</t>
    <phoneticPr fontId="19" type="noConversion"/>
  </si>
  <si>
    <t>67</t>
  </si>
  <si>
    <t>MST-TROUBLE</t>
    <phoneticPr fontId="19" type="noConversion"/>
  </si>
  <si>
    <t>68</t>
  </si>
  <si>
    <r>
      <t>01  MOVE "</t>
    </r>
    <r>
      <rPr>
        <sz val="6"/>
        <rFont val="細明體"/>
        <family val="3"/>
        <charset val="136"/>
      </rPr>
      <t>印鑑掛失</t>
    </r>
    <r>
      <rPr>
        <sz val="6"/>
        <rFont val="Arial"/>
        <family val="2"/>
      </rPr>
      <t xml:space="preserve">                  "
02  MOVE "</t>
    </r>
    <r>
      <rPr>
        <sz val="6"/>
        <rFont val="細明體"/>
        <family val="3"/>
        <charset val="136"/>
      </rPr>
      <t>存單</t>
    </r>
    <r>
      <rPr>
        <sz val="6"/>
        <rFont val="Arial"/>
        <family val="2"/>
      </rPr>
      <t>/</t>
    </r>
    <r>
      <rPr>
        <sz val="6"/>
        <rFont val="細明體"/>
        <family val="3"/>
        <charset val="136"/>
      </rPr>
      <t>摺掛失</t>
    </r>
    <r>
      <rPr>
        <sz val="6"/>
        <rFont val="Arial"/>
        <family val="2"/>
      </rPr>
      <t xml:space="preserve">               "
03  MOVE "</t>
    </r>
    <r>
      <rPr>
        <sz val="6"/>
        <rFont val="細明體"/>
        <family val="3"/>
        <charset val="136"/>
      </rPr>
      <t>扣押存款</t>
    </r>
    <r>
      <rPr>
        <sz val="6"/>
        <rFont val="Arial"/>
        <family val="2"/>
      </rPr>
      <t xml:space="preserve">                  "
04  MOVE "</t>
    </r>
    <r>
      <rPr>
        <sz val="6"/>
        <rFont val="細明體"/>
        <family val="3"/>
        <charset val="136"/>
      </rPr>
      <t>禁治產</t>
    </r>
    <r>
      <rPr>
        <sz val="6"/>
        <rFont val="Arial"/>
        <family val="2"/>
      </rPr>
      <t xml:space="preserve">                    "
05  MOVE "</t>
    </r>
    <r>
      <rPr>
        <sz val="6"/>
        <rFont val="細明體"/>
        <family val="3"/>
        <charset val="136"/>
      </rPr>
      <t>存款人死亡</t>
    </r>
    <r>
      <rPr>
        <sz val="6"/>
        <rFont val="Arial"/>
        <family val="2"/>
      </rPr>
      <t xml:space="preserve">                "
06  MOVE "</t>
    </r>
    <r>
      <rPr>
        <sz val="6"/>
        <rFont val="細明體"/>
        <family val="3"/>
        <charset val="136"/>
      </rPr>
      <t>暫時止付</t>
    </r>
    <r>
      <rPr>
        <sz val="6"/>
        <rFont val="Arial"/>
        <family val="2"/>
      </rPr>
      <t xml:space="preserve">                  "
09  MOVE "</t>
    </r>
    <r>
      <rPr>
        <sz val="6"/>
        <rFont val="細明體"/>
        <family val="3"/>
        <charset val="136"/>
      </rPr>
      <t>假處分</t>
    </r>
    <r>
      <rPr>
        <sz val="6"/>
        <rFont val="Arial"/>
        <family val="2"/>
      </rPr>
      <t xml:space="preserve">                    "
11 MOVE "</t>
    </r>
    <r>
      <rPr>
        <sz val="6"/>
        <rFont val="細明體"/>
        <family val="3"/>
        <charset val="136"/>
      </rPr>
      <t>圈存</t>
    </r>
    <r>
      <rPr>
        <sz val="6"/>
        <rFont val="Arial"/>
        <family val="2"/>
      </rPr>
      <t xml:space="preserve">                      "
12 MOVE "</t>
    </r>
    <r>
      <rPr>
        <sz val="6"/>
        <rFont val="細明體"/>
        <family val="3"/>
        <charset val="136"/>
      </rPr>
      <t>人工圈存</t>
    </r>
    <r>
      <rPr>
        <sz val="6"/>
        <rFont val="Arial"/>
        <family val="2"/>
      </rPr>
      <t xml:space="preserve">                  "
20 MOVE "</t>
    </r>
    <r>
      <rPr>
        <sz val="6"/>
        <rFont val="細明體"/>
        <family val="3"/>
        <charset val="136"/>
      </rPr>
      <t>靜止戶</t>
    </r>
    <r>
      <rPr>
        <sz val="6"/>
        <rFont val="Arial"/>
        <family val="2"/>
      </rPr>
      <t xml:space="preserve">                    "
30 MOVE "</t>
    </r>
    <r>
      <rPr>
        <sz val="6"/>
        <rFont val="細明體"/>
        <family val="3"/>
        <charset val="136"/>
      </rPr>
      <t>其他</t>
    </r>
    <r>
      <rPr>
        <sz val="6"/>
        <rFont val="Arial"/>
        <family val="2"/>
      </rPr>
      <t xml:space="preserve">                      "
31 MOVE "Refer DR including ATM    "
32 MOVE "Variable Narrative        "
33 MOVE "Obatin addr/telephone no  "
34 MOVE "Variable Narrative        "
35 MOVE "KYC INCOMPLETE            "
36 MOVE "CARD PENDING COLLECTION   "
37 MOVE "MISSING AGREEMENT         "
38 MOVE "NO PHB,FX WITH NTD        "
99 MOVE "Variable Narrative        "
OTHER MOVE SPACES</t>
    </r>
  </si>
  <si>
    <t>68description</t>
    <phoneticPr fontId="19" type="noConversion"/>
  </si>
  <si>
    <t>Last Gross Interest</t>
  </si>
  <si>
    <t>Need to calculate</t>
    <phoneticPr fontId="19" type="noConversion"/>
  </si>
  <si>
    <r>
      <t>F</t>
    </r>
    <r>
      <rPr>
        <sz val="8"/>
        <rFont val="Arial"/>
        <family val="2"/>
      </rPr>
      <t>DMSTBM-R
FDMPINT-R</t>
    </r>
  </si>
  <si>
    <t>MSB-INT-6M-FR
MPI-INT-FR</t>
    <phoneticPr fontId="19" type="noConversion"/>
  </si>
  <si>
    <t>69</t>
  </si>
  <si>
    <t xml:space="preserve">Last Tax Amount </t>
  </si>
  <si>
    <t>MSB-TAX-6M-FR
MPI-TAX-FR</t>
    <phoneticPr fontId="19" type="noConversion"/>
  </si>
  <si>
    <t>70</t>
  </si>
  <si>
    <t>Last Gross Interest (NTD)</t>
  </si>
  <si>
    <t>MSB-INT-6M-NT
MPI-INT-TWD</t>
    <phoneticPr fontId="19" type="noConversion"/>
  </si>
  <si>
    <t>71</t>
  </si>
  <si>
    <t>Last Tax Amount (NTD)</t>
  </si>
  <si>
    <t>MSB-TAX-6M-NT
MPI-TAX-TWD</t>
    <phoneticPr fontId="19" type="noConversion"/>
  </si>
  <si>
    <t>72</t>
  </si>
  <si>
    <t xml:space="preserve">Next Gross Interest </t>
  </si>
  <si>
    <t>MSB-INT-12M-FR
MSB-INT-7M-FR
MPI-INT-FR</t>
    <phoneticPr fontId="19" type="noConversion"/>
  </si>
  <si>
    <t>73</t>
  </si>
  <si>
    <t xml:space="preserve">Next Tax Amount </t>
  </si>
  <si>
    <t>MSB-TAX-12M-FR
MSB-TAX-7M-FR
MPI-TAX-FR</t>
    <phoneticPr fontId="19" type="noConversion"/>
  </si>
  <si>
    <t>74</t>
  </si>
  <si>
    <t>Next Gross Interest (NTD)</t>
  </si>
  <si>
    <t>MSB-INT-12M-NT
MSB-INT-7M-NT
MPI-INT-TWD</t>
    <phoneticPr fontId="19" type="noConversion"/>
  </si>
  <si>
    <t>75</t>
  </si>
  <si>
    <t>Next Tax Amount (NTD)</t>
  </si>
  <si>
    <t>MSB-TAX-12M-NT
MSB-TAX-7M-NT
MPI-TAX-TWD</t>
    <phoneticPr fontId="19" type="noConversion"/>
  </si>
  <si>
    <t>76</t>
  </si>
  <si>
    <t>Contact Number</t>
  </si>
  <si>
    <t>X(12)</t>
    <phoneticPr fontId="19" type="noConversion"/>
  </si>
  <si>
    <t xml:space="preserve">IF MST-TELNO NOT = SPACES MOVE MST-TELNO, 
ELSE (IF MSB-BUSINESS-KIND = 50000 OR 60000
           MOVE P-TELENO-HOME(1) ELSE MOVE P-TELENO-COM)  
IF still  = SPACES MOVE P-TELENO-HOME(1)           </t>
    <phoneticPr fontId="19" type="noConversion"/>
  </si>
  <si>
    <r>
      <t>F</t>
    </r>
    <r>
      <rPr>
        <sz val="8"/>
        <rFont val="Arial"/>
        <family val="2"/>
      </rPr>
      <t>DMSTBM-R
PERSON-R</t>
    </r>
  </si>
  <si>
    <t>77, 2392</t>
    <phoneticPr fontId="19" type="noConversion"/>
  </si>
  <si>
    <t>Teller ID (for Last Transaction)</t>
  </si>
  <si>
    <t>9(05)</t>
    <phoneticPr fontId="19" type="noConversion"/>
  </si>
  <si>
    <t>MST-TLRNO</t>
    <phoneticPr fontId="19" type="noConversion"/>
  </si>
  <si>
    <t>78</t>
  </si>
  <si>
    <t>Approving Manager (for Last Transaction)</t>
  </si>
  <si>
    <t>MST-MGRNO</t>
    <phoneticPr fontId="19" type="noConversion"/>
  </si>
  <si>
    <t>79</t>
  </si>
  <si>
    <t>Opened Branch</t>
  </si>
  <si>
    <t>MST-ACC-UNIT</t>
    <phoneticPr fontId="19" type="noConversion"/>
  </si>
  <si>
    <t>80</t>
  </si>
  <si>
    <t>X(05)</t>
    <phoneticPr fontId="19" type="noConversion"/>
  </si>
  <si>
    <t>MSB-VIP-NO</t>
    <phoneticPr fontId="19" type="noConversion"/>
  </si>
  <si>
    <t>81</t>
  </si>
  <si>
    <t>ITA Account No.</t>
  </si>
  <si>
    <t>9(05)+9(09)</t>
    <phoneticPr fontId="19" type="noConversion"/>
  </si>
  <si>
    <t>IF MSB-VIP-NO = "ITA", use MST-CURCD and MST-FNACNO to read ITAMAB to get it.</t>
    <phoneticPr fontId="19" type="noConversion"/>
  </si>
  <si>
    <r>
      <t>I</t>
    </r>
    <r>
      <rPr>
        <sz val="8"/>
        <rFont val="Arial"/>
        <family val="2"/>
      </rPr>
      <t>TAMAB-R</t>
    </r>
  </si>
  <si>
    <t xml:space="preserve">IB-DEPKIND-TWD
IB-ACNO-TWD </t>
    <phoneticPr fontId="19" type="noConversion"/>
  </si>
  <si>
    <t>82</t>
  </si>
  <si>
    <t>E: Either
B: Both</t>
    <phoneticPr fontId="19" type="noConversion"/>
  </si>
  <si>
    <t>MST-JOINT-KIND</t>
    <phoneticPr fontId="19" type="noConversion"/>
  </si>
  <si>
    <t>83, 2267</t>
    <phoneticPr fontId="19" type="noConversion"/>
  </si>
  <si>
    <t>MST-STATIC-STATUS</t>
    <phoneticPr fontId="19" type="noConversion"/>
  </si>
  <si>
    <t>84</t>
  </si>
  <si>
    <t>Dormant / Unclaim Date</t>
  </si>
  <si>
    <t>CCYYMMDD
If date = 0, converted to 99999999</t>
    <phoneticPr fontId="19" type="noConversion"/>
  </si>
  <si>
    <t xml:space="preserve">MST-STATIC-DATE </t>
    <phoneticPr fontId="19" type="noConversion"/>
  </si>
  <si>
    <t>85</t>
  </si>
  <si>
    <t>MST-IDNO</t>
    <phoneticPr fontId="4" type="noConversion"/>
  </si>
  <si>
    <t>P0002</t>
    <phoneticPr fontId="4" type="noConversion"/>
  </si>
  <si>
    <t>P0002</t>
    <phoneticPr fontId="19" type="noConversion"/>
  </si>
  <si>
    <t>MST-DEPKIND OF MST-FACNO</t>
    <phoneticPr fontId="19" type="noConversion"/>
  </si>
  <si>
    <t>TRAILER-RECORD-P0002 REDEFINES                           HEADER-RECORD-P0002</t>
    <phoneticPr fontId="4" type="noConversion"/>
  </si>
  <si>
    <r>
      <t xml:space="preserve">Function ID , </t>
    </r>
    <r>
      <rPr>
        <b/>
        <sz val="8"/>
        <color indexed="10"/>
        <rFont val="Verdana"/>
        <family val="2"/>
      </rPr>
      <t>op</t>
    </r>
  </si>
  <si>
    <t>CEMSQ08</t>
  </si>
  <si>
    <t>Function Description</t>
    <phoneticPr fontId="4" type="noConversion"/>
  </si>
  <si>
    <t>Enquire Account Balances - LCY</t>
  </si>
  <si>
    <t>TagName</t>
    <phoneticPr fontId="4" type="noConversion"/>
  </si>
  <si>
    <t>Description</t>
    <phoneticPr fontId="4" type="noConversion"/>
  </si>
  <si>
    <t>Example / Note</t>
    <phoneticPr fontId="4" type="noConversion"/>
  </si>
  <si>
    <t>Complete Send Message</t>
    <phoneticPr fontId="4" type="noConversion"/>
  </si>
  <si>
    <t>Complete Return Message</t>
    <phoneticPr fontId="4" type="noConversion"/>
  </si>
  <si>
    <t>req</t>
    <phoneticPr fontId="4" type="noConversion"/>
  </si>
  <si>
    <t>Input</t>
    <phoneticPr fontId="4" type="noConversion"/>
  </si>
  <si>
    <t>&lt;?xml version="1.0" encoding="BIG5"?&gt;
&lt;Attunity&gt;
&lt;WS_DEPKIND&gt;2021&lt;/WS_DEPKIND&gt;
&lt;WS_ACNO&gt;14&lt;/WS_ACNO&gt;
&lt;/Attunity&gt;</t>
    <phoneticPr fontId="4" type="noConversion"/>
  </si>
  <si>
    <t>&lt;?xml version='1.0' encoding='BIG5'?&gt;&lt;Attunity&gt;
&lt;CEMSBAL_OUT WR_REPLY_CODE="0" WR_ADVISORY="" WR_AVA_BAL="5963" WR_NEW_BAL="5963" WR_OD_LIMIT="0" WR_OD_DUE="9999999" WR_UNPAYABLE="0" WR_OD_INT_KIND="" WR_OD_INT="0" WR_AMASS="43102" WR_TROUBLE_LIMIT="0" WR_OLD_BAL="5963" WR_LAST_AMASS_YMD="20100804" WR_AVERAGE_BAL="147987.03" WR_TX_SEQ="1" WR_ATM_DR_AMT="0" WR_AMASS_12M="43102" WR_INT_12M="0" WR_AMASS_6M="233448" WR_INT_6M="12" WR_TAX_12M="0" WR_TAX_6M="0" WR_CHANGE_YMD="20100702" WR_SECOND_NEW_BAL="0.00" WR_SECOND_AVERAGE_BAL="0"
WR_OD_REMAIN_BALANCE = "12343"
WR_OD_REMAIN_INT = "122"/&gt;
&lt;/Attunity&gt;</t>
  </si>
  <si>
    <t>WS_DEPKIND</t>
  </si>
  <si>
    <t>The department code and account kind of the full saving account.</t>
    <phoneticPr fontId="4" type="noConversion"/>
  </si>
  <si>
    <t>WS_ACNO</t>
  </si>
  <si>
    <t>The serial number of the full saving account</t>
    <phoneticPr fontId="4" type="noConversion"/>
  </si>
  <si>
    <t>WS_KIND</t>
  </si>
  <si>
    <t>Product Code</t>
  </si>
  <si>
    <t>Output</t>
    <phoneticPr fontId="4" type="noConversion"/>
  </si>
  <si>
    <t>WR_REPLY_CODE</t>
  </si>
  <si>
    <t>00 -- Success
01 -- Fail , Account already closed
23 -- Fail , Input data not exist
99 -- Fail , Other reason</t>
    <phoneticPr fontId="4" type="noConversion"/>
  </si>
  <si>
    <t>WR_ADVISORY</t>
  </si>
  <si>
    <t>Response Description</t>
  </si>
  <si>
    <t>WR_AVA_BAL</t>
  </si>
  <si>
    <t>WR_NEW_BAL</t>
  </si>
  <si>
    <t>Ledger Balance</t>
  </si>
  <si>
    <t>WR_OD_LIMIT</t>
  </si>
  <si>
    <t>Actual Limit</t>
  </si>
  <si>
    <t>WR_OD_DUE</t>
  </si>
  <si>
    <t>Limit Expiry Date</t>
  </si>
  <si>
    <t>WR_UNPAYABLE</t>
  </si>
  <si>
    <t>Float Balance</t>
  </si>
  <si>
    <t>WR_OD_INT_KIND</t>
  </si>
  <si>
    <t>Overdraft Type</t>
  </si>
  <si>
    <t>WR_OD_INT</t>
  </si>
  <si>
    <t>Overdraft Interest Amount</t>
  </si>
  <si>
    <t>WR_AMASS</t>
  </si>
  <si>
    <t>Net Balance</t>
  </si>
  <si>
    <t>WR_TROUBLE_LIMIT</t>
  </si>
  <si>
    <t>WR_OLD_BAL</t>
  </si>
  <si>
    <t>Previous Day Balance</t>
  </si>
  <si>
    <t>WR_LAST_AMASS_YMD</t>
  </si>
  <si>
    <t>Net Balance Date</t>
  </si>
  <si>
    <t>WR_AVERAGE_BAL</t>
  </si>
  <si>
    <t>Average Balance</t>
  </si>
  <si>
    <t>WR_TX_SEQ</t>
  </si>
  <si>
    <t>Transaction Seq No.</t>
  </si>
  <si>
    <t>WR_ATM_DR_AMT</t>
  </si>
  <si>
    <t>Last ATM Transaction Amount</t>
  </si>
  <si>
    <t xml:space="preserve">WR_AMASS_12M  </t>
  </si>
  <si>
    <t>Total Net Balance - 2nd Half of the Year</t>
  </si>
  <si>
    <t xml:space="preserve">WR_AMASS_6M   </t>
  </si>
  <si>
    <t>Total Net Balance - 1st Half of the Year</t>
  </si>
  <si>
    <t xml:space="preserve">WR_INT_12M  </t>
  </si>
  <si>
    <t>Total Interest - 2nd Half of the Year</t>
  </si>
  <si>
    <t xml:space="preserve">WR_INT_6M     </t>
  </si>
  <si>
    <t>Total Interest - 1st Half of the Year</t>
  </si>
  <si>
    <t xml:space="preserve">WR_TAX_12M    </t>
  </si>
  <si>
    <t>Taxable Amount - 2nd Half of the Year</t>
  </si>
  <si>
    <t xml:space="preserve">WR_TAX_6M     </t>
  </si>
  <si>
    <t>Taxable Amount - 1st Half of the Year</t>
  </si>
  <si>
    <t>WR_CHANGE_YMD</t>
  </si>
  <si>
    <t>Last Transaction Date</t>
  </si>
  <si>
    <t>WR_SECOND_NEW_BAL"ty</t>
  </si>
  <si>
    <t>Transfer Account Balance</t>
  </si>
  <si>
    <t>WR_SECOND_AVERAGE_BAL</t>
  </si>
  <si>
    <t>Transfer Account Average Balance</t>
  </si>
  <si>
    <t>WR_OD_REMAIN_BALANCE</t>
  </si>
  <si>
    <t>Remaining Fund</t>
  </si>
  <si>
    <t>WR_OD_REMAIN_INT</t>
  </si>
  <si>
    <t>Interest Earn</t>
  </si>
  <si>
    <t>CEMS_FundHolding</t>
  </si>
  <si>
    <t>Func 6</t>
    <phoneticPr fontId="4" type="noConversion"/>
  </si>
  <si>
    <t>Fund Code</t>
    <phoneticPr fontId="4" type="noConversion"/>
  </si>
  <si>
    <r>
      <t>基金代號</t>
    </r>
    <r>
      <rPr>
        <sz val="8"/>
        <rFont val="Arial"/>
        <family val="2"/>
      </rPr>
      <t>(KEY)</t>
    </r>
  </si>
  <si>
    <t>FundID</t>
    <phoneticPr fontId="4" type="noConversion"/>
  </si>
  <si>
    <t>Fund Name</t>
  </si>
  <si>
    <t>基金名稱</t>
    <phoneticPr fontId="4" type="noConversion"/>
  </si>
  <si>
    <t>FundCName</t>
    <phoneticPr fontId="4" type="noConversion"/>
  </si>
  <si>
    <t>1005</t>
  </si>
  <si>
    <t>X(4)</t>
    <phoneticPr fontId="4" type="noConversion"/>
  </si>
  <si>
    <r>
      <t>幣別</t>
    </r>
    <r>
      <rPr>
        <sz val="8"/>
        <rFont val="Arial"/>
        <family val="2"/>
      </rPr>
      <t>(KEY) refer to MFSCurrency</t>
    </r>
  </si>
  <si>
    <t>1006</t>
  </si>
  <si>
    <t>Original Trust Amount</t>
  </si>
  <si>
    <t>9(15,4)</t>
    <phoneticPr fontId="4" type="noConversion"/>
  </si>
  <si>
    <r>
      <t>原始信託金額</t>
    </r>
    <r>
      <rPr>
        <sz val="8"/>
        <rFont val="Arial"/>
        <family val="2"/>
      </rPr>
      <t>(##############0.####)</t>
    </r>
  </si>
  <si>
    <t>TrustCapital</t>
    <phoneticPr fontId="4" type="noConversion"/>
  </si>
  <si>
    <t>1007</t>
  </si>
  <si>
    <t>Unit</t>
  </si>
  <si>
    <r>
      <t>單位數</t>
    </r>
    <r>
      <rPr>
        <sz val="8"/>
        <rFont val="Arial"/>
        <family val="2"/>
      </rPr>
      <t>(##############0.####)</t>
    </r>
  </si>
  <si>
    <t>Units</t>
    <phoneticPr fontId="4" type="noConversion"/>
  </si>
  <si>
    <t>1008</t>
  </si>
  <si>
    <t>NAV Date</t>
  </si>
  <si>
    <r>
      <t>淨值日</t>
    </r>
    <r>
      <rPr>
        <sz val="8"/>
        <rFont val="Arial"/>
        <family val="2"/>
      </rPr>
      <t>(yyyyMMdd)</t>
    </r>
  </si>
  <si>
    <t>NavDate</t>
    <phoneticPr fontId="4" type="noConversion"/>
  </si>
  <si>
    <t>1009</t>
  </si>
  <si>
    <t>NAV</t>
  </si>
  <si>
    <t>9(10,9)</t>
    <phoneticPr fontId="4" type="noConversion"/>
  </si>
  <si>
    <r>
      <t>淨值</t>
    </r>
    <r>
      <rPr>
        <sz val="8"/>
        <rFont val="Arial"/>
        <family val="2"/>
      </rPr>
      <t>(#########0.#########)</t>
    </r>
  </si>
  <si>
    <t>Nav</t>
    <phoneticPr fontId="4" type="noConversion"/>
  </si>
  <si>
    <t>1010</t>
  </si>
  <si>
    <t>Exchange Rate</t>
  </si>
  <si>
    <r>
      <t>匯率</t>
    </r>
    <r>
      <rPr>
        <sz val="8"/>
        <rFont val="Arial"/>
        <family val="2"/>
      </rPr>
      <t>(##############0.####)</t>
    </r>
  </si>
  <si>
    <t xml:space="preserve">ExRate </t>
    <phoneticPr fontId="4" type="noConversion"/>
  </si>
  <si>
    <t>1011</t>
  </si>
  <si>
    <t>Reference Profit/Loss</t>
  </si>
  <si>
    <r>
      <t>參考損益</t>
    </r>
    <r>
      <rPr>
        <sz val="8"/>
        <color indexed="8"/>
        <rFont val="Calibri"/>
        <family val="2"/>
      </rPr>
      <t>(##############0.####)</t>
    </r>
  </si>
  <si>
    <t xml:space="preserve">ProfitLoss </t>
    <phoneticPr fontId="4" type="noConversion"/>
  </si>
  <si>
    <t>1012</t>
  </si>
  <si>
    <t>Market Value</t>
    <phoneticPr fontId="4" type="noConversion"/>
  </si>
  <si>
    <r>
      <t>市值</t>
    </r>
    <r>
      <rPr>
        <sz val="8"/>
        <color indexed="8"/>
        <rFont val="Calibri"/>
        <family val="2"/>
      </rPr>
      <t>(##############0.####)</t>
    </r>
  </si>
  <si>
    <t>MarketValue</t>
    <phoneticPr fontId="4" type="noConversion"/>
  </si>
  <si>
    <t>999</t>
  </si>
  <si>
    <t>Distribution Amount</t>
  </si>
  <si>
    <r>
      <t>配息金額</t>
    </r>
    <r>
      <rPr>
        <sz val="8"/>
        <rFont val="Arial"/>
        <family val="2"/>
      </rPr>
      <t>(##############0.####)</t>
    </r>
  </si>
  <si>
    <t>DistributionAmount</t>
    <phoneticPr fontId="4" type="noConversion"/>
  </si>
  <si>
    <t>1001</t>
  </si>
  <si>
    <t>Tax Deduction Amount</t>
  </si>
  <si>
    <r>
      <t>扣稅金額</t>
    </r>
    <r>
      <rPr>
        <sz val="8"/>
        <rFont val="Arial"/>
        <family val="2"/>
      </rPr>
      <t>(##############0.####)</t>
    </r>
  </si>
  <si>
    <t>TaxAmount</t>
    <phoneticPr fontId="4" type="noConversion"/>
  </si>
  <si>
    <t>1002</t>
  </si>
  <si>
    <t>Sub Fund Code</t>
    <phoneticPr fontId="4" type="noConversion"/>
  </si>
  <si>
    <t>X(5)</t>
    <phoneticPr fontId="4" type="noConversion"/>
  </si>
  <si>
    <t>子商品代號(預留欄位)</t>
    <phoneticPr fontId="4" type="noConversion"/>
  </si>
  <si>
    <t>SubFundID</t>
    <phoneticPr fontId="4" type="noConversion"/>
  </si>
  <si>
    <t>MFS TO ISIS</t>
    <phoneticPr fontId="4" type="noConversion"/>
  </si>
  <si>
    <t>Reference return rate</t>
    <phoneticPr fontId="4" type="noConversion"/>
  </si>
  <si>
    <t>參考報酬率(##############0.####%)</t>
    <phoneticPr fontId="4" type="noConversion"/>
  </si>
  <si>
    <t>ReturnRate</t>
  </si>
  <si>
    <t>Number of Detail Records</t>
    <phoneticPr fontId="4" type="noConversion"/>
  </si>
  <si>
    <t>file name "Holdings"</t>
  </si>
  <si>
    <t>HEADER-RECORD-Profit</t>
    <phoneticPr fontId="4" type="noConversion"/>
  </si>
  <si>
    <t>DETAIL-RECORD-Profit</t>
    <phoneticPr fontId="4" type="noConversion"/>
  </si>
  <si>
    <t>Profit / Loss</t>
    <phoneticPr fontId="4" type="noConversion"/>
  </si>
  <si>
    <r>
      <t>X</t>
    </r>
    <r>
      <rPr>
        <sz val="8"/>
        <rFont val="Arial"/>
        <family val="2"/>
      </rPr>
      <t>(11)</t>
    </r>
  </si>
  <si>
    <r>
      <t>客戶</t>
    </r>
    <r>
      <rPr>
        <sz val="8"/>
        <rFont val="Arial"/>
        <family val="2"/>
      </rPr>
      <t xml:space="preserve">ID </t>
    </r>
  </si>
  <si>
    <t>CEMS_ProfitLoss</t>
    <phoneticPr fontId="4" type="noConversion"/>
  </si>
  <si>
    <r>
      <t>C</t>
    </r>
    <r>
      <rPr>
        <sz val="8"/>
        <rFont val="Arial"/>
        <family val="2"/>
      </rPr>
      <t>ustomerID</t>
    </r>
  </si>
  <si>
    <t>Transaction Date</t>
  </si>
  <si>
    <t>X(8)</t>
  </si>
  <si>
    <t>交易日(yyyyMMdd)</t>
    <phoneticPr fontId="4" type="noConversion"/>
  </si>
  <si>
    <t>TradeDate</t>
    <phoneticPr fontId="4" type="noConversion"/>
  </si>
  <si>
    <t>1933</t>
  </si>
  <si>
    <t>Trust Account Number</t>
  </si>
  <si>
    <r>
      <t>X</t>
    </r>
    <r>
      <rPr>
        <sz val="8"/>
        <rFont val="Arial"/>
        <family val="2"/>
      </rPr>
      <t>(12)</t>
    </r>
  </si>
  <si>
    <r>
      <t>信托帳號</t>
    </r>
    <r>
      <rPr>
        <sz val="8"/>
        <color indexed="14"/>
        <rFont val="Arial"/>
        <family val="2"/>
      </rPr>
      <t>( KEY)</t>
    </r>
  </si>
  <si>
    <t>TrustAcct</t>
    <phoneticPr fontId="4" type="noConversion"/>
  </si>
  <si>
    <t>1934</t>
  </si>
  <si>
    <t>基金代號</t>
    <phoneticPr fontId="4" type="noConversion"/>
  </si>
  <si>
    <t>Transaction Currency</t>
  </si>
  <si>
    <r>
      <t>投資幣別</t>
    </r>
    <r>
      <rPr>
        <sz val="8"/>
        <color indexed="10"/>
        <rFont val="Arial"/>
        <family val="2"/>
      </rPr>
      <t>refer to MFSCurrency</t>
    </r>
  </si>
  <si>
    <t>CurrencyCode</t>
  </si>
  <si>
    <t>1935</t>
  </si>
  <si>
    <t>Investment Amount</t>
  </si>
  <si>
    <t>9(15,4)</t>
  </si>
  <si>
    <r>
      <t>投資金額</t>
    </r>
    <r>
      <rPr>
        <sz val="8"/>
        <rFont val="Arial"/>
        <family val="2"/>
      </rPr>
      <t>(##############0.####)</t>
    </r>
  </si>
  <si>
    <t>1936</t>
  </si>
  <si>
    <t>Units</t>
  </si>
  <si>
    <t>1937</t>
  </si>
  <si>
    <t>9(10,9)</t>
  </si>
  <si>
    <t>淨值(#########0.#########)</t>
    <phoneticPr fontId="4" type="noConversion"/>
  </si>
  <si>
    <t>Nav</t>
  </si>
  <si>
    <t>1938</t>
  </si>
  <si>
    <t>匯率(##############0.####)</t>
    <phoneticPr fontId="4" type="noConversion"/>
  </si>
  <si>
    <t>ExRate</t>
    <phoneticPr fontId="4" type="noConversion"/>
  </si>
  <si>
    <t>1939</t>
  </si>
  <si>
    <r>
      <t>參考損益</t>
    </r>
    <r>
      <rPr>
        <sz val="8"/>
        <rFont val="Arial"/>
        <family val="2"/>
      </rPr>
      <t>(##############0.####)</t>
    </r>
  </si>
  <si>
    <t>NetValue</t>
    <phoneticPr fontId="4" type="noConversion"/>
  </si>
  <si>
    <t>1940</t>
  </si>
  <si>
    <r>
      <t>配息</t>
    </r>
    <r>
      <rPr>
        <sz val="8"/>
        <rFont val="Arial"/>
        <family val="2"/>
      </rPr>
      <t>(##############0.####)</t>
    </r>
  </si>
  <si>
    <t>Dividend</t>
    <phoneticPr fontId="4" type="noConversion"/>
  </si>
  <si>
    <t>1941</t>
  </si>
  <si>
    <t>Trust Type</t>
  </si>
  <si>
    <t>信託種類</t>
    <phoneticPr fontId="4" type="noConversion"/>
  </si>
  <si>
    <t>TrustType</t>
    <phoneticPr fontId="4" type="noConversion"/>
  </si>
  <si>
    <t>1942, 3219</t>
    <phoneticPr fontId="4" type="noConversion"/>
  </si>
  <si>
    <t>Stop Gain</t>
  </si>
  <si>
    <t>滿足點設定(##############0.####)</t>
    <phoneticPr fontId="4" type="noConversion"/>
  </si>
  <si>
    <t>UpperBound</t>
    <phoneticPr fontId="4" type="noConversion"/>
  </si>
  <si>
    <t>2111</t>
  </si>
  <si>
    <t>Stop Loss</t>
  </si>
  <si>
    <t>停損點設定(##############0.####)</t>
    <phoneticPr fontId="4" type="noConversion"/>
  </si>
  <si>
    <t>LowerBound</t>
    <phoneticPr fontId="4" type="noConversion"/>
  </si>
  <si>
    <t>2112</t>
  </si>
  <si>
    <t>Joint Account Number</t>
    <phoneticPr fontId="4" type="noConversion"/>
  </si>
  <si>
    <t>聯名戶代號</t>
    <phoneticPr fontId="4" type="noConversion"/>
  </si>
  <si>
    <t>JointNo</t>
    <phoneticPr fontId="4" type="noConversion"/>
  </si>
  <si>
    <t>TRAILER-RECORD-Profit</t>
    <phoneticPr fontId="4" type="noConversion"/>
  </si>
  <si>
    <t>file name "Profit"</t>
  </si>
  <si>
    <t>HEADER-RECORD-InvCorp</t>
    <phoneticPr fontId="4" type="noConversion"/>
  </si>
  <si>
    <t>file name "InvCorp"</t>
    <phoneticPr fontId="4" type="noConversion"/>
  </si>
  <si>
    <t>DETAIL-RECORD-InvCorp</t>
    <phoneticPr fontId="4" type="noConversion"/>
  </si>
  <si>
    <t>Fund House Code</t>
    <phoneticPr fontId="4" type="noConversion"/>
  </si>
  <si>
    <t>基金公司代號(Key)</t>
    <phoneticPr fontId="4" type="noConversion"/>
  </si>
  <si>
    <t>CEMS_FundHouse</t>
  </si>
  <si>
    <t>CorpID</t>
  </si>
  <si>
    <t>Func. 1.1.1: Mutual Fund Trust Fee Calculation</t>
    <phoneticPr fontId="4" type="noConversion"/>
  </si>
  <si>
    <t>Fund House Name</t>
    <phoneticPr fontId="4" type="noConversion"/>
  </si>
  <si>
    <t>基金公司名稱</t>
    <phoneticPr fontId="4" type="noConversion"/>
  </si>
  <si>
    <t>CEMS_FundHouse</t>
    <phoneticPr fontId="4" type="noConversion"/>
  </si>
  <si>
    <t>CorpCName</t>
  </si>
  <si>
    <t xml:space="preserve">TRAILER-RECORD-InvCorp </t>
    <phoneticPr fontId="4" type="noConversion"/>
  </si>
  <si>
    <t>HEADER-RECORD-Project</t>
    <phoneticPr fontId="4" type="noConversion"/>
  </si>
  <si>
    <t>file name "Project"</t>
    <phoneticPr fontId="4" type="noConversion"/>
  </si>
  <si>
    <t>DETAIL-RECORD-Project</t>
    <phoneticPr fontId="4" type="noConversion"/>
  </si>
  <si>
    <t>Func. 1.1.1: Mutual Fund Trust Fee Calculation</t>
  </si>
  <si>
    <t>基金代號(key)</t>
    <phoneticPr fontId="4" type="noConversion"/>
  </si>
  <si>
    <t>CEMS_ProjectCode</t>
    <phoneticPr fontId="4" type="noConversion"/>
  </si>
  <si>
    <t>Transaction Channel</t>
    <phoneticPr fontId="4" type="noConversion"/>
  </si>
  <si>
    <t>交易管道(key)
(1= Branch, 2= I-Banking, 3= Phone Banking)</t>
    <phoneticPr fontId="4" type="noConversion"/>
  </si>
  <si>
    <t>TradeType</t>
    <phoneticPr fontId="4" type="noConversion"/>
  </si>
  <si>
    <t>596</t>
  </si>
  <si>
    <t>TrustType</t>
  </si>
  <si>
    <t>信託別(key)
(0=Lump sum,  1=RSP)</t>
    <phoneticPr fontId="4" type="noConversion"/>
  </si>
  <si>
    <t>Trust Type</t>
    <phoneticPr fontId="4" type="noConversion"/>
  </si>
  <si>
    <t>597</t>
  </si>
  <si>
    <t>Project Code</t>
    <phoneticPr fontId="4" type="noConversion"/>
  </si>
  <si>
    <t>專案代號</t>
    <phoneticPr fontId="4" type="noConversion"/>
  </si>
  <si>
    <t>ProjectID</t>
    <phoneticPr fontId="4" type="noConversion"/>
  </si>
  <si>
    <t>595</t>
  </si>
  <si>
    <t>Project Name</t>
    <phoneticPr fontId="4" type="noConversion"/>
  </si>
  <si>
    <t>專案名稱</t>
    <phoneticPr fontId="4" type="noConversion"/>
  </si>
  <si>
    <t>SpecDiscDesc</t>
    <phoneticPr fontId="4" type="noConversion"/>
  </si>
  <si>
    <t>Project Sort Seq</t>
    <phoneticPr fontId="4" type="noConversion"/>
  </si>
  <si>
    <t>9(10)</t>
    <phoneticPr fontId="4" type="noConversion"/>
  </si>
  <si>
    <t>排序順序</t>
    <phoneticPr fontId="4" type="noConversion"/>
  </si>
  <si>
    <t>ProjectSort</t>
    <phoneticPr fontId="4" type="noConversion"/>
  </si>
  <si>
    <t>TRAILER-RECORD-Project</t>
    <phoneticPr fontId="4" type="noConversion"/>
  </si>
  <si>
    <t>HEADER-RECORD-MFSCurrency</t>
    <phoneticPr fontId="4" type="noConversion"/>
  </si>
  <si>
    <t>file name "MFSCurrency"</t>
    <phoneticPr fontId="4" type="noConversion"/>
  </si>
  <si>
    <t>CEMS_Currency</t>
    <phoneticPr fontId="4" type="noConversion"/>
  </si>
  <si>
    <t>X(3)</t>
    <phoneticPr fontId="4" type="noConversion"/>
  </si>
  <si>
    <t>幣別代號(Key)</t>
    <phoneticPr fontId="4" type="noConversion"/>
  </si>
  <si>
    <t>Currency</t>
    <phoneticPr fontId="4" type="noConversion"/>
  </si>
  <si>
    <t>CurrencyDesc</t>
    <phoneticPr fontId="4" type="noConversion"/>
  </si>
  <si>
    <t>System Name is "WEBCIS"</t>
    <phoneticPr fontId="4" type="noConversion"/>
  </si>
  <si>
    <t>file name is "ARMCODE"</t>
    <phoneticPr fontId="4" type="noConversion"/>
  </si>
  <si>
    <t xml:space="preserve">RECORD TYPE </t>
    <phoneticPr fontId="4" type="noConversion"/>
  </si>
  <si>
    <t>Char(1)</t>
    <phoneticPr fontId="4" type="noConversion"/>
  </si>
  <si>
    <t>Will contain character 'D' to indicate Retail Record</t>
    <phoneticPr fontId="4" type="noConversion"/>
  </si>
  <si>
    <t>Tandem_Arm_Code</t>
    <phoneticPr fontId="4" type="noConversion"/>
  </si>
  <si>
    <t>char(10)</t>
    <phoneticPr fontId="4" type="noConversion"/>
  </si>
  <si>
    <t>KEY</t>
    <phoneticPr fontId="4" type="noConversion"/>
  </si>
  <si>
    <t>Web CIS</t>
    <phoneticPr fontId="4" type="noConversion"/>
  </si>
  <si>
    <t>TANDEM_ARM_CODE</t>
  </si>
  <si>
    <t>rtrim(Tandem_Arm_Code)</t>
    <phoneticPr fontId="4" type="noConversion"/>
  </si>
  <si>
    <r>
      <t xml:space="preserve">Web CIS </t>
    </r>
    <r>
      <rPr>
        <sz val="8"/>
        <rFont val="Arial"/>
        <family val="2"/>
      </rPr>
      <t>TO ISIS</t>
    </r>
  </si>
  <si>
    <t>Tandem_Arm_Code_Description</t>
    <phoneticPr fontId="4" type="noConversion"/>
  </si>
  <si>
    <t>varchar(80)</t>
    <phoneticPr fontId="4" type="noConversion"/>
  </si>
  <si>
    <t>rtrim(Tandem_Arm_Code_Description)</t>
    <phoneticPr fontId="4" type="noConversion"/>
  </si>
  <si>
    <t>HEADER-RECORD-CUSTOMER</t>
    <phoneticPr fontId="0" type="noConversion"/>
  </si>
  <si>
    <t>Tandem TO iMFT</t>
  </si>
  <si>
    <t>System Name is "TandemCIS"</t>
    <phoneticPr fontId="0" type="noConversion"/>
  </si>
  <si>
    <t>file name "WMPIMST"</t>
  </si>
  <si>
    <t xml:space="preserve">DETAIL-RECORD-CUSTOMER </t>
    <phoneticPr fontId="0" type="noConversion"/>
  </si>
  <si>
    <t>WMPIMST</t>
  </si>
  <si>
    <t>WMP-IDNO</t>
  </si>
  <si>
    <t>CRA Rating</t>
  </si>
  <si>
    <t>CRA風險等級</t>
  </si>
  <si>
    <t>CONECDD</t>
  </si>
  <si>
    <t>ONE_CRA_RISK_RATING</t>
  </si>
  <si>
    <t>Customer Declaration of CDD</t>
  </si>
  <si>
    <t>客戶聲明(個人戶適用)</t>
  </si>
  <si>
    <t>1-開戶客戶不具備相關美國指標
2-開戶客戶具備美國指標
3-申請人聲明為美國公民
4-申請人聲明持有美國綠卡
5-申請人聲明為美國居民</t>
  </si>
  <si>
    <t>CONTACT</t>
  </si>
  <si>
    <t>CT_FATCA_STATUS_FLAG</t>
  </si>
  <si>
    <t>FATCA Effective Date</t>
  </si>
  <si>
    <t>FATCA有效期限</t>
  </si>
  <si>
    <t>GFATCA</t>
  </si>
  <si>
    <t>GF_DOCUMENT_TYPE_EXPIRY</t>
  </si>
  <si>
    <t>External cross-sell modify date</t>
  </si>
  <si>
    <t>銀行外部共同行銷最近異動日期</t>
  </si>
  <si>
    <t>CUSTDND</t>
  </si>
  <si>
    <t>DND_UPDATE_DATE_OUT</t>
  </si>
  <si>
    <t>External cross-sell agreement (Y/N)</t>
  </si>
  <si>
    <t>銀行外部共同行銷同意(Y/N)</t>
  </si>
  <si>
    <t>CU_SELLING_FLG</t>
  </si>
  <si>
    <t>Internal cross-sell modify date</t>
  </si>
  <si>
    <t>銀行內部銷售最近異動日期</t>
  </si>
  <si>
    <t>DND_UPDATE_DATE_IN</t>
  </si>
  <si>
    <t>Do Not Mail</t>
  </si>
  <si>
    <t>不同意信件行銷</t>
  </si>
  <si>
    <t>DND_IN_MAIL_FLG</t>
  </si>
  <si>
    <t>Do Not SMS</t>
  </si>
  <si>
    <t>不同意簡訊行銷</t>
  </si>
  <si>
    <t>DND_IN_SMS_FLG</t>
  </si>
  <si>
    <t>Do Not Email</t>
  </si>
  <si>
    <t>不同意EMAIL行銷</t>
  </si>
  <si>
    <t>DND_IN_EMAIL_FLG</t>
  </si>
  <si>
    <t>Do Not Call</t>
  </si>
  <si>
    <t>不同意電話行銷</t>
  </si>
  <si>
    <t>DND_IN_PHOME_FLG</t>
  </si>
  <si>
    <t>Do Not Disturb - All</t>
  </si>
  <si>
    <t>銀行內部銷售-全部不同意(含:電話 EMAIL 簡訊 信件)</t>
  </si>
  <si>
    <t>N' for below fields:
DND_IN_PHOME_FLG
DND_IN_EMAIL_FLG
DND_IN_SMS_FLG
DND_IN_MAIL_FLG</t>
  </si>
  <si>
    <t>Product knowledge and inventment experience: Options  or leverage trading account</t>
  </si>
  <si>
    <t>商品知識或投資經驗：選擇權或槓桿交易帳戶</t>
  </si>
  <si>
    <t>1.無商品知識也無投資經驗; 對商品風險識別能力低  
2.無商品知識;但有投資經驗 對商品風險識別能力適中  
3.有商品知識;但無投資經驗 對商品風險識別能力適中  
4.有商品知識;且有投資經驗 對商品風險識別能力較高</t>
  </si>
  <si>
    <t>WMP_K_E_OPTIONS</t>
  </si>
  <si>
    <t>Product knowledge and inventment experience: Stock</t>
  </si>
  <si>
    <t>商品知識或投資經驗：股票</t>
  </si>
  <si>
    <t>WMP_K_E_EQUITIES</t>
  </si>
  <si>
    <t>Product knowledge and inventment experience: MF or UT</t>
  </si>
  <si>
    <t>商品知識或投資經驗：共同基金或單位信託基金</t>
  </si>
  <si>
    <t>WMP_K_E_MF</t>
  </si>
  <si>
    <t>Product knowledge and inventment experience: Fixed Income (e.g. Bond)</t>
  </si>
  <si>
    <t>商品知識或投資經驗：固定收益型商品(例: 債券)</t>
  </si>
  <si>
    <t>WMP_K_E_FIXINCOME</t>
  </si>
  <si>
    <t>Product knowledge and inventment experience: Derivatives(including non principal-guaranted notes)</t>
  </si>
  <si>
    <t>商品知識或投資經驗：衍生性金融商品(含不保本型結構型商品)</t>
  </si>
  <si>
    <t>WMP_K_E_FP_NPP</t>
  </si>
  <si>
    <t>Product knowledge and inventment experience: Derivatives(including principal-guaranted notes)</t>
  </si>
  <si>
    <t>商品知識或投資經驗：衍生性金融商品(含保本型結構型商品)</t>
  </si>
  <si>
    <t>WMP_K_E_FP_PP</t>
  </si>
  <si>
    <t>Product knowledge and inventment experience: FX</t>
  </si>
  <si>
    <t>商品知識或投資經驗：外匯</t>
  </si>
  <si>
    <t>WMP_K_E_FX</t>
  </si>
  <si>
    <t>Catastrophic illness</t>
  </si>
  <si>
    <t>重大傷病</t>
  </si>
  <si>
    <t>WMP_SEVERE_ILLNESS</t>
  </si>
  <si>
    <t>Low education(including junior high school and below)</t>
  </si>
  <si>
    <t>低學歷(國中(含)以下</t>
  </si>
  <si>
    <t xml:space="preserve"> IF WMP_LOW_EDUCATION = 1 then 'Y' else 'N'</t>
  </si>
  <si>
    <t>WMP_LOW_EDUCATION</t>
  </si>
  <si>
    <t>Highest education level code</t>
  </si>
  <si>
    <t>X(50)</t>
  </si>
  <si>
    <t xml:space="preserve">最高教育程度 
</t>
  </si>
  <si>
    <t>Highest education level description</t>
  </si>
  <si>
    <t xml:space="preserve">最高教育程度說明
</t>
  </si>
  <si>
    <t xml:space="preserve">1.國中(含)以下  2.高中(職)  3.大專(含)以上 </t>
  </si>
  <si>
    <t>Structured product selling</t>
  </si>
  <si>
    <t>結構型商品推介</t>
  </si>
  <si>
    <t xml:space="preserve">" "未申請, 'Y' - 已同意 , 'N' - 已終止推介, 'V' - 推介已失效  </t>
  </si>
  <si>
    <t>WMPIMST2</t>
  </si>
  <si>
    <t xml:space="preserve">WM2_PCI_FLG </t>
  </si>
  <si>
    <t>Trust selling</t>
  </si>
  <si>
    <t>信託推介</t>
  </si>
  <si>
    <t>WMPIMST1</t>
  </si>
  <si>
    <t>WM1_TRUST_FLG</t>
  </si>
  <si>
    <t>Document expiration date</t>
  </si>
  <si>
    <t>文件到期日</t>
  </si>
  <si>
    <t>WMP_EXPIRY_DATE</t>
  </si>
  <si>
    <t>Document application date(YYYYMMDD)</t>
  </si>
  <si>
    <t>文件簽訂日期(YYYYMMDD)</t>
  </si>
  <si>
    <t>WMP_SIGNATURE_DATE</t>
  </si>
  <si>
    <t>One time Professional investor transaction qualification approval date</t>
  </si>
  <si>
    <t>一次性PI交易資格審核日期(YYYYMMDD)</t>
  </si>
  <si>
    <t>WMP_ONE_TIME_DATE</t>
  </si>
  <si>
    <t>Professional investor qualification document</t>
  </si>
  <si>
    <t>專業投資人資格文件</t>
  </si>
  <si>
    <t>WMP_DOCUMENT_TYPE</t>
  </si>
  <si>
    <t>CIP Creation Date</t>
  </si>
  <si>
    <t>CIP/BIP承作日期</t>
  </si>
  <si>
    <t>WMP_VALID_DATE</t>
  </si>
  <si>
    <t>CIP Rating</t>
  </si>
  <si>
    <t>客戶投資適合度風險等級(CRR)</t>
  </si>
  <si>
    <t>WMP_CRR</t>
  </si>
  <si>
    <t xml:space="preserve">Risk Code </t>
  </si>
  <si>
    <t>CUSTDRR</t>
  </si>
  <si>
    <t xml:space="preserve">CD_RISKS_REASON_CDD </t>
  </si>
  <si>
    <t>Risk Description in Chinese</t>
  </si>
  <si>
    <t>X(100)</t>
  </si>
  <si>
    <t>客戶高風險等級決定原因種類(中文)</t>
  </si>
  <si>
    <t>CDDDRR</t>
  </si>
  <si>
    <t xml:space="preserve">DR_REASON_E </t>
  </si>
  <si>
    <t>Risk Description in English</t>
  </si>
  <si>
    <t>X(120)</t>
  </si>
  <si>
    <t>客戶高風險等級決定原因種類(英文)</t>
  </si>
  <si>
    <t>DR_REASON_C</t>
  </si>
  <si>
    <t>Record Action</t>
  </si>
  <si>
    <t>Action</t>
  </si>
  <si>
    <t>I:insert / U:update / D:delete</t>
  </si>
  <si>
    <t>TRAILER-RECORD-CUSTOMER</t>
    <phoneticPr fontId="0" type="noConversion"/>
  </si>
  <si>
    <t>HEADER-RECORD-SAVEBOX</t>
    <phoneticPr fontId="4" type="noConversion"/>
  </si>
  <si>
    <t>Every Column and Line has Hex-04 To Separa</t>
    <phoneticPr fontId="16" type="noConversion"/>
  </si>
  <si>
    <t>System Name is "TandemCASA"</t>
    <phoneticPr fontId="4" type="noConversion"/>
  </si>
  <si>
    <t>file name "PRODLST"</t>
    <phoneticPr fontId="4" type="noConversion"/>
  </si>
  <si>
    <t>DETAIL-RECORD-WEOUTAGR</t>
    <phoneticPr fontId="4" type="noConversion"/>
  </si>
  <si>
    <t>Product ID</t>
    <phoneticPr fontId="4" type="noConversion"/>
  </si>
  <si>
    <t>X(06)</t>
    <phoneticPr fontId="4" type="noConversion"/>
  </si>
  <si>
    <t>Primary Key</t>
    <phoneticPr fontId="4" type="noConversion"/>
  </si>
  <si>
    <t>PRODLST</t>
    <phoneticPr fontId="4" type="noConversion"/>
  </si>
  <si>
    <t>AC-PRODUCT-ID</t>
  </si>
  <si>
    <t>1426</t>
    <phoneticPr fontId="4" type="noConversion"/>
  </si>
  <si>
    <t>Product Kind</t>
    <phoneticPr fontId="4" type="noConversion"/>
  </si>
  <si>
    <t>PRODLST</t>
  </si>
  <si>
    <t>AC-PRODUCT-KIND</t>
  </si>
  <si>
    <t>TRAILER-RECORD-WEOUTAGR REDEFINES                           HEADER-RECORD-WEOUTAGR</t>
    <phoneticPr fontId="4" type="noConversion"/>
  </si>
  <si>
    <t>System Name is "B2C"</t>
  </si>
  <si>
    <t>file name "IBMBLOGIN"</t>
  </si>
  <si>
    <t>客戶ID</t>
  </si>
  <si>
    <t>MB/IB</t>
  </si>
  <si>
    <t>System</t>
  </si>
  <si>
    <t>IB/MB</t>
  </si>
  <si>
    <t>IB: internate Banking
MB: Mobile Banking</t>
  </si>
  <si>
    <t>Mobile Banking/Internate banking latest login time</t>
  </si>
  <si>
    <t>timestamp</t>
  </si>
  <si>
    <t>MB / MB最近登入日期</t>
  </si>
  <si>
    <t>file name "CUSTOREL"</t>
  </si>
  <si>
    <t>file name is "COUNTRYCODE"</t>
    <phoneticPr fontId="4" type="noConversion"/>
  </si>
  <si>
    <t>GROUP</t>
    <phoneticPr fontId="4" type="noConversion"/>
  </si>
  <si>
    <t>Swift_code</t>
    <phoneticPr fontId="4" type="noConversion"/>
  </si>
  <si>
    <t>char(2)</t>
    <phoneticPr fontId="4" type="noConversion"/>
  </si>
  <si>
    <t>Country_Risk</t>
    <phoneticPr fontId="4" type="noConversion"/>
  </si>
  <si>
    <t>Risk_Level</t>
    <phoneticPr fontId="4" type="noConversion"/>
  </si>
  <si>
    <t>char(1)</t>
    <phoneticPr fontId="4" type="noConversion"/>
  </si>
  <si>
    <t>Value is "H" "L" "M"</t>
    <phoneticPr fontId="4" type="noConversion"/>
  </si>
  <si>
    <t>isnull(Risk_Level,'')</t>
  </si>
  <si>
    <t>country_E_name</t>
    <phoneticPr fontId="4" type="noConversion"/>
  </si>
  <si>
    <t>varchar(50)</t>
    <phoneticPr fontId="4" type="noConversion"/>
  </si>
  <si>
    <t>rtrim(Isnull(country_E_name,''))</t>
  </si>
  <si>
    <t>country_C_name</t>
    <phoneticPr fontId="4" type="noConversion"/>
  </si>
  <si>
    <t>nvarchar(100)</t>
    <phoneticPr fontId="4" type="noConversion"/>
  </si>
  <si>
    <t xml:space="preserve">rtrim(Isnull(country_C_name,'')) </t>
  </si>
  <si>
    <t xml:space="preserve">TRAILER-RECORD-CUSTOMER </t>
    <phoneticPr fontId="4" type="noConversion"/>
  </si>
  <si>
    <t>T-RECORD-COUNT-CEMS2</t>
    <phoneticPr fontId="4" type="noConversion"/>
  </si>
  <si>
    <t>9(09)</t>
    <phoneticPr fontId="4" type="noConversion"/>
  </si>
  <si>
    <t>Number of  Records</t>
    <phoneticPr fontId="4" type="noConversion"/>
  </si>
  <si>
    <t>file name is "JOBKIND"</t>
    <phoneticPr fontId="4" type="noConversion"/>
  </si>
  <si>
    <t>JOB_CODE</t>
    <phoneticPr fontId="4" type="noConversion"/>
  </si>
  <si>
    <t>int</t>
    <phoneticPr fontId="4" type="noConversion"/>
  </si>
  <si>
    <t>SCB_JOB_KIND</t>
  </si>
  <si>
    <t>HOGAN</t>
    <phoneticPr fontId="4" type="noConversion"/>
  </si>
  <si>
    <t>RISK_CATEGORY</t>
  </si>
  <si>
    <t>nvarchar(255)</t>
    <phoneticPr fontId="4" type="noConversion"/>
  </si>
  <si>
    <t>value is "H" , "L", "M"</t>
    <phoneticPr fontId="4" type="noConversion"/>
  </si>
  <si>
    <t>JOB_DESCR</t>
  </si>
  <si>
    <t>JOB_NAME</t>
  </si>
  <si>
    <t>HEADER-RECORD-CMDEPM</t>
    <phoneticPr fontId="4" type="noConversion"/>
  </si>
  <si>
    <t>Every Column and Line has Hex-04 To Separa</t>
    <phoneticPr fontId="11" type="noConversion"/>
  </si>
  <si>
    <t>System Name : "TandemFX"</t>
    <phoneticPr fontId="4" type="noConversion"/>
  </si>
  <si>
    <t>file name "CMDEPM"</t>
    <phoneticPr fontId="4" type="noConversion"/>
  </si>
  <si>
    <t>DETAIL-RECORD-CMDEPM</t>
    <phoneticPr fontId="4" type="noConversion"/>
  </si>
  <si>
    <t>Branch Code</t>
    <phoneticPr fontId="4" type="noConversion"/>
  </si>
  <si>
    <t>key</t>
    <phoneticPr fontId="11" type="noConversion"/>
  </si>
  <si>
    <t>Tandem</t>
    <phoneticPr fontId="11" type="noConversion"/>
  </si>
  <si>
    <t>CMDEPM</t>
    <phoneticPr fontId="11" type="noConversion"/>
  </si>
  <si>
    <t>DEP-CODE</t>
  </si>
  <si>
    <t>FX SCREEN</t>
  </si>
  <si>
    <t>Branch kind</t>
    <phoneticPr fontId="4" type="noConversion"/>
  </si>
  <si>
    <r>
      <t>A</t>
    </r>
    <r>
      <rPr>
        <b/>
        <sz val="8"/>
        <rFont val="細明體"/>
        <family val="3"/>
        <charset val="136"/>
      </rPr>
      <t>：甲種分行　</t>
    </r>
    <r>
      <rPr>
        <b/>
        <sz val="8"/>
        <rFont val="Arial"/>
        <family val="2"/>
      </rPr>
      <t>B</t>
    </r>
    <r>
      <rPr>
        <b/>
        <sz val="8"/>
        <rFont val="細明體"/>
        <family val="3"/>
        <charset val="136"/>
      </rPr>
      <t>：乙種分行　</t>
    </r>
    <r>
      <rPr>
        <b/>
        <sz val="8"/>
        <rFont val="Arial"/>
        <family val="2"/>
      </rPr>
      <t>C</t>
    </r>
    <r>
      <rPr>
        <b/>
        <sz val="8"/>
        <rFont val="細明體"/>
        <family val="3"/>
        <charset val="136"/>
      </rPr>
      <t>：</t>
    </r>
    <r>
      <rPr>
        <b/>
        <sz val="8"/>
        <rFont val="Arial"/>
        <family val="2"/>
      </rPr>
      <t>OBU</t>
    </r>
    <r>
      <rPr>
        <b/>
        <sz val="8"/>
        <rFont val="細明體"/>
        <family val="3"/>
        <charset val="136"/>
      </rPr>
      <t>　</t>
    </r>
    <r>
      <rPr>
        <b/>
        <sz val="8"/>
        <rFont val="Arial"/>
        <family val="2"/>
      </rPr>
      <t>D</t>
    </r>
    <r>
      <rPr>
        <b/>
        <sz val="8"/>
        <rFont val="細明體"/>
        <family val="3"/>
        <charset val="136"/>
      </rPr>
      <t>：其他</t>
    </r>
    <r>
      <rPr>
        <b/>
        <sz val="8"/>
        <rFont val="Arial"/>
        <family val="2"/>
      </rPr>
      <t xml:space="preserve"> </t>
    </r>
  </si>
  <si>
    <t>DEP-PTY</t>
  </si>
  <si>
    <r>
      <t>B</t>
    </r>
    <r>
      <rPr>
        <sz val="8"/>
        <rFont val="Arial"/>
        <family val="2"/>
      </rPr>
      <t>ranch Name in Chinese</t>
    </r>
  </si>
  <si>
    <t>X(35)</t>
    <phoneticPr fontId="4" type="noConversion"/>
  </si>
  <si>
    <t>DEP-NAME-C</t>
  </si>
  <si>
    <r>
      <t>B</t>
    </r>
    <r>
      <rPr>
        <sz val="8"/>
        <rFont val="Arial"/>
        <family val="2"/>
      </rPr>
      <t>ranch Name in English</t>
    </r>
  </si>
  <si>
    <r>
      <t>B</t>
    </r>
    <r>
      <rPr>
        <sz val="8"/>
        <rFont val="Arial"/>
        <family val="2"/>
      </rPr>
      <t>RANCH NAME-ENGLISH</t>
    </r>
  </si>
  <si>
    <t>DEP-NAME-E</t>
  </si>
  <si>
    <r>
      <t>B</t>
    </r>
    <r>
      <rPr>
        <sz val="8"/>
        <rFont val="Arial"/>
        <family val="2"/>
      </rPr>
      <t xml:space="preserve">ranch </t>
    </r>
    <r>
      <rPr>
        <sz val="8"/>
        <rFont val="Arial"/>
        <family val="2"/>
      </rPr>
      <t>A</t>
    </r>
    <r>
      <rPr>
        <sz val="8"/>
        <rFont val="Arial"/>
        <family val="2"/>
      </rPr>
      <t>ddress in English</t>
    </r>
  </si>
  <si>
    <t>X(225)</t>
  </si>
  <si>
    <t>Branch Address in Chinese
7/29 USER要求送中文地址</t>
  </si>
  <si>
    <t>DEP-ADSS-E2</t>
  </si>
  <si>
    <t xml:space="preserve">Branch location    </t>
    <phoneticPr fontId="4" type="noConversion"/>
  </si>
  <si>
    <r>
      <t>A</t>
    </r>
    <r>
      <rPr>
        <sz val="8"/>
        <rFont val="細明體"/>
        <family val="3"/>
        <charset val="136"/>
      </rPr>
      <t>：竹市</t>
    </r>
    <r>
      <rPr>
        <sz val="8"/>
        <rFont val="Arial"/>
        <family val="2"/>
      </rPr>
      <t xml:space="preserve"> B</t>
    </r>
    <r>
      <rPr>
        <sz val="8"/>
        <rFont val="細明體"/>
        <family val="3"/>
        <charset val="136"/>
      </rPr>
      <t>：竹縣</t>
    </r>
    <r>
      <rPr>
        <sz val="8"/>
        <rFont val="Arial"/>
        <family val="2"/>
      </rPr>
      <t xml:space="preserve"> C</t>
    </r>
    <r>
      <rPr>
        <sz val="8"/>
        <rFont val="細明體"/>
        <family val="3"/>
        <charset val="136"/>
      </rPr>
      <t>：桃園</t>
    </r>
    <r>
      <rPr>
        <sz val="8"/>
        <rFont val="Arial"/>
        <family val="2"/>
      </rPr>
      <t xml:space="preserve"> D</t>
    </r>
    <r>
      <rPr>
        <sz val="8"/>
        <rFont val="細明體"/>
        <family val="3"/>
        <charset val="136"/>
      </rPr>
      <t>：中壢</t>
    </r>
    <r>
      <rPr>
        <sz val="8"/>
        <rFont val="Arial"/>
        <family val="2"/>
      </rPr>
      <t xml:space="preserve"> E</t>
    </r>
    <r>
      <rPr>
        <sz val="8"/>
        <rFont val="細明體"/>
        <family val="3"/>
        <charset val="136"/>
      </rPr>
      <t>：苗栗</t>
    </r>
    <r>
      <rPr>
        <sz val="8"/>
        <rFont val="Arial"/>
        <family val="2"/>
      </rPr>
      <t xml:space="preserve"> F</t>
    </r>
    <r>
      <rPr>
        <sz val="8"/>
        <rFont val="細明體"/>
        <family val="3"/>
        <charset val="136"/>
      </rPr>
      <t>：台北</t>
    </r>
    <r>
      <rPr>
        <sz val="8"/>
        <rFont val="Arial"/>
        <family val="2"/>
      </rPr>
      <t xml:space="preserve"> G</t>
    </r>
    <r>
      <rPr>
        <sz val="8"/>
        <rFont val="細明體"/>
        <family val="3"/>
        <charset val="136"/>
      </rPr>
      <t>：台中</t>
    </r>
    <r>
      <rPr>
        <sz val="8"/>
        <rFont val="Arial"/>
        <family val="2"/>
      </rPr>
      <t xml:space="preserve"> X</t>
    </r>
    <r>
      <rPr>
        <sz val="8"/>
        <rFont val="細明體"/>
        <family val="3"/>
        <charset val="136"/>
      </rPr>
      <t>：其它</t>
    </r>
  </si>
  <si>
    <t xml:space="preserve">DEP-AREA      </t>
  </si>
  <si>
    <t>TRAILER-RECORD-CMDEPM</t>
    <phoneticPr fontId="4" type="noConversion"/>
  </si>
  <si>
    <r>
      <t xml:space="preserve">Number of </t>
    </r>
    <r>
      <rPr>
        <sz val="8"/>
        <rFont val="Arial"/>
        <family val="2"/>
      </rPr>
      <t xml:space="preserve">Detail </t>
    </r>
    <r>
      <rPr>
        <sz val="8"/>
        <rFont val="Arial"/>
        <family val="2"/>
      </rPr>
      <t>Records</t>
    </r>
  </si>
  <si>
    <t>Customer Profile</t>
  </si>
  <si>
    <t>CEMS_CustomerProfile</t>
  </si>
  <si>
    <t>Interface name</t>
  </si>
  <si>
    <r>
      <rPr>
        <b/>
        <sz val="8"/>
        <color indexed="9"/>
        <rFont val="Verdana"/>
        <family val="2"/>
      </rPr>
      <t>Input/output</t>
    </r>
  </si>
  <si>
    <r>
      <rPr>
        <b/>
        <sz val="8"/>
        <color rgb="FFFFFFFF"/>
        <rFont val="細明體"/>
        <family val="2"/>
      </rPr>
      <t>Sequence</t>
    </r>
  </si>
  <si>
    <r>
      <rPr>
        <b/>
        <sz val="8"/>
        <color indexed="9"/>
        <rFont val="Verdana"/>
        <family val="2"/>
      </rPr>
      <t>data tag name</t>
    </r>
  </si>
  <si>
    <r>
      <rPr>
        <b/>
        <sz val="8"/>
        <color indexed="9"/>
        <rFont val="Verdana"/>
        <family val="2"/>
      </rPr>
      <t>data type</t>
    </r>
  </si>
  <si>
    <r>
      <rPr>
        <b/>
        <sz val="8"/>
        <color indexed="9"/>
        <rFont val="Verdana"/>
        <family val="2"/>
      </rPr>
      <t>length</t>
    </r>
  </si>
  <si>
    <r>
      <rPr>
        <b/>
        <sz val="8"/>
        <color indexed="9"/>
        <rFont val="Verdana"/>
        <family val="2"/>
      </rPr>
      <t>tag Description</t>
    </r>
  </si>
  <si>
    <t>sample value</t>
  </si>
  <si>
    <t>reference table</t>
  </si>
  <si>
    <t>reference field</t>
  </si>
  <si>
    <r>
      <rPr>
        <b/>
        <sz val="8"/>
        <color indexed="9"/>
        <rFont val="Verdana"/>
        <family val="2"/>
      </rPr>
      <t>remark</t>
    </r>
  </si>
  <si>
    <t>ASKACNT</t>
  </si>
  <si>
    <t>output</t>
  </si>
  <si>
    <t>WS-REPLY-CODE</t>
  </si>
  <si>
    <r>
      <rPr>
        <sz val="8"/>
        <color rgb="FF000000"/>
        <rFont val="Verdana"/>
        <family val="2"/>
      </rPr>
      <t>integer</t>
    </r>
  </si>
  <si>
    <t xml:space="preserve">reply-code </t>
  </si>
  <si>
    <t>99</t>
  </si>
  <si>
    <t>00:執行成功
98:該ID/帳號沒有台幣活存帳號
99:執行失敗</t>
  </si>
  <si>
    <t>back to interface list</t>
  </si>
  <si>
    <t>WS-ADVISORY</t>
  </si>
  <si>
    <t>var char</t>
  </si>
  <si>
    <t>error-advisory</t>
  </si>
  <si>
    <t>電文 WS-ITEM 錯誤，請確認!</t>
  </si>
  <si>
    <t>input</t>
  </si>
  <si>
    <t>WS-ITEM</t>
  </si>
  <si>
    <t>function code.
A:Enquiry by ID
B:Enquiry by account
功能選項 
A:用ID查詢台幣活存所有帳號資料
B:用帳號查詢單一台幣活存帳號</t>
  </si>
  <si>
    <t>A</t>
  </si>
  <si>
    <t>WS-CONTINUE</t>
  </si>
  <si>
    <t xml:space="preserve">function code.
Y:There are still other accounts available
N:No other account available
適用 WS-ITEM = A 時
Y:還有帳號待查詢、N:沒有資料帳號待查詢 </t>
  </si>
  <si>
    <t>Only avalible when WS-ITEM = "A"</t>
  </si>
  <si>
    <t>WS-ACNT-C</t>
  </si>
  <si>
    <t>LCY demand deposit account to be queried</t>
  </si>
  <si>
    <t>0001620000123456</t>
  </si>
  <si>
    <t>Only avalible when WS-ITEM = "B"</t>
  </si>
  <si>
    <t>WS-IDNO</t>
  </si>
  <si>
    <t>customer ID to be queried for LCY demand deposit account</t>
  </si>
  <si>
    <t>U221272275</t>
  </si>
  <si>
    <t>WS-ACNT</t>
  </si>
  <si>
    <t>LCY demand deposit account</t>
  </si>
  <si>
    <t>MASTERB</t>
  </si>
  <si>
    <t>M-DEPKIND + M-ACNO</t>
  </si>
  <si>
    <t>OCCURS 10 TIMES</t>
  </si>
  <si>
    <t>WS-CHANGE-YMD</t>
  </si>
  <si>
    <t>Last transaction date
最後交易日</t>
  </si>
  <si>
    <t>1121023</t>
  </si>
  <si>
    <t>WS-TROUBLE</t>
  </si>
  <si>
    <t>One of the hold code
其中之一個事故代碼，通常是最後一個設定的，或代表最嚴重的代碼</t>
  </si>
  <si>
    <t>20</t>
  </si>
  <si>
    <t>M-TROUBLE</t>
  </si>
  <si>
    <t>WS-SECURITY-FLG</t>
  </si>
  <si>
    <t>數位記號</t>
  </si>
  <si>
    <t>1</t>
  </si>
  <si>
    <t xml:space="preserve">M-SECURITY-FLG </t>
  </si>
  <si>
    <t>WS-SECURITY-KIND</t>
  </si>
  <si>
    <t>數位驗證方式</t>
  </si>
  <si>
    <t>M-SECURITY-KIND</t>
  </si>
  <si>
    <t>WS-CANCEL</t>
  </si>
  <si>
    <t xml:space="preserve">D:結清、空白:未結清、T:已整批結清但客戶尚未提領 </t>
  </si>
  <si>
    <t>D</t>
  </si>
  <si>
    <t>WS-STATIC</t>
  </si>
  <si>
    <t>Y:久未交易、N:非久未交易</t>
  </si>
  <si>
    <t xml:space="preserve">M-STATIC       </t>
  </si>
  <si>
    <t>WS-BAL</t>
  </si>
  <si>
    <t>餘額</t>
  </si>
  <si>
    <t>100.00</t>
  </si>
  <si>
    <t xml:space="preserve">M-BAL    </t>
  </si>
  <si>
    <t>WS-UNPAYABLE</t>
  </si>
  <si>
    <t>0.00</t>
  </si>
  <si>
    <t xml:space="preserve">M-UNPAYABLE    </t>
  </si>
  <si>
    <t>WS-TROUBLE-LIMIT</t>
  </si>
  <si>
    <t>事故設定金額</t>
  </si>
  <si>
    <t>0</t>
  </si>
  <si>
    <t>M-TROUBLE-LIMIT</t>
  </si>
  <si>
    <t>WS-OD-LIMIT</t>
  </si>
  <si>
    <t>透支額度</t>
  </si>
  <si>
    <t xml:space="preserve">M-OD-LIMIT     </t>
  </si>
  <si>
    <t>WS-OD-DUE</t>
  </si>
  <si>
    <t>透支到期日</t>
  </si>
  <si>
    <t xml:space="preserve">M-OD-DUE       </t>
  </si>
  <si>
    <t>WS-PRODUCT</t>
  </si>
  <si>
    <t>產品</t>
  </si>
  <si>
    <t>BS</t>
  </si>
  <si>
    <t>MASTERBB</t>
  </si>
  <si>
    <t xml:space="preserve">MB-PRODUCT      </t>
  </si>
  <si>
    <t>WS-OPEN-YMD</t>
  </si>
  <si>
    <t>開戶日</t>
  </si>
  <si>
    <t>1121001</t>
  </si>
  <si>
    <t xml:space="preserve">MB-OPEN-YMD     </t>
  </si>
  <si>
    <t>WS-SECRET-MARK</t>
  </si>
  <si>
    <t>秘密戶記號</t>
  </si>
  <si>
    <t xml:space="preserve">MB-SECRET-MARK  </t>
  </si>
  <si>
    <t>WS-STATIC-O</t>
  </si>
  <si>
    <t xml:space="preserve">space : normal account
Y : Static account for long time account which is stored in other table, not master table
Y : 舊靜止戶、空白 : 非舊靜止戶 </t>
  </si>
  <si>
    <t>WS-SALARY</t>
  </si>
  <si>
    <t>薪轉戶記號 : A、B、C</t>
  </si>
  <si>
    <t xml:space="preserve">MB-SALARY  </t>
  </si>
  <si>
    <t>WS-SANAME</t>
  </si>
  <si>
    <t>薪轉公司碼</t>
  </si>
  <si>
    <t>118AA</t>
  </si>
  <si>
    <t>SAACNT</t>
  </si>
  <si>
    <t>WS-KIND</t>
  </si>
  <si>
    <t>A : 綜存帳號(含ALMA)、空白 : 非綜存帳號</t>
  </si>
  <si>
    <t>WS-PERMAS</t>
  </si>
  <si>
    <t>若為 28、54科目的話，
Q : 離職、空白 : 在職</t>
  </si>
  <si>
    <t>Q</t>
  </si>
  <si>
    <t>MB-PERMAS</t>
  </si>
  <si>
    <t>1. Only available when the account is employee account
2. OCCURS 10 TIMES</t>
  </si>
  <si>
    <t>WS-GOVERNMENT</t>
  </si>
  <si>
    <t>E:公教職員、W:公教工友、空白 : 非公教戶</t>
  </si>
  <si>
    <t>E</t>
  </si>
  <si>
    <t>MB-GOVERNMENT</t>
  </si>
  <si>
    <t>WS-JOINT</t>
  </si>
  <si>
    <t>B : 夫妻聯名戶之貳式憑貳式
E : 夫妻聯名戶之貳式憑壹式
J : 一般聯名戶
空白 : 非聯名戶</t>
  </si>
  <si>
    <t>J</t>
  </si>
  <si>
    <t>M-KIND
M-ZERO</t>
  </si>
  <si>
    <r>
      <rPr>
        <sz val="11"/>
        <color theme="0"/>
        <rFont val="Calibri"/>
        <family val="2"/>
      </rPr>
      <t>Interface name</t>
    </r>
  </si>
  <si>
    <r>
      <rPr>
        <sz val="11"/>
        <color theme="0"/>
        <rFont val="Calibri"/>
        <family val="2"/>
      </rPr>
      <t>Input/output</t>
    </r>
  </si>
  <si>
    <r>
      <rPr>
        <sz val="11"/>
        <color theme="0"/>
        <rFont val="Calibri"/>
        <family val="2"/>
      </rPr>
      <t>Sequence</t>
    </r>
  </si>
  <si>
    <r>
      <rPr>
        <sz val="11"/>
        <color theme="0"/>
        <rFont val="Calibri"/>
        <family val="2"/>
      </rPr>
      <t>data tag name</t>
    </r>
  </si>
  <si>
    <r>
      <rPr>
        <sz val="11"/>
        <color theme="0"/>
        <rFont val="Calibri"/>
        <family val="2"/>
      </rPr>
      <t>data type</t>
    </r>
  </si>
  <si>
    <r>
      <rPr>
        <sz val="11"/>
        <color theme="0"/>
        <rFont val="Calibri"/>
        <family val="2"/>
      </rPr>
      <t>length</t>
    </r>
  </si>
  <si>
    <r>
      <rPr>
        <sz val="11"/>
        <color theme="0"/>
        <rFont val="Calibri"/>
        <family val="2"/>
      </rPr>
      <t>tag Description</t>
    </r>
  </si>
  <si>
    <r>
      <rPr>
        <sz val="11"/>
        <color theme="0"/>
        <rFont val="Calibri"/>
        <family val="2"/>
      </rPr>
      <t>remark</t>
    </r>
  </si>
  <si>
    <t>SFMF6002</t>
  </si>
  <si>
    <t>Input</t>
  </si>
  <si>
    <t>WS-CU-IDNO</t>
  </si>
  <si>
    <t>Varchar</t>
  </si>
  <si>
    <t>ID no.</t>
  </si>
  <si>
    <t>WS-CU-IDNO-JOIN-1</t>
  </si>
  <si>
    <t>WS-CU-IDNO-JOIN-2</t>
  </si>
  <si>
    <t>WS-CU-IDNO-JOIN-3</t>
  </si>
  <si>
    <t>WR-REPLY-CODE</t>
  </si>
  <si>
    <t>Number</t>
  </si>
  <si>
    <t>reply code</t>
  </si>
  <si>
    <t>WR-ADVISORY</t>
  </si>
  <si>
    <t>reply message</t>
  </si>
  <si>
    <t>FCY-END-FACNO</t>
  </si>
  <si>
    <t>the last record internal use index key.</t>
  </si>
  <si>
    <t>S</t>
  </si>
  <si>
    <t>Output</t>
  </si>
  <si>
    <t>FCY-ACCOUNT [occurs 100 times]</t>
  </si>
  <si>
    <t>14</t>
  </si>
  <si>
    <t>Account number for FCY account</t>
  </si>
  <si>
    <t>FCY-ACCOUNT-STATUS [occurs 100 times]</t>
  </si>
  <si>
    <t>Status of FCY account</t>
  </si>
  <si>
    <t>FCY-ACCOUNT-ALLOW-DEBIT [occurs 100 times]</t>
  </si>
  <si>
    <t>Account can be debited or not</t>
  </si>
  <si>
    <t>FCY-ACCOUNT-CURRENCY [occurs 100 times]</t>
  </si>
  <si>
    <t>Currency Code</t>
  </si>
  <si>
    <t>FCY-CURRENT-BALANCE [occurs 100 times]</t>
  </si>
  <si>
    <t>FCY account current balance.</t>
  </si>
  <si>
    <t>FCY-AVAILABLE-BALANCE [occurs 100 times]</t>
  </si>
  <si>
    <t>FCY account avaliable balance</t>
  </si>
  <si>
    <t>FCY-TRADE-FF-AMT [occurs 100 times]</t>
  </si>
  <si>
    <t>FCY TRADE FF AMOUNT</t>
  </si>
  <si>
    <t>FCY-NONTRADE-FF-AMT [occurs 100 times]</t>
  </si>
  <si>
    <t>FF NONTRADE FF AMOUNT</t>
  </si>
  <si>
    <t>data tag name</t>
  </si>
  <si>
    <t>data type</t>
  </si>
  <si>
    <t>length</t>
  </si>
  <si>
    <t>tag Description</t>
  </si>
  <si>
    <t>CEMP0002</t>
  </si>
  <si>
    <t>WS-FNACNO</t>
  </si>
  <si>
    <t>FCY saving deposit account number</t>
  </si>
  <si>
    <t>WS-PRODUCT-CODE</t>
  </si>
  <si>
    <t>WS-CURRENCY-CODE</t>
  </si>
  <si>
    <t>Valid values:SA</t>
  </si>
  <si>
    <t xml:space="preserve">Response Code
(00:Success 23:No data 01:Accout closed 99:other reason) </t>
  </si>
  <si>
    <t xml:space="preserve">Response Description
(00 = Query successfully, not 00 = Query Description) </t>
  </si>
  <si>
    <t>WR-LAST-1MON-AVG</t>
  </si>
  <si>
    <t xml:space="preserve">Monthly Average Ledger Balance </t>
  </si>
  <si>
    <t>WR-LAST-3MON-AVG</t>
  </si>
  <si>
    <t>Quarterly Average Ledger Balance</t>
  </si>
  <si>
    <t>WR-LAST-6MON-AVG</t>
  </si>
  <si>
    <t xml:space="preserve">Halfyearly Average Ledger Balance </t>
  </si>
  <si>
    <t>WR-LAST-1YEAR-AVG</t>
  </si>
  <si>
    <t>Yearly Average Ledger Balance</t>
  </si>
  <si>
    <t>WR-LAST-9MON-AVG</t>
  </si>
  <si>
    <t>Last 9 Months Average Balance</t>
  </si>
  <si>
    <t>WR-LAST-2YEAR-AVG</t>
  </si>
  <si>
    <t>Last 2 Years Average Balance</t>
  </si>
  <si>
    <t>WR-CURRENT-BALANCE</t>
  </si>
  <si>
    <t>WR-AVAILABLE-BALANCE</t>
  </si>
  <si>
    <t xml:space="preserve">Available Balance </t>
  </si>
  <si>
    <t>CEMT0001</t>
  </si>
  <si>
    <t>WS-FACNO</t>
  </si>
  <si>
    <t>TD account number</t>
  </si>
  <si>
    <t>WS-PRD-COD</t>
  </si>
  <si>
    <t>NA, no logner to use</t>
  </si>
  <si>
    <t>Valid values:TD, PCI</t>
  </si>
  <si>
    <t>WS-T0004-END-YMD</t>
  </si>
  <si>
    <t>Rollover processing date</t>
  </si>
  <si>
    <t>WS-T0004-END-TRNKEY</t>
  </si>
  <si>
    <t>GL trnkey</t>
  </si>
  <si>
    <t>WR-FACNO</t>
  </si>
  <si>
    <t>Reply TD account number</t>
  </si>
  <si>
    <t>WR-TRO-TR-MARK</t>
  </si>
  <si>
    <t>Rollover Type (Y:YES N:NO)</t>
  </si>
  <si>
    <t>WR-T0003-OVER-INT</t>
  </si>
  <si>
    <t>Accrued Interest(Interest Payable)</t>
  </si>
  <si>
    <t>WR-TIM-BAL</t>
  </si>
  <si>
    <t>WR-ALLINT-FR</t>
  </si>
  <si>
    <t>Interest Paid for Curr. Year 
Format is S9(11)V9(02)</t>
  </si>
  <si>
    <t>WR-ALLTAX-FR</t>
  </si>
  <si>
    <t>Tax Deducted for Curr. Year</t>
  </si>
  <si>
    <t>WR-CAN-RATE</t>
  </si>
  <si>
    <t>Closing Exchange Rate</t>
  </si>
  <si>
    <t>WR-ALLINT-L</t>
  </si>
  <si>
    <t>Interest Paid for Curr. Year (TWD) 
Format is S9(11)V9(02)</t>
  </si>
  <si>
    <t>WR-ALLTAX-L</t>
  </si>
  <si>
    <t>Tax Deducted for Curr. Year (TWD)</t>
  </si>
  <si>
    <t>WR-REAL-PINT-TOTAMT</t>
  </si>
  <si>
    <t xml:space="preserve">Monthly Interest Paid </t>
  </si>
  <si>
    <t>WR-TR-KIND</t>
  </si>
  <si>
    <t>Auto renew kind</t>
  </si>
  <si>
    <t>WR-TR-KIND-DESC</t>
  </si>
  <si>
    <t>Auto renew kind description</t>
  </si>
  <si>
    <t>WR-CS-AMT</t>
  </si>
  <si>
    <t>Received cash spread amount</t>
  </si>
  <si>
    <t>WR-TROUBLE</t>
  </si>
  <si>
    <t>WR-TROUBLE-DESC</t>
  </si>
  <si>
    <t>Hold Code Description</t>
  </si>
  <si>
    <t>WR-TRO-AMT</t>
  </si>
  <si>
    <t>WR-T0003-NEWBAL</t>
  </si>
  <si>
    <t>Closed Account Balance</t>
  </si>
  <si>
    <t>WR-T0003-LAST-INT</t>
  </si>
  <si>
    <t>Unpaid Interest</t>
  </si>
  <si>
    <t>WR-T0003-INT-AMT-FR</t>
  </si>
  <si>
    <t>Current Interest Amount</t>
  </si>
  <si>
    <t>WR-T0003-INT-TAX-FR</t>
  </si>
  <si>
    <t>Tax Deducted</t>
  </si>
  <si>
    <t>WR-T0003-NET-INT-FR</t>
  </si>
  <si>
    <t>Net Interest Payable</t>
  </si>
  <si>
    <t>WR-T0003-STAMP-TAX-FR</t>
  </si>
  <si>
    <t xml:space="preserve">Stamp Duty Charges </t>
  </si>
  <si>
    <t>WR-T0003-UNSTAMP-NET-AMT-FR</t>
  </si>
  <si>
    <t>Available Balance (without Stamp Duty)</t>
  </si>
  <si>
    <t>WR-T0003-STAMP-NET-AMT-FR</t>
  </si>
  <si>
    <t>Available Balance (with Stamp Duty)</t>
  </si>
  <si>
    <t>WR-T0004-SYMD [occurs 25 times]</t>
  </si>
  <si>
    <t>WR-T0004-EYMD [occurs 25 times]</t>
  </si>
  <si>
    <t>Maturity Date -Auto Transfer details</t>
  </si>
  <si>
    <t>WR-T0004-NEWBAL [occurs 25 times]</t>
  </si>
  <si>
    <t xml:space="preserve">Available Balance-Auto Transfer details </t>
  </si>
  <si>
    <t>WR-T0004-RATE-YMD [occurs 25 times]</t>
  </si>
  <si>
    <t>New Int. Rate Base Date</t>
  </si>
  <si>
    <t>WR-T0004-NEW-RATE [occurs 25 times]</t>
  </si>
  <si>
    <t>New Int. Rate, the format is S9(04)V9(08).</t>
  </si>
  <si>
    <t>WR-T0004-FR-RATE [occurs 25 times]</t>
  </si>
  <si>
    <t>Exchange Rate, the format is S9(05)V9(06).</t>
  </si>
  <si>
    <t>WR-T0004-OLD-ALLINT-FR [occurs 25 times]</t>
  </si>
  <si>
    <t>Interest Paid, the format is S9(11)V9(02).</t>
  </si>
  <si>
    <t>WR-T0004-OLD-ALLTAX-FR [occurs 25 times]</t>
  </si>
  <si>
    <t>Tax Amount-Auto Transfer, the format is S9(11)V9(02).</t>
  </si>
  <si>
    <t>WR-T0004-OLD-ALLINT-L [occurs 25 times]</t>
  </si>
  <si>
    <t>Interest Paid (TWD), the format is S9(11)V9(02).</t>
  </si>
  <si>
    <t>WR-T0004-OLD-ALLTAX-L [occurs 25 times]</t>
  </si>
  <si>
    <t>Interest Payment Type, the format is S9(11)V9(02).</t>
  </si>
  <si>
    <t>WR-TAX [occurs 25 times]</t>
  </si>
  <si>
    <t>PCI Tax Amount, the format is S9(11).</t>
  </si>
  <si>
    <t>WR-CUR-INT [occurs 25 times]</t>
  </si>
  <si>
    <t xml:space="preserve">PCI Net Income (Base CCY) </t>
  </si>
  <si>
    <t>WR-CUR-INT-ALT [occurs 25 times]</t>
  </si>
  <si>
    <t>PCI Net Income (Alternate CCY)</t>
  </si>
  <si>
    <t>WR-RATE [occurs 25 times]</t>
  </si>
  <si>
    <t>PCI Tax Rate</t>
  </si>
  <si>
    <t>WR-FIRST-RAT [occurs 25 times]</t>
  </si>
  <si>
    <t>PCI Tax Exchange Rate (TWD)</t>
  </si>
  <si>
    <r>
      <rPr>
        <b/>
        <sz val="8"/>
        <color indexed="9"/>
        <rFont val="Verdana"/>
        <family val="2"/>
      </rPr>
      <t>Interface name</t>
    </r>
  </si>
  <si>
    <t>Sequence</t>
  </si>
  <si>
    <t>CEMSIMTD</t>
  </si>
  <si>
    <t>WR-DEPKIND</t>
  </si>
  <si>
    <t>tinyint</t>
  </si>
  <si>
    <t>The department code and account kind of the TIME DEPOSIT account
欲查詢的定存帳號前五碼</t>
  </si>
  <si>
    <t>11841</t>
  </si>
  <si>
    <t>WR-DEPKIND + WR-ACNO = complete time account number</t>
  </si>
  <si>
    <t>WR-ACNO</t>
  </si>
  <si>
    <t>The serial number of the TIME DEPOSIT account
欲查詢的定存帳號後九碼</t>
  </si>
  <si>
    <t>000012348</t>
  </si>
  <si>
    <r>
      <rPr>
        <sz val="8"/>
        <color rgb="FF000000"/>
        <rFont val="Verdana"/>
        <family val="2"/>
      </rPr>
      <t>output</t>
    </r>
  </si>
  <si>
    <t>A number to represent the tansaction complete or not.
0 :  Tansaction completed
&lt;&gt;0 : Tansaction failed</t>
  </si>
  <si>
    <t>23</t>
  </si>
  <si>
    <t>the description of transaction result
交易訊息</t>
  </si>
  <si>
    <t>無此帳號</t>
  </si>
  <si>
    <t>WR-TRDEPKIND</t>
  </si>
  <si>
    <t>If the account renewed, it is the new time deposit account, otherwise it is the designated saving account to cedit the principal and interest for time deposit.
The department code and account kind of the local saving account
如果定存帳號已展期, 那就是展期後的定存帳號, 不然的話, 就是到期後要入帳的活存帳號(前5碼)</t>
  </si>
  <si>
    <t>11820</t>
  </si>
  <si>
    <t>IMDPT</t>
  </si>
  <si>
    <t>IMD-DEPKIND</t>
  </si>
  <si>
    <t>WR-TRDEPKIND + WR-TRACNO = complete time account number</t>
  </si>
  <si>
    <t>STIMDP</t>
  </si>
  <si>
    <t>WR-TRACNO</t>
  </si>
  <si>
    <t>If the account renewed, it is the new time deposit account, otherwise it is the designated saving account to cedit the principal and interest for time deposit.
The department code and account kind of the local saving account
如果定存帳號已展期, 那就是展期後的定存帳號, 不然的話, 就是到期後要入帳的活存帳號(後9碼)</t>
  </si>
  <si>
    <t>000179102</t>
  </si>
  <si>
    <t>IMD-ACNO</t>
  </si>
  <si>
    <t xml:space="preserve">IMD-ACNO </t>
  </si>
  <si>
    <t>WR-INAMT</t>
  </si>
  <si>
    <t xml:space="preserve">numeric </t>
  </si>
  <si>
    <t>11,2</t>
  </si>
  <si>
    <t>time deposit principal
定存本金</t>
  </si>
  <si>
    <t>1000000.00</t>
  </si>
  <si>
    <t xml:space="preserve">IMD-INAMT </t>
  </si>
  <si>
    <t>WR-DUEDAT</t>
  </si>
  <si>
    <t>time deposit due date  ( YYYYMMDD )
定存到期日</t>
  </si>
  <si>
    <t>20110420</t>
  </si>
  <si>
    <t>WR-SPECFLG</t>
  </si>
  <si>
    <t>Maturity Instruction
&lt;&gt;' ': automatic renew
' ' : no automatic renew
續存記號    非空白:自動續存, 空白 : 不自動續存</t>
  </si>
  <si>
    <t>WR-REN-INT</t>
  </si>
  <si>
    <t>Maturity interest Instruction
Blank-not automatic renew
T-interest transfer to specified account.
A-remain to principle.
展期利息指示       T:利息到期入活存     A:利息到期滾入定存本金      空白:不自動續存</t>
  </si>
  <si>
    <t>T</t>
  </si>
  <si>
    <t>WR-TUNDAY</t>
  </si>
  <si>
    <t>auto renew/interest payment day(DD)
自轉日期</t>
  </si>
  <si>
    <t>This is for system used only</t>
  </si>
  <si>
    <t>WR-EVTNO</t>
  </si>
  <si>
    <t>Hold code tagged on this account
事故設定代碼</t>
  </si>
  <si>
    <t>15</t>
  </si>
  <si>
    <t>IMENT</t>
  </si>
  <si>
    <t>IME-EVTNO</t>
  </si>
  <si>
    <t>OCCURS 8 TIMES</t>
  </si>
  <si>
    <t>WR-EVTNO-NAME</t>
  </si>
  <si>
    <t>the chinese description of the hold code
事故設定代碼中文說明</t>
  </si>
  <si>
    <t>補發存單</t>
  </si>
  <si>
    <t>IMENTTXR</t>
  </si>
  <si>
    <t xml:space="preserve">IER-NAME </t>
  </si>
  <si>
    <t>WR-INTDAY</t>
  </si>
  <si>
    <t>interest expected payment date ( YYYYMMDD )
預計付息日</t>
  </si>
  <si>
    <t>20110320</t>
  </si>
  <si>
    <t>IMINT</t>
  </si>
  <si>
    <t>IMI-INTDAY</t>
  </si>
  <si>
    <t>OCCURS 60 TIMES</t>
  </si>
  <si>
    <t>WR-INTAMT</t>
  </si>
  <si>
    <t>8,2</t>
  </si>
  <si>
    <t>Interest Payable Amount.
應付利息</t>
  </si>
  <si>
    <t>30.00</t>
  </si>
  <si>
    <t>IMI-INTAMT</t>
  </si>
  <si>
    <t>WR-PAYDAY</t>
  </si>
  <si>
    <t>interest actual payment date ( YYYYMMDD )
實際付息日</t>
  </si>
  <si>
    <t>IMI-PAYDAY</t>
  </si>
  <si>
    <t>WR-TAXAMT</t>
  </si>
  <si>
    <t>tax amount
扣稅額</t>
  </si>
  <si>
    <t>6</t>
  </si>
  <si>
    <t>IMI-TAXAMT</t>
  </si>
  <si>
    <t>WR-SEQNO</t>
  </si>
  <si>
    <t>useless field</t>
  </si>
  <si>
    <t>IMI-SEQNO</t>
  </si>
  <si>
    <t>WR-ORDDAY</t>
  </si>
  <si>
    <t>零存定存約定存入日期 ( YYYYMMDD )</t>
  </si>
  <si>
    <t>IMCLB</t>
  </si>
  <si>
    <t>IMC-ORDDAY</t>
  </si>
  <si>
    <t>WR-ACTDAY</t>
  </si>
  <si>
    <t>零存定存實際存入日期 ( YYYYMMDD )</t>
  </si>
  <si>
    <t>20110322</t>
  </si>
  <si>
    <t>IMC-ACTDAY</t>
  </si>
  <si>
    <t>WR-DELAYDAY</t>
  </si>
  <si>
    <t>零存定存實際存入日期與零存定存約定存入日期的遲延天數</t>
  </si>
  <si>
    <t>2</t>
  </si>
  <si>
    <t>IMC-DELAYDAY</t>
  </si>
  <si>
    <r>
      <rPr>
        <b/>
        <sz val="8"/>
        <color indexed="9"/>
        <rFont val="Calibri"/>
        <family val="2"/>
      </rPr>
      <t>Interface name</t>
    </r>
  </si>
  <si>
    <t>Input/output</t>
  </si>
  <si>
    <r>
      <rPr>
        <b/>
        <sz val="8"/>
        <color indexed="9"/>
        <rFont val="Calibri"/>
        <family val="2"/>
      </rPr>
      <t>Sequence</t>
    </r>
  </si>
  <si>
    <r>
      <rPr>
        <b/>
        <sz val="8"/>
        <color indexed="9"/>
        <rFont val="Calibri"/>
        <family val="2"/>
      </rPr>
      <t>data tag name</t>
    </r>
  </si>
  <si>
    <r>
      <rPr>
        <b/>
        <sz val="8"/>
        <color indexed="9"/>
        <rFont val="Calibri"/>
        <family val="2"/>
      </rPr>
      <t>data type</t>
    </r>
  </si>
  <si>
    <r>
      <rPr>
        <b/>
        <sz val="8"/>
        <color indexed="9"/>
        <rFont val="Calibri"/>
        <family val="2"/>
      </rPr>
      <t>length</t>
    </r>
  </si>
  <si>
    <r>
      <rPr>
        <b/>
        <sz val="8"/>
        <color indexed="9"/>
        <rFont val="Calibri"/>
        <family val="2"/>
      </rPr>
      <t>tag Description</t>
    </r>
  </si>
  <si>
    <r>
      <rPr>
        <b/>
        <sz val="8"/>
        <color indexed="9"/>
        <rFont val="Calibri"/>
        <family val="2"/>
      </rPr>
      <t>remark</t>
    </r>
  </si>
  <si>
    <t>CEMSBAL</t>
  </si>
  <si>
    <t>WS-DEPKIND</t>
  </si>
  <si>
    <t>integer</t>
  </si>
  <si>
    <t>The department code and account kind of demand/checking deposit account
活存/支存帳號前五碼</t>
  </si>
  <si>
    <t>WS-DEPKIND + WS-ACNO = complete account number</t>
  </si>
  <si>
    <t>WS-ACNO</t>
  </si>
  <si>
    <t>The serial number of demand/checking deposit account
活存/支存帳號後九碼</t>
  </si>
  <si>
    <t>12348</t>
  </si>
  <si>
    <t>A number to represent the tansaction complete or not.
0 :  Tansaction completed
99 : Tansaction failed</t>
  </si>
  <si>
    <t>帳號錯誤</t>
  </si>
  <si>
    <t>WR-AVA-BAL</t>
  </si>
  <si>
    <t>可用餘額(帳戶餘額 - 不可抵用金額 - 事故設定金額)</t>
  </si>
  <si>
    <t>1000.00</t>
  </si>
  <si>
    <t>MASTERC</t>
  </si>
  <si>
    <t>WR-NEW-BAL</t>
  </si>
  <si>
    <t>帳戶餘額</t>
  </si>
  <si>
    <t>100000.00</t>
  </si>
  <si>
    <t>WR-OD-LIMIT</t>
  </si>
  <si>
    <t>500000</t>
  </si>
  <si>
    <t>WR-OD-DUE</t>
  </si>
  <si>
    <t>透支額度到期日(YYYYMMDD)</t>
  </si>
  <si>
    <t>29109999</t>
  </si>
  <si>
    <t>WR-UNPAYABLE</t>
  </si>
  <si>
    <t>500.00</t>
  </si>
  <si>
    <t>WR-OD-INT-KIND</t>
  </si>
  <si>
    <t>透支計息方式</t>
  </si>
  <si>
    <t>機動</t>
  </si>
  <si>
    <t>ODBATCH</t>
  </si>
  <si>
    <t>WR-OD-INT</t>
  </si>
  <si>
    <t>透支利息</t>
  </si>
  <si>
    <t>12</t>
  </si>
  <si>
    <t>WR-OD-AMASS</t>
  </si>
  <si>
    <t>透支積數</t>
  </si>
  <si>
    <t>5519</t>
  </si>
  <si>
    <t>WR-AMASS</t>
  </si>
  <si>
    <t>當期積數</t>
  </si>
  <si>
    <t>4019</t>
  </si>
  <si>
    <t>MB-AMASS</t>
  </si>
  <si>
    <t>MASTERCB</t>
  </si>
  <si>
    <t>WR-TROUBLE-LIMIT</t>
  </si>
  <si>
    <t>30000</t>
  </si>
  <si>
    <t>WR-OLD-BAL</t>
  </si>
  <si>
    <t>昨日最後餘額</t>
  </si>
  <si>
    <t>WR-LAST-AMASS-YMD</t>
  </si>
  <si>
    <t>最後積數日(YYYYMMDD)</t>
  </si>
  <si>
    <t>20210517</t>
  </si>
  <si>
    <t>WR-AVERAGE-BAL</t>
  </si>
  <si>
    <t>當年度平均餘額</t>
  </si>
  <si>
    <t>40000</t>
  </si>
  <si>
    <t>MB-AMASS-12M</t>
  </si>
  <si>
    <t>MB-AMASS-DAYS</t>
  </si>
  <si>
    <t>WR-TX-SEQ</t>
  </si>
  <si>
    <t>交易流水號</t>
  </si>
  <si>
    <t>5</t>
  </si>
  <si>
    <t>WR-ATM-DR-AMT</t>
  </si>
  <si>
    <t>15:30後交易金額(掛隔日帳)</t>
  </si>
  <si>
    <t>60000</t>
  </si>
  <si>
    <t>WR-AMASS-12M</t>
  </si>
  <si>
    <t>下半年積數加總</t>
  </si>
  <si>
    <t>800000</t>
  </si>
  <si>
    <t>WR-INT-12M</t>
  </si>
  <si>
    <t>下半年付息金額加總</t>
  </si>
  <si>
    <t>500</t>
  </si>
  <si>
    <t>WR-AMASS-6M</t>
  </si>
  <si>
    <t>上半年積數加總</t>
  </si>
  <si>
    <t>MB-AMASS-6M</t>
  </si>
  <si>
    <t>WR-INT-6M</t>
  </si>
  <si>
    <t>上半年付息金額加總</t>
  </si>
  <si>
    <t>330</t>
  </si>
  <si>
    <t>WR-TAX-12M</t>
  </si>
  <si>
    <t>下半年扣稅金額加總</t>
  </si>
  <si>
    <t>WR-TAX-6M</t>
  </si>
  <si>
    <t>上半年扣稅金額加總</t>
  </si>
  <si>
    <t>WR-CHANGE-YMD</t>
  </si>
  <si>
    <t>最後異動日 (YYYYMMDD)</t>
  </si>
  <si>
    <t>經過運算</t>
  </si>
  <si>
    <t>WR-SECOND-NEW-BAL</t>
  </si>
  <si>
    <t>此欄位僅支存帳號適用
支存約定活存帳戶之帳戶餘額</t>
  </si>
  <si>
    <t>13500.00</t>
  </si>
  <si>
    <t>WR-SECOND-AVERAGE-BAL</t>
  </si>
  <si>
    <t>此欄位僅支存帳號適用
支存約定活存帳戶之當年度平均餘額</t>
  </si>
  <si>
    <t>WR-FFREE-CNT</t>
  </si>
  <si>
    <t>國內交易提款轉帳優惠可用優惠次數</t>
  </si>
  <si>
    <t>30</t>
  </si>
  <si>
    <t>FFREE</t>
  </si>
  <si>
    <t>WR-FFREE-USE</t>
  </si>
  <si>
    <t>國內交易提款轉帳優惠已用優惠次數</t>
  </si>
  <si>
    <t>WR-OD-REMAIN-BALANCE</t>
  </si>
  <si>
    <t>帳戶餘額 + 透支額度 (WR-NEW-BAL  + WR-OD-LIMIT)</t>
  </si>
  <si>
    <t>600000</t>
  </si>
  <si>
    <t>WR-OD-REMAIN-INT</t>
  </si>
  <si>
    <t>待收取透支利息</t>
  </si>
  <si>
    <t>11</t>
  </si>
  <si>
    <t xml:space="preserve">O-OD-INT </t>
  </si>
  <si>
    <t>JMRAT</t>
  </si>
  <si>
    <t>JMR-RATE-B</t>
  </si>
  <si>
    <t>CEMSARR</t>
  </si>
  <si>
    <t>放款-單位科目</t>
  </si>
  <si>
    <t>放款-帳號</t>
  </si>
  <si>
    <t>REPLY-CODE</t>
  </si>
  <si>
    <t>回應碼</t>
  </si>
  <si>
    <t>TERM-ID</t>
  </si>
  <si>
    <t>訊息欄</t>
  </si>
  <si>
    <t>WS-RAMT</t>
  </si>
  <si>
    <t>尚欠本金  S9(10) 含+-號</t>
  </si>
  <si>
    <t>WS-LAMT</t>
  </si>
  <si>
    <t>訂約金額  S9(10) 含+-號</t>
  </si>
  <si>
    <t>WS-CLDAT</t>
  </si>
  <si>
    <t>貸放日（西元年月日）</t>
  </si>
  <si>
    <t>WS-ACM-INT</t>
  </si>
  <si>
    <t>應收利息  S9(10) 含+-號</t>
  </si>
  <si>
    <t>WS-ACM-LAMT</t>
  </si>
  <si>
    <t>應收本金  S9(10) 含+-號</t>
  </si>
  <si>
    <t>WS-ACM-SURPLUS</t>
  </si>
  <si>
    <t>客戶溢繳款  S9(10) 含+-號</t>
  </si>
  <si>
    <t>WS-RAMT-2</t>
  </si>
  <si>
    <t>WS-GUO-SEQ</t>
  </si>
  <si>
    <t>額度序號</t>
  </si>
  <si>
    <t>WS-LAMT-2</t>
  </si>
  <si>
    <t>WS-EIDAT</t>
  </si>
  <si>
    <t>繳息截止日（西元年月日）</t>
  </si>
  <si>
    <t>WS-FRATE</t>
  </si>
  <si>
    <t>利率 S9(2)V9(06) 含+-號</t>
  </si>
  <si>
    <t>WS-MAMT</t>
  </si>
  <si>
    <t>約定償還金額 S9(10) 含+-號</t>
  </si>
  <si>
    <t>WS-FRATE-2</t>
  </si>
  <si>
    <t>WS-ACM-LATE-CHARGE</t>
  </si>
  <si>
    <t>應收違約金  S9(10) 含+-號</t>
  </si>
  <si>
    <t>WS-ACM-FEE</t>
  </si>
  <si>
    <t>應收手續費  S9(10) 含+-號</t>
  </si>
  <si>
    <t>WS-ACM-INSURANCE</t>
  </si>
  <si>
    <t>應收保費  S9(10) 含+-號</t>
  </si>
  <si>
    <t>WS-ARR-TOTAL</t>
  </si>
  <si>
    <t>應收款項合計數  S9(10) 含+-號</t>
  </si>
  <si>
    <t>WS-MOA-IAMT</t>
  </si>
  <si>
    <t xml:space="preserve">MOA利息  9(10) </t>
  </si>
  <si>
    <t>WS-ODDDAYS-INT</t>
  </si>
  <si>
    <t>零星天數利息 S9(10) 含+-號</t>
  </si>
  <si>
    <t>WS-Maintenance-Fee</t>
  </si>
  <si>
    <t>帳戶管理費  S9(10) 含+-號</t>
  </si>
  <si>
    <t>WS-AGING-CODE</t>
  </si>
  <si>
    <t>AGE CODE</t>
  </si>
  <si>
    <t>Field Source( Tandem, GGS, CIS, MFS, B2C...as like System name)</t>
    <phoneticPr fontId="3" type="noConversion"/>
  </si>
  <si>
    <t>Field Table Name( Field from which Table)</t>
    <phoneticPr fontId="3" type="noConversion"/>
  </si>
  <si>
    <t>Field Name</t>
    <phoneticPr fontId="3" type="noConversion"/>
  </si>
  <si>
    <t>CEMS screen mapping fields no</t>
    <phoneticPr fontId="3" type="noConversion"/>
  </si>
  <si>
    <t>HEADER-RECORD</t>
    <phoneticPr fontId="3" type="noConversion"/>
  </si>
  <si>
    <t>Source System Name</t>
    <phoneticPr fontId="3" type="noConversion"/>
  </si>
  <si>
    <t>X(15)</t>
    <phoneticPr fontId="3" type="noConversion"/>
  </si>
  <si>
    <t>System Name is "TandemLoan"</t>
    <phoneticPr fontId="3" type="noConversion"/>
  </si>
  <si>
    <t>Country Code</t>
    <phoneticPr fontId="3" type="noConversion"/>
  </si>
  <si>
    <t>X(10)</t>
    <phoneticPr fontId="3" type="noConversion"/>
  </si>
  <si>
    <t>Coutry Code is "TW"</t>
    <phoneticPr fontId="3" type="noConversion"/>
  </si>
  <si>
    <t>Effective Date</t>
    <phoneticPr fontId="3" type="noConversion"/>
  </si>
  <si>
    <t>9(08)</t>
    <phoneticPr fontId="3" type="noConversion"/>
  </si>
  <si>
    <t>CCYYMMDD</t>
    <phoneticPr fontId="3" type="noConversion"/>
  </si>
  <si>
    <t>File Name</t>
    <phoneticPr fontId="10" type="noConversion"/>
  </si>
  <si>
    <t>X(15)</t>
    <phoneticPr fontId="10" type="noConversion"/>
  </si>
  <si>
    <t xml:space="preserve">Delimiter </t>
    <phoneticPr fontId="3" type="noConversion"/>
  </si>
  <si>
    <t>X(01)</t>
    <phoneticPr fontId="3" type="noConversion"/>
  </si>
  <si>
    <t>Vaule is Hex-04</t>
    <phoneticPr fontId="3" type="noConversion"/>
  </si>
  <si>
    <t>DETAIL-RECORD</t>
    <phoneticPr fontId="3" type="noConversion"/>
  </si>
  <si>
    <t xml:space="preserve"> </t>
    <phoneticPr fontId="3" type="noConversion"/>
  </si>
  <si>
    <t>Record Type</t>
    <phoneticPr fontId="3" type="noConversion"/>
  </si>
  <si>
    <t>Tandem TO ISIS</t>
    <phoneticPr fontId="3" type="noConversion"/>
  </si>
  <si>
    <t>Account No.</t>
    <phoneticPr fontId="3" type="noConversion"/>
  </si>
  <si>
    <t>X(14)</t>
    <phoneticPr fontId="3" type="noConversion"/>
  </si>
  <si>
    <r>
      <t>K</t>
    </r>
    <r>
      <rPr>
        <sz val="8"/>
        <rFont val="Arial"/>
        <family val="2"/>
      </rPr>
      <t>EY</t>
    </r>
  </si>
  <si>
    <r>
      <t>J</t>
    </r>
    <r>
      <rPr>
        <sz val="8"/>
        <rFont val="Arial"/>
        <family val="2"/>
      </rPr>
      <t>MMLN-REC</t>
    </r>
  </si>
  <si>
    <t>JMM-DEPONO</t>
    <phoneticPr fontId="3" type="noConversion"/>
  </si>
  <si>
    <r>
      <t>J</t>
    </r>
    <r>
      <rPr>
        <sz val="8"/>
        <rFont val="Arial"/>
        <family val="2"/>
      </rPr>
      <t>CR010</t>
    </r>
  </si>
  <si>
    <t>253,1527</t>
    <phoneticPr fontId="3" type="noConversion"/>
  </si>
  <si>
    <t>N</t>
    <phoneticPr fontId="3" type="noConversion"/>
  </si>
  <si>
    <t>Application Type</t>
  </si>
  <si>
    <t>1: New Customer,
2: Other Bank Refinance,
3: In House Refinance</t>
    <phoneticPr fontId="3" type="noConversion"/>
  </si>
  <si>
    <t>JMM-LOAN-SOURCE</t>
  </si>
  <si>
    <t>254,1528</t>
    <phoneticPr fontId="3" type="noConversion"/>
  </si>
  <si>
    <t>Sales Staff Code</t>
  </si>
  <si>
    <t>9(06)</t>
    <phoneticPr fontId="3" type="noConversion"/>
  </si>
  <si>
    <t>JMM-AO-EMP</t>
  </si>
  <si>
    <t>255,1529</t>
    <phoneticPr fontId="3" type="noConversion"/>
  </si>
  <si>
    <t>Occupation Type</t>
    <phoneticPr fontId="3" type="noConversion"/>
  </si>
  <si>
    <t>X(06)</t>
    <phoneticPr fontId="3" type="noConversion"/>
  </si>
  <si>
    <r>
      <t>r</t>
    </r>
    <r>
      <rPr>
        <sz val="8"/>
        <rFont val="Arial"/>
        <family val="2"/>
      </rPr>
      <t>efer to BUSINE46
KEY is Occupation Type</t>
    </r>
  </si>
  <si>
    <t>JMM-CKIND</t>
  </si>
  <si>
    <t>256,1530</t>
    <phoneticPr fontId="3" type="noConversion"/>
  </si>
  <si>
    <t>SME Loan</t>
    <phoneticPr fontId="3" type="noConversion"/>
  </si>
  <si>
    <r>
      <t>i</t>
    </r>
    <r>
      <rPr>
        <sz val="8"/>
        <rFont val="Arial"/>
        <family val="2"/>
      </rPr>
      <t>f "Y" = SME LOAN</t>
    </r>
  </si>
  <si>
    <t>JMM-MID-FLAG</t>
    <phoneticPr fontId="3" type="noConversion"/>
  </si>
  <si>
    <t>257,1531</t>
    <phoneticPr fontId="3" type="noConversion"/>
  </si>
  <si>
    <t>Applicant Location</t>
    <phoneticPr fontId="3" type="noConversion"/>
  </si>
  <si>
    <t>X(04)</t>
    <phoneticPr fontId="3" type="noConversion"/>
  </si>
  <si>
    <r>
      <t>r</t>
    </r>
    <r>
      <rPr>
        <sz val="8"/>
        <rFont val="Arial"/>
        <family val="2"/>
      </rPr>
      <t xml:space="preserve">efer to JTYPE 
KEY :rate type = "1" 
rate kind = Applicant Location
</t>
    </r>
  </si>
  <si>
    <t>JMM-FAMILY</t>
  </si>
  <si>
    <t>258,1532</t>
    <phoneticPr fontId="3" type="noConversion"/>
  </si>
  <si>
    <t>Applicant Category</t>
  </si>
  <si>
    <r>
      <t>"</t>
    </r>
    <r>
      <rPr>
        <sz val="8"/>
        <rFont val="Arial"/>
        <family val="2"/>
      </rPr>
      <t xml:space="preserve">1" </t>
    </r>
    <r>
      <rPr>
        <sz val="8"/>
        <rFont val="細明體"/>
        <family val="3"/>
        <charset val="136"/>
      </rPr>
      <t>法金</t>
    </r>
    <r>
      <rPr>
        <sz val="8"/>
        <rFont val="Arial"/>
        <family val="2"/>
      </rPr>
      <t xml:space="preserve"> " 2"</t>
    </r>
    <r>
      <rPr>
        <sz val="8"/>
        <rFont val="細明體"/>
        <family val="3"/>
        <charset val="136"/>
      </rPr>
      <t>個金</t>
    </r>
    <r>
      <rPr>
        <sz val="8"/>
        <rFont val="Arial"/>
        <family val="2"/>
      </rPr>
      <t xml:space="preserve"> "3"</t>
    </r>
    <r>
      <rPr>
        <sz val="8"/>
        <rFont val="細明體"/>
        <family val="3"/>
        <charset val="136"/>
      </rPr>
      <t>分行</t>
    </r>
  </si>
  <si>
    <t>JMM-MANG-SECTOR</t>
    <phoneticPr fontId="3" type="noConversion"/>
  </si>
  <si>
    <t>259,1533</t>
    <phoneticPr fontId="3" type="noConversion"/>
  </si>
  <si>
    <t>Product Code</t>
    <phoneticPr fontId="3" type="noConversion"/>
  </si>
  <si>
    <t>9(03)</t>
    <phoneticPr fontId="3" type="noConversion"/>
  </si>
  <si>
    <r>
      <t>r</t>
    </r>
    <r>
      <rPr>
        <sz val="8"/>
        <rFont val="Arial"/>
        <family val="2"/>
      </rPr>
      <t>efer to JPRODUCT
KEY is Product Code</t>
    </r>
  </si>
  <si>
    <t>JMM-SUB-PRODUCT</t>
  </si>
  <si>
    <t>260,1534</t>
    <phoneticPr fontId="3" type="noConversion"/>
  </si>
  <si>
    <t>Referral Code</t>
  </si>
  <si>
    <t>JMM-SEND-BRANCH</t>
    <phoneticPr fontId="3" type="noConversion"/>
  </si>
  <si>
    <t>262,1536</t>
    <phoneticPr fontId="3" type="noConversion"/>
  </si>
  <si>
    <t>Approver Level</t>
  </si>
  <si>
    <r>
      <t>a</t>
    </r>
    <r>
      <rPr>
        <sz val="8"/>
        <rFont val="Arial"/>
        <family val="2"/>
      </rPr>
      <t>pprovrl level is user key in</t>
    </r>
  </si>
  <si>
    <t>JMM-PRVID</t>
    <phoneticPr fontId="3" type="noConversion"/>
  </si>
  <si>
    <t>263,1537</t>
    <phoneticPr fontId="3" type="noConversion"/>
  </si>
  <si>
    <t>Approver ID</t>
  </si>
  <si>
    <t>JMM-PRVID-EMP</t>
  </si>
  <si>
    <t>264,1538</t>
    <phoneticPr fontId="3" type="noConversion"/>
  </si>
  <si>
    <t>Approver ID (Head Office)</t>
  </si>
  <si>
    <t>JMM-INSTNO</t>
  </si>
  <si>
    <t>265,1539</t>
    <phoneticPr fontId="3" type="noConversion"/>
  </si>
  <si>
    <t>Interest Collection Method</t>
  </si>
  <si>
    <r>
      <t xml:space="preserve">"1" </t>
    </r>
    <r>
      <rPr>
        <sz val="8"/>
        <rFont val="細明體"/>
        <family val="3"/>
        <charset val="136"/>
      </rPr>
      <t xml:space="preserve">按月收息
</t>
    </r>
    <r>
      <rPr>
        <sz val="8"/>
        <rFont val="Arial"/>
        <family val="2"/>
      </rPr>
      <t xml:space="preserve">"2" </t>
    </r>
    <r>
      <rPr>
        <sz val="8"/>
        <rFont val="細明體"/>
        <family val="3"/>
        <charset val="136"/>
      </rPr>
      <t xml:space="preserve">到期收息
</t>
    </r>
    <r>
      <rPr>
        <sz val="8"/>
        <rFont val="Arial"/>
        <family val="2"/>
      </rPr>
      <t xml:space="preserve">"3" </t>
    </r>
    <r>
      <rPr>
        <sz val="8"/>
        <rFont val="細明體"/>
        <family val="3"/>
        <charset val="136"/>
      </rPr>
      <t xml:space="preserve">預收利息
</t>
    </r>
    <r>
      <rPr>
        <sz val="8"/>
        <rFont val="Arial"/>
        <family val="2"/>
      </rPr>
      <t xml:space="preserve"> </t>
    </r>
  </si>
  <si>
    <t>JMM-MARKET-TYPE</t>
  </si>
  <si>
    <t>266,1540</t>
    <phoneticPr fontId="3" type="noConversion"/>
  </si>
  <si>
    <t>Multiple Rate</t>
    <phoneticPr fontId="3" type="noConversion"/>
  </si>
  <si>
    <t>value "Y" is Multiple Rate</t>
    <phoneticPr fontId="3" type="noConversion"/>
  </si>
  <si>
    <t>JMM-PART-FLG</t>
  </si>
  <si>
    <t>267,1541</t>
    <phoneticPr fontId="3" type="noConversion"/>
  </si>
  <si>
    <t>Next Interest Update Date</t>
  </si>
  <si>
    <t>CCYYMMDD( JMM-NEXT-MDAT + 19110000)</t>
    <phoneticPr fontId="3" type="noConversion"/>
  </si>
  <si>
    <t>JMM-NEXT-MDAT</t>
  </si>
  <si>
    <t>268,1542</t>
    <phoneticPr fontId="3" type="noConversion"/>
  </si>
  <si>
    <t>Loan Purpose - Secondary</t>
    <phoneticPr fontId="3" type="noConversion"/>
  </si>
  <si>
    <t>X(03)</t>
    <phoneticPr fontId="3" type="noConversion"/>
  </si>
  <si>
    <r>
      <t>r</t>
    </r>
    <r>
      <rPr>
        <sz val="8"/>
        <rFont val="Arial"/>
        <family val="2"/>
      </rPr>
      <t xml:space="preserve">efer to JTYPE 
KEY :rate type = 03 
rate kind = Loan Purpose - Secondary
</t>
    </r>
  </si>
  <si>
    <t>JMM-EXUSA</t>
  </si>
  <si>
    <t>269,1543</t>
    <phoneticPr fontId="3" type="noConversion"/>
  </si>
  <si>
    <t>Collateral Location</t>
    <phoneticPr fontId="3" type="noConversion"/>
  </si>
  <si>
    <r>
      <t>r</t>
    </r>
    <r>
      <rPr>
        <sz val="8"/>
        <rFont val="Arial"/>
        <family val="2"/>
      </rPr>
      <t xml:space="preserve">efer to JTYPE 
KEY :rate type =01 
rate kind =Collateral Location
</t>
    </r>
  </si>
  <si>
    <t>JMM-LOCAT</t>
  </si>
  <si>
    <t>Interest Calculation Frequency</t>
  </si>
  <si>
    <r>
      <t>D</t>
    </r>
    <r>
      <rPr>
        <sz val="8"/>
        <rFont val="Arial"/>
        <family val="2"/>
      </rPr>
      <t>: day
M; month</t>
    </r>
  </si>
  <si>
    <t>JMM-INT-CAL-CODE</t>
  </si>
  <si>
    <t>270,1546</t>
    <phoneticPr fontId="3" type="noConversion"/>
  </si>
  <si>
    <t>Interest Rate Index</t>
  </si>
  <si>
    <t>9(02)</t>
    <phoneticPr fontId="3" type="noConversion"/>
  </si>
  <si>
    <t>JMM-JMR-KIND</t>
  </si>
  <si>
    <t>271,1547</t>
    <phoneticPr fontId="3" type="noConversion"/>
  </si>
  <si>
    <t>Index Type</t>
  </si>
  <si>
    <r>
      <t>V</t>
    </r>
    <r>
      <rPr>
        <sz val="8"/>
        <rFont val="Arial"/>
        <family val="2"/>
      </rPr>
      <t>ALUE "A" ~ "H"</t>
    </r>
  </si>
  <si>
    <t>JMM-HOUSE-LEVEL</t>
  </si>
  <si>
    <t>272,1548</t>
    <phoneticPr fontId="3" type="noConversion"/>
  </si>
  <si>
    <t>Loan Type</t>
  </si>
  <si>
    <r>
      <t>A:</t>
    </r>
    <r>
      <rPr>
        <sz val="8"/>
        <rFont val="細明體"/>
        <family val="3"/>
        <charset val="136"/>
      </rPr>
      <t>一般</t>
    </r>
    <r>
      <rPr>
        <sz val="8"/>
        <rFont val="Arial"/>
        <family val="2"/>
      </rPr>
      <t xml:space="preserve">        
B:</t>
    </r>
    <r>
      <rPr>
        <sz val="8"/>
        <rFont val="細明體"/>
        <family val="3"/>
        <charset val="136"/>
      </rPr>
      <t>額度</t>
    </r>
    <r>
      <rPr>
        <sz val="8"/>
        <rFont val="Arial"/>
        <family val="2"/>
      </rPr>
      <t xml:space="preserve">        
C:</t>
    </r>
    <r>
      <rPr>
        <sz val="8"/>
        <rFont val="細明體"/>
        <family val="3"/>
        <charset val="136"/>
      </rPr>
      <t xml:space="preserve">墊付國內票款
</t>
    </r>
    <r>
      <rPr>
        <sz val="8"/>
        <rFont val="Arial"/>
        <family val="2"/>
      </rPr>
      <t>D:</t>
    </r>
    <r>
      <rPr>
        <sz val="8"/>
        <rFont val="細明體"/>
        <family val="3"/>
        <charset val="136"/>
      </rPr>
      <t>信保</t>
    </r>
    <r>
      <rPr>
        <sz val="8"/>
        <rFont val="Arial"/>
        <family val="2"/>
      </rPr>
      <t xml:space="preserve">        
E:</t>
    </r>
    <r>
      <rPr>
        <sz val="8"/>
        <rFont val="細明體"/>
        <family val="3"/>
        <charset val="136"/>
      </rPr>
      <t>消貸</t>
    </r>
    <r>
      <rPr>
        <sz val="8"/>
        <rFont val="Arial"/>
        <family val="2"/>
      </rPr>
      <t xml:space="preserve">        
G:</t>
    </r>
    <r>
      <rPr>
        <sz val="8"/>
        <rFont val="細明體"/>
        <family val="3"/>
        <charset val="136"/>
      </rPr>
      <t>存單質借</t>
    </r>
    <r>
      <rPr>
        <sz val="8"/>
        <rFont val="Arial"/>
        <family val="2"/>
      </rPr>
      <t xml:space="preserve">    
H:</t>
    </r>
    <r>
      <rPr>
        <sz val="8"/>
        <rFont val="細明體"/>
        <family val="3"/>
        <charset val="136"/>
      </rPr>
      <t>合會</t>
    </r>
    <r>
      <rPr>
        <sz val="8"/>
        <rFont val="Arial"/>
        <family val="2"/>
      </rPr>
      <t xml:space="preserve">        
I:</t>
    </r>
    <r>
      <rPr>
        <sz val="8"/>
        <rFont val="細明體"/>
        <family val="3"/>
        <charset val="136"/>
      </rPr>
      <t>外銷貸款</t>
    </r>
    <r>
      <rPr>
        <sz val="8"/>
        <rFont val="Arial"/>
        <family val="2"/>
      </rPr>
      <t xml:space="preserve"> </t>
    </r>
  </si>
  <si>
    <t>JMM-LKIND-1</t>
  </si>
  <si>
    <t>273,1549</t>
    <phoneticPr fontId="3" type="noConversion"/>
  </si>
  <si>
    <t>Repayment Type</t>
  </si>
  <si>
    <r>
      <t>0:</t>
    </r>
    <r>
      <rPr>
        <sz val="8"/>
        <rFont val="細明體"/>
        <family val="3"/>
        <charset val="136"/>
      </rPr>
      <t>繳息</t>
    </r>
    <r>
      <rPr>
        <sz val="8"/>
        <rFont val="Arial"/>
        <family val="2"/>
      </rPr>
      <t xml:space="preserve">        
1:</t>
    </r>
    <r>
      <rPr>
        <sz val="8"/>
        <rFont val="細明體"/>
        <family val="3"/>
        <charset val="136"/>
      </rPr>
      <t xml:space="preserve">平均攤還本金
</t>
    </r>
    <r>
      <rPr>
        <sz val="8"/>
        <rFont val="Arial"/>
        <family val="2"/>
      </rPr>
      <t>2:</t>
    </r>
    <r>
      <rPr>
        <sz val="8"/>
        <rFont val="細明體"/>
        <family val="3"/>
        <charset val="136"/>
      </rPr>
      <t>年金法</t>
    </r>
    <r>
      <rPr>
        <sz val="8"/>
        <rFont val="Arial"/>
        <family val="2"/>
      </rPr>
      <t xml:space="preserve">      
3:</t>
    </r>
    <r>
      <rPr>
        <sz val="8"/>
        <rFont val="細明體"/>
        <family val="3"/>
        <charset val="136"/>
      </rPr>
      <t>按表攤還</t>
    </r>
    <r>
      <rPr>
        <sz val="8"/>
        <rFont val="Arial"/>
        <family val="2"/>
      </rPr>
      <t xml:space="preserve">   </t>
    </r>
  </si>
  <si>
    <t>JMM-LKIND-2</t>
  </si>
  <si>
    <t>274,1550</t>
    <phoneticPr fontId="3" type="noConversion"/>
  </si>
  <si>
    <t>Loan Purpose</t>
    <phoneticPr fontId="3" type="noConversion"/>
  </si>
  <si>
    <t>9(01)</t>
    <phoneticPr fontId="3" type="noConversion"/>
  </si>
  <si>
    <r>
      <t>1:</t>
    </r>
    <r>
      <rPr>
        <sz val="8"/>
        <rFont val="細明體"/>
        <family val="3"/>
        <charset val="136"/>
      </rPr>
      <t>不動產</t>
    </r>
    <r>
      <rPr>
        <sz val="8"/>
        <rFont val="Arial"/>
        <family val="2"/>
      </rPr>
      <t xml:space="preserve">  
2:</t>
    </r>
    <r>
      <rPr>
        <sz val="8"/>
        <rFont val="細明體"/>
        <family val="3"/>
        <charset val="136"/>
      </rPr>
      <t>動產</t>
    </r>
    <r>
      <rPr>
        <sz val="8"/>
        <rFont val="Arial"/>
        <family val="2"/>
      </rPr>
      <t xml:space="preserve">    
3:</t>
    </r>
    <r>
      <rPr>
        <sz val="8"/>
        <rFont val="細明體"/>
        <family val="3"/>
        <charset val="136"/>
      </rPr>
      <t xml:space="preserve">企業投資
</t>
    </r>
    <r>
      <rPr>
        <sz val="8"/>
        <rFont val="Arial"/>
        <family val="2"/>
      </rPr>
      <t>4:</t>
    </r>
    <r>
      <rPr>
        <sz val="8"/>
        <rFont val="細明體"/>
        <family val="3"/>
        <charset val="136"/>
      </rPr>
      <t>週轉金</t>
    </r>
    <r>
      <rPr>
        <sz val="8"/>
        <rFont val="Arial"/>
        <family val="2"/>
      </rPr>
      <t xml:space="preserve">  </t>
    </r>
  </si>
  <si>
    <t>JMM-USAGE</t>
  </si>
  <si>
    <t>275,1551</t>
    <phoneticPr fontId="3" type="noConversion"/>
  </si>
  <si>
    <t>Sub Product Code</t>
    <phoneticPr fontId="3" type="noConversion"/>
  </si>
  <si>
    <r>
      <t>r</t>
    </r>
    <r>
      <rPr>
        <sz val="8"/>
        <rFont val="Arial"/>
        <family val="2"/>
      </rPr>
      <t>efer to JGROUP
KEY is  Sub Product Code</t>
    </r>
  </si>
  <si>
    <t>JMM-CODE</t>
  </si>
  <si>
    <t>276,1552</t>
    <phoneticPr fontId="3" type="noConversion"/>
  </si>
  <si>
    <t>Application No.</t>
  </si>
  <si>
    <t>X(12)</t>
    <phoneticPr fontId="3" type="noConversion"/>
  </si>
  <si>
    <t>branch code +"-"+ application number</t>
  </si>
  <si>
    <t>JMM-APPLNO</t>
  </si>
  <si>
    <t>277,1553</t>
    <phoneticPr fontId="3" type="noConversion"/>
  </si>
  <si>
    <t>Running No.</t>
  </si>
  <si>
    <t>JMM-APPLNO-SEQ</t>
  </si>
  <si>
    <t>278,1554</t>
    <phoneticPr fontId="3" type="noConversion"/>
  </si>
  <si>
    <t>Loan Limit No.</t>
  </si>
  <si>
    <t>JMM-GUO-SEQ</t>
  </si>
  <si>
    <t>279,1555</t>
    <phoneticPr fontId="3" type="noConversion"/>
  </si>
  <si>
    <t>Limit Category</t>
    <phoneticPr fontId="3" type="noConversion"/>
  </si>
  <si>
    <t>Limit Category is user key in</t>
    <phoneticPr fontId="3" type="noConversion"/>
  </si>
  <si>
    <t>JMM-GUO-NO</t>
    <phoneticPr fontId="3" type="noConversion"/>
  </si>
  <si>
    <t>280,1556</t>
    <phoneticPr fontId="3" type="noConversion"/>
  </si>
  <si>
    <t>Loan Limit</t>
  </si>
  <si>
    <t>9(11)</t>
    <phoneticPr fontId="3" type="noConversion"/>
  </si>
  <si>
    <t>JMM-LAMT</t>
  </si>
  <si>
    <t>281,1557</t>
    <phoneticPr fontId="3" type="noConversion"/>
  </si>
  <si>
    <t>JMM-RAMT</t>
  </si>
  <si>
    <t>282,1558</t>
    <phoneticPr fontId="3" type="noConversion"/>
  </si>
  <si>
    <t>Interest Type</t>
  </si>
  <si>
    <t>JMM-ITYP</t>
  </si>
  <si>
    <t>283,1559</t>
    <phoneticPr fontId="3" type="noConversion"/>
  </si>
  <si>
    <t>Late Charge Rate Type</t>
    <phoneticPr fontId="3" type="noConversion"/>
  </si>
  <si>
    <t>X(02)</t>
    <phoneticPr fontId="3" type="noConversion"/>
  </si>
  <si>
    <r>
      <t>r</t>
    </r>
    <r>
      <rPr>
        <sz val="8"/>
        <rFont val="Arial"/>
        <family val="2"/>
      </rPr>
      <t>efer to JARRCODE
KEY is Late Charge Rate Type</t>
    </r>
  </si>
  <si>
    <t>JMM-ARREARS-CODE</t>
  </si>
  <si>
    <t>284,1560</t>
    <phoneticPr fontId="3" type="noConversion"/>
  </si>
  <si>
    <t>Opened Date (Previous Loan)</t>
  </si>
  <si>
    <t>CCYYMMDD( JMM-FLDAT + 19110000)</t>
    <phoneticPr fontId="3" type="noConversion"/>
  </si>
  <si>
    <t>JMM-FLDAT</t>
  </si>
  <si>
    <t>285,1561</t>
    <phoneticPr fontId="3" type="noConversion"/>
  </si>
  <si>
    <t>CCYYMMDD( JMM-CLDAT + 19110000)</t>
    <phoneticPr fontId="3" type="noConversion"/>
  </si>
  <si>
    <t>JMM-CLDAT</t>
  </si>
  <si>
    <t>286,1562</t>
    <phoneticPr fontId="3" type="noConversion"/>
  </si>
  <si>
    <t>CCYYMMDD( JMM-DUDAT + 19110000)</t>
    <phoneticPr fontId="3" type="noConversion"/>
  </si>
  <si>
    <t>JMM-DUDAT</t>
  </si>
  <si>
    <t>287,1563</t>
    <phoneticPr fontId="3" type="noConversion"/>
  </si>
  <si>
    <t>Subsidy Agency</t>
  </si>
  <si>
    <r>
      <t>1~4:</t>
    </r>
    <r>
      <rPr>
        <sz val="8"/>
        <rFont val="細明體"/>
        <family val="3"/>
        <charset val="136"/>
      </rPr>
      <t xml:space="preserve">專案代號
</t>
    </r>
    <r>
      <rPr>
        <sz val="8"/>
        <rFont val="Arial"/>
        <family val="2"/>
      </rPr>
      <t>A:</t>
    </r>
    <r>
      <rPr>
        <sz val="8"/>
        <rFont val="細明體"/>
        <family val="3"/>
        <charset val="136"/>
      </rPr>
      <t>北市勞工</t>
    </r>
    <r>
      <rPr>
        <sz val="8"/>
        <rFont val="Arial"/>
        <family val="2"/>
      </rPr>
      <t xml:space="preserve">  
B:</t>
    </r>
    <r>
      <rPr>
        <sz val="8"/>
        <rFont val="細明體"/>
        <family val="3"/>
        <charset val="136"/>
      </rPr>
      <t>高市勞工</t>
    </r>
    <r>
      <rPr>
        <sz val="8"/>
        <rFont val="Arial"/>
        <family val="2"/>
      </rPr>
      <t xml:space="preserve">  
C:</t>
    </r>
    <r>
      <rPr>
        <sz val="8"/>
        <rFont val="細明體"/>
        <family val="3"/>
        <charset val="136"/>
      </rPr>
      <t>台省勞工</t>
    </r>
    <r>
      <rPr>
        <sz val="8"/>
        <rFont val="Arial"/>
        <family val="2"/>
      </rPr>
      <t xml:space="preserve">  
D:</t>
    </r>
    <r>
      <rPr>
        <sz val="8"/>
        <rFont val="細明體"/>
        <family val="3"/>
        <charset val="136"/>
      </rPr>
      <t>台省漁業</t>
    </r>
    <r>
      <rPr>
        <sz val="8"/>
        <rFont val="Arial"/>
        <family val="2"/>
      </rPr>
      <t xml:space="preserve">  
E:</t>
    </r>
    <r>
      <rPr>
        <sz val="8"/>
        <rFont val="細明體"/>
        <family val="3"/>
        <charset val="136"/>
      </rPr>
      <t>政院勞工</t>
    </r>
    <r>
      <rPr>
        <sz val="8"/>
        <rFont val="Arial"/>
        <family val="2"/>
      </rPr>
      <t xml:space="preserve">  
F.</t>
    </r>
    <r>
      <rPr>
        <sz val="8"/>
        <rFont val="細明體"/>
        <family val="3"/>
        <charset val="136"/>
      </rPr>
      <t xml:space="preserve">央行
</t>
    </r>
    <r>
      <rPr>
        <sz val="8"/>
        <rFont val="Arial"/>
        <family val="2"/>
      </rPr>
      <t>H.</t>
    </r>
    <r>
      <rPr>
        <sz val="8"/>
        <rFont val="細明體"/>
        <family val="3"/>
        <charset val="136"/>
      </rPr>
      <t xml:space="preserve">財政部
</t>
    </r>
    <r>
      <rPr>
        <sz val="8"/>
        <rFont val="Arial"/>
        <family val="2"/>
      </rPr>
      <t>I.</t>
    </r>
    <r>
      <rPr>
        <sz val="8"/>
        <rFont val="細明體"/>
        <family val="3"/>
        <charset val="136"/>
      </rPr>
      <t>內政部</t>
    </r>
    <r>
      <rPr>
        <sz val="8"/>
        <rFont val="Arial"/>
        <family val="2"/>
      </rPr>
      <t xml:space="preserve"> 
J.</t>
    </r>
    <r>
      <rPr>
        <sz val="8"/>
        <rFont val="細明體"/>
        <family val="3"/>
        <charset val="136"/>
      </rPr>
      <t>新</t>
    </r>
    <r>
      <rPr>
        <sz val="8"/>
        <rFont val="Arial"/>
        <family val="2"/>
      </rPr>
      <t>2000</t>
    </r>
    <r>
      <rPr>
        <sz val="8"/>
        <rFont val="細明體"/>
        <family val="3"/>
        <charset val="136"/>
      </rPr>
      <t xml:space="preserve">億房貸
</t>
    </r>
    <r>
      <rPr>
        <sz val="8"/>
        <rFont val="Arial"/>
        <family val="2"/>
      </rPr>
      <t>K.</t>
    </r>
    <r>
      <rPr>
        <sz val="8"/>
        <rFont val="細明體"/>
        <family val="3"/>
        <charset val="136"/>
      </rPr>
      <t>增撥</t>
    </r>
    <r>
      <rPr>
        <sz val="8"/>
        <rFont val="Arial"/>
        <family val="2"/>
      </rPr>
      <t>2000</t>
    </r>
    <r>
      <rPr>
        <sz val="8"/>
        <rFont val="細明體"/>
        <family val="3"/>
        <charset val="136"/>
      </rPr>
      <t>億房貸</t>
    </r>
    <r>
      <rPr>
        <sz val="8"/>
        <rFont val="Arial"/>
        <family val="2"/>
      </rPr>
      <t xml:space="preserve"> 
L.</t>
    </r>
    <r>
      <rPr>
        <sz val="8"/>
        <rFont val="細明體"/>
        <family val="3"/>
        <charset val="136"/>
      </rPr>
      <t>增撥</t>
    </r>
    <r>
      <rPr>
        <sz val="8"/>
        <rFont val="Arial"/>
        <family val="2"/>
      </rPr>
      <t>3000</t>
    </r>
    <r>
      <rPr>
        <sz val="8"/>
        <rFont val="細明體"/>
        <family val="3"/>
        <charset val="136"/>
      </rPr>
      <t xml:space="preserve">億
</t>
    </r>
    <r>
      <rPr>
        <sz val="8"/>
        <rFont val="Arial"/>
        <family val="2"/>
      </rPr>
      <t>M.</t>
    </r>
    <r>
      <rPr>
        <sz val="8"/>
        <rFont val="細明體"/>
        <family val="3"/>
        <charset val="136"/>
      </rPr>
      <t>增撥</t>
    </r>
    <r>
      <rPr>
        <sz val="8"/>
        <rFont val="Arial"/>
        <family val="2"/>
      </rPr>
      <t>2000</t>
    </r>
    <r>
      <rPr>
        <sz val="8"/>
        <rFont val="細明體"/>
        <family val="3"/>
        <charset val="136"/>
      </rPr>
      <t>億</t>
    </r>
    <r>
      <rPr>
        <sz val="8"/>
        <rFont val="Arial"/>
        <family val="2"/>
      </rPr>
      <t>-328</t>
    </r>
  </si>
  <si>
    <t>JMM-MAKEUP</t>
  </si>
  <si>
    <t>288,1564</t>
    <phoneticPr fontId="3" type="noConversion"/>
  </si>
  <si>
    <t>Grace Period</t>
  </si>
  <si>
    <t>CCYYMMDD( JMM-MEMT-DATE + 19110000)</t>
    <phoneticPr fontId="3" type="noConversion"/>
  </si>
  <si>
    <t>JMM-MAMT-DATE</t>
  </si>
  <si>
    <t>289,1565</t>
    <phoneticPr fontId="3" type="noConversion"/>
  </si>
  <si>
    <t>Last Interest Payment Date</t>
  </si>
  <si>
    <t>CCYYMMDD( JMM-EIDAT + 19110000)</t>
    <phoneticPr fontId="3" type="noConversion"/>
  </si>
  <si>
    <t>JMM-EIDAT</t>
  </si>
  <si>
    <t>290,1566</t>
    <phoneticPr fontId="3" type="noConversion"/>
  </si>
  <si>
    <t>Current Interest Rate</t>
  </si>
  <si>
    <t>x(11)</t>
    <phoneticPr fontId="3" type="noConversion"/>
  </si>
  <si>
    <t>JMM-FRATE</t>
  </si>
  <si>
    <t>291,1567,324,1600</t>
    <phoneticPr fontId="3" type="noConversion"/>
  </si>
  <si>
    <t>Securitization Code</t>
    <phoneticPr fontId="3" type="noConversion"/>
  </si>
  <si>
    <t>x(01)</t>
    <phoneticPr fontId="3" type="noConversion"/>
  </si>
  <si>
    <r>
      <t>r</t>
    </r>
    <r>
      <rPr>
        <sz val="8"/>
        <rFont val="Arial"/>
        <family val="2"/>
      </rPr>
      <t xml:space="preserve">efer to JBDATA
key : Securitization Code </t>
    </r>
  </si>
  <si>
    <t>JMMB-BOND-KIND</t>
    <phoneticPr fontId="3" type="noConversion"/>
  </si>
  <si>
    <t>292,1568</t>
    <phoneticPr fontId="3" type="noConversion"/>
  </si>
  <si>
    <t>Due Date</t>
  </si>
  <si>
    <t>the field is day</t>
    <phoneticPr fontId="3" type="noConversion"/>
  </si>
  <si>
    <t>JMM-MDAY</t>
  </si>
  <si>
    <t>293,1569</t>
    <phoneticPr fontId="3" type="noConversion"/>
  </si>
  <si>
    <t>Interest Payment Frequency (in Months)</t>
  </si>
  <si>
    <t>JMM-IAMT-TERM</t>
  </si>
  <si>
    <t>294,1570</t>
    <phoneticPr fontId="3" type="noConversion"/>
  </si>
  <si>
    <t>Principal Payment</t>
  </si>
  <si>
    <t>9(10)</t>
    <phoneticPr fontId="3" type="noConversion"/>
  </si>
  <si>
    <t>JMM-MAMT</t>
  </si>
  <si>
    <t>295,1571</t>
    <phoneticPr fontId="3" type="noConversion"/>
  </si>
  <si>
    <t>For IDRP Use</t>
  </si>
  <si>
    <r>
      <t xml:space="preserve">if value = "Y" </t>
    </r>
    <r>
      <rPr>
        <sz val="8"/>
        <rFont val="Arial"/>
        <family val="2"/>
      </rPr>
      <t>r</t>
    </r>
    <r>
      <rPr>
        <sz val="8"/>
        <rFont val="Arial"/>
        <family val="2"/>
      </rPr>
      <t>efer to JCONFER
KEY is customer ID</t>
    </r>
  </si>
  <si>
    <t>JMM-CON-FLG</t>
  </si>
  <si>
    <t>296,1572</t>
    <phoneticPr fontId="3" type="noConversion"/>
  </si>
  <si>
    <t>Refinance Applied?</t>
  </si>
  <si>
    <r>
      <t>JMM-MAMT-ITYP</t>
    </r>
    <r>
      <rPr>
        <sz val="8"/>
        <rFont val="Arial"/>
        <family val="2"/>
      </rPr>
      <t>=</t>
    </r>
    <r>
      <rPr>
        <sz val="8"/>
        <rFont val="Arial"/>
        <family val="2"/>
      </rPr>
      <t xml:space="preserve"> 1</t>
    </r>
    <r>
      <rPr>
        <sz val="8"/>
        <rFont val="Arial"/>
        <family val="2"/>
      </rPr>
      <t xml:space="preserve"> --&gt; Y</t>
    </r>
  </si>
  <si>
    <t>JMM-MAMT-ITYP</t>
    <phoneticPr fontId="3" type="noConversion"/>
  </si>
  <si>
    <t>297,1573</t>
    <phoneticPr fontId="3" type="noConversion"/>
  </si>
  <si>
    <t>Maturity Claim Date</t>
  </si>
  <si>
    <t>CCYYMMDD( JMM-HIT-DATE + 19110000)</t>
    <phoneticPr fontId="3" type="noConversion"/>
  </si>
  <si>
    <t>JMM-HIT-DATE</t>
  </si>
  <si>
    <t>298,1574</t>
    <phoneticPr fontId="3" type="noConversion"/>
  </si>
  <si>
    <t>Legal Action Taken?</t>
  </si>
  <si>
    <r>
      <t>Y</t>
    </r>
    <r>
      <rPr>
        <sz val="8"/>
        <rFont val="Arial"/>
        <family val="2"/>
      </rPr>
      <t>:</t>
    </r>
    <r>
      <rPr>
        <sz val="8"/>
        <rFont val="細明體"/>
        <family val="3"/>
        <charset val="136"/>
      </rPr>
      <t>訴追記號</t>
    </r>
    <r>
      <rPr>
        <sz val="8"/>
        <rFont val="Arial"/>
        <family val="2"/>
      </rPr>
      <t xml:space="preserve">  </t>
    </r>
  </si>
  <si>
    <t>JMM-MORSTAT</t>
    <phoneticPr fontId="3" type="noConversion"/>
  </si>
  <si>
    <t>299,1575</t>
    <phoneticPr fontId="3" type="noConversion"/>
  </si>
  <si>
    <t>Account Handling Fee</t>
  </si>
  <si>
    <t>JOM-FEE-MAMT   OF JOPAMT-REC</t>
  </si>
  <si>
    <t>300,1576</t>
    <phoneticPr fontId="3" type="noConversion"/>
  </si>
  <si>
    <t>Account Handling Fee Tenure</t>
  </si>
  <si>
    <t>COMPUTE WS-FEE-PERD OF WS = JOM-FEE-RAMT / JOM-FEE-MAMT</t>
  </si>
  <si>
    <t>301,1577</t>
    <phoneticPr fontId="3" type="noConversion"/>
  </si>
  <si>
    <r>
      <t>0:</t>
    </r>
    <r>
      <rPr>
        <sz val="8"/>
        <rFont val="細明體"/>
        <family val="3"/>
        <charset val="136"/>
      </rPr>
      <t>正常戶</t>
    </r>
    <r>
      <rPr>
        <sz val="8"/>
        <rFont val="Arial"/>
        <family val="2"/>
      </rPr>
      <t xml:space="preserve">          
1:</t>
    </r>
    <r>
      <rPr>
        <sz val="8"/>
        <rFont val="細明體"/>
        <family val="3"/>
        <charset val="136"/>
      </rPr>
      <t xml:space="preserve">結清
</t>
    </r>
    <r>
      <rPr>
        <sz val="8"/>
        <rFont val="Arial"/>
        <family val="2"/>
      </rPr>
      <t>2:</t>
    </r>
    <r>
      <rPr>
        <sz val="8"/>
        <rFont val="細明體"/>
        <family val="3"/>
        <charset val="136"/>
      </rPr>
      <t>法辦</t>
    </r>
    <r>
      <rPr>
        <sz val="8"/>
        <rFont val="Arial"/>
        <family val="2"/>
      </rPr>
      <t xml:space="preserve">       
8:</t>
    </r>
    <r>
      <rPr>
        <sz val="8"/>
        <rFont val="細明體"/>
        <family val="3"/>
        <charset val="136"/>
      </rPr>
      <t>特殊事故</t>
    </r>
    <r>
      <rPr>
        <sz val="8"/>
        <rFont val="Arial"/>
        <family val="2"/>
      </rPr>
      <t>-</t>
    </r>
    <r>
      <rPr>
        <sz val="8"/>
        <rFont val="細明體"/>
        <family val="3"/>
        <charset val="136"/>
      </rPr>
      <t xml:space="preserve">系統設定
</t>
    </r>
    <r>
      <rPr>
        <sz val="8"/>
        <rFont val="Arial"/>
        <family val="2"/>
      </rPr>
      <t>9:</t>
    </r>
    <r>
      <rPr>
        <sz val="8"/>
        <rFont val="細明體"/>
        <family val="3"/>
        <charset val="136"/>
      </rPr>
      <t>特殊事故</t>
    </r>
    <r>
      <rPr>
        <sz val="8"/>
        <rFont val="Arial"/>
        <family val="2"/>
      </rPr>
      <t>-</t>
    </r>
    <r>
      <rPr>
        <sz val="8"/>
        <rFont val="細明體"/>
        <family val="3"/>
        <charset val="136"/>
      </rPr>
      <t xml:space="preserve">單位設定
</t>
    </r>
  </si>
  <si>
    <t>JMM-STAT</t>
  </si>
  <si>
    <t>302,1578</t>
    <phoneticPr fontId="3" type="noConversion"/>
  </si>
  <si>
    <t>Early Redemption Code</t>
    <phoneticPr fontId="3" type="noConversion"/>
  </si>
  <si>
    <r>
      <t>r</t>
    </r>
    <r>
      <rPr>
        <sz val="8"/>
        <rFont val="Arial"/>
        <family val="2"/>
      </rPr>
      <t>efer to JMKINDN 
KEY is Early Redemption Code</t>
    </r>
  </si>
  <si>
    <t>JMM-REDEMP-CODE</t>
    <phoneticPr fontId="3" type="noConversion"/>
  </si>
  <si>
    <t>303,1579</t>
    <phoneticPr fontId="3" type="noConversion"/>
  </si>
  <si>
    <t>Redemption Effective Date</t>
  </si>
  <si>
    <t>CCYYMMDD( JMM-RJUDG-DATE + 19110000)</t>
    <phoneticPr fontId="3" type="noConversion"/>
  </si>
  <si>
    <t>JMM-RJUDG-DATE</t>
  </si>
  <si>
    <t>304,1580</t>
    <phoneticPr fontId="3" type="noConversion"/>
  </si>
  <si>
    <t>Payment by PDC</t>
    <phoneticPr fontId="3" type="noConversion"/>
  </si>
  <si>
    <t>if value = 1  Payment by PDC</t>
    <phoneticPr fontId="3" type="noConversion"/>
  </si>
  <si>
    <t>JMM-CKFLG</t>
  </si>
  <si>
    <t>305,1581</t>
    <phoneticPr fontId="3" type="noConversion"/>
  </si>
  <si>
    <t>Cheque Start Date</t>
  </si>
  <si>
    <t>CCYYMM( JMM-CK-BYYMM + 191100)</t>
    <phoneticPr fontId="3" type="noConversion"/>
  </si>
  <si>
    <t>JMM-CK-BYYMM</t>
  </si>
  <si>
    <t>306,1582</t>
    <phoneticPr fontId="3" type="noConversion"/>
  </si>
  <si>
    <t>Cheque End Date</t>
  </si>
  <si>
    <t>JMM-CK-EYYMM</t>
  </si>
  <si>
    <t>307,1583</t>
    <phoneticPr fontId="3" type="noConversion"/>
  </si>
  <si>
    <t>DRP Code</t>
  </si>
  <si>
    <r>
      <t>"A  ":DRP</t>
    </r>
    <r>
      <rPr>
        <sz val="8"/>
        <rFont val="細明體"/>
        <family val="3"/>
        <charset val="136"/>
      </rPr>
      <t>帳號轉換</t>
    </r>
    <r>
      <rPr>
        <sz val="8"/>
        <rFont val="Arial"/>
        <family val="2"/>
      </rPr>
      <t xml:space="preserve"> 
"B  ":DRP</t>
    </r>
    <r>
      <rPr>
        <sz val="8"/>
        <rFont val="細明體"/>
        <family val="3"/>
        <charset val="136"/>
      </rPr>
      <t>帳號</t>
    </r>
    <r>
      <rPr>
        <sz val="8"/>
        <rFont val="Arial"/>
        <family val="2"/>
      </rPr>
      <t xml:space="preserve">     
"C  ":</t>
    </r>
    <r>
      <rPr>
        <sz val="8"/>
        <rFont val="細明體"/>
        <family val="3"/>
        <charset val="136"/>
      </rPr>
      <t>歷史</t>
    </r>
    <r>
      <rPr>
        <sz val="8"/>
        <rFont val="Arial"/>
        <family val="2"/>
      </rPr>
      <t>DPR</t>
    </r>
    <r>
      <rPr>
        <sz val="8"/>
        <rFont val="細明體"/>
        <family val="3"/>
        <charset val="136"/>
      </rPr>
      <t>記號</t>
    </r>
    <r>
      <rPr>
        <sz val="8"/>
        <rFont val="Arial"/>
        <family val="2"/>
      </rPr>
      <t xml:space="preserve"> 
"1  ":LOAN &amp; CARD 
"2  ":LOAN        
"3  ":CARD        
"D  ":BIDRP(CARD) 
"P  ":BIDRP(LOAN)</t>
    </r>
  </si>
  <si>
    <t>JMM-DRP-FLG</t>
  </si>
  <si>
    <t>308,1584</t>
    <phoneticPr fontId="3" type="noConversion"/>
  </si>
  <si>
    <t>Tracking Code</t>
    <phoneticPr fontId="3" type="noConversion"/>
  </si>
  <si>
    <r>
      <t>Tracking Code</t>
    </r>
    <r>
      <rPr>
        <sz val="8"/>
        <rFont val="Arial"/>
        <family val="2"/>
      </rPr>
      <t xml:space="preserve"> is user key in</t>
    </r>
  </si>
  <si>
    <t>JMM-USER-CODE</t>
  </si>
  <si>
    <r>
      <t>309</t>
    </r>
    <r>
      <rPr>
        <sz val="8"/>
        <rFont val="Arial"/>
        <family val="2"/>
      </rPr>
      <t>,1585</t>
    </r>
  </si>
  <si>
    <t>Auto Debit Indicator</t>
  </si>
  <si>
    <t xml:space="preserve"> "1" = auto pay</t>
    <phoneticPr fontId="3" type="noConversion"/>
  </si>
  <si>
    <t>JMM-TFLG</t>
  </si>
  <si>
    <t>310,1586</t>
    <phoneticPr fontId="3" type="noConversion"/>
  </si>
  <si>
    <t>Auto Debit Account No.</t>
  </si>
  <si>
    <t>auto pay account</t>
    <phoneticPr fontId="3" type="noConversion"/>
  </si>
  <si>
    <t>JMM-TACNO</t>
  </si>
  <si>
    <r>
      <t>311</t>
    </r>
    <r>
      <rPr>
        <sz val="8"/>
        <rFont val="Arial"/>
        <family val="2"/>
      </rPr>
      <t>,1587</t>
    </r>
  </si>
  <si>
    <r>
      <t>1</t>
    </r>
    <r>
      <rPr>
        <sz val="8"/>
        <rFont val="Arial"/>
        <family val="2"/>
      </rPr>
      <t>:</t>
    </r>
    <r>
      <rPr>
        <sz val="8"/>
        <rFont val="細明體"/>
        <family val="3"/>
        <charset val="136"/>
      </rPr>
      <t xml:space="preserve">法金
</t>
    </r>
    <r>
      <rPr>
        <sz val="8"/>
        <rFont val="Arial"/>
        <family val="2"/>
      </rPr>
      <t>2:</t>
    </r>
    <r>
      <rPr>
        <sz val="8"/>
        <rFont val="細明體"/>
        <family val="3"/>
        <charset val="136"/>
      </rPr>
      <t xml:space="preserve">個金
</t>
    </r>
    <r>
      <rPr>
        <sz val="8"/>
        <rFont val="Arial"/>
        <family val="2"/>
      </rPr>
      <t>3:</t>
    </r>
    <r>
      <rPr>
        <sz val="8"/>
        <rFont val="細明體"/>
        <family val="3"/>
        <charset val="136"/>
      </rPr>
      <t>分行</t>
    </r>
  </si>
  <si>
    <t>JMM-SEND-SEPT</t>
  </si>
  <si>
    <t>312,1588</t>
    <phoneticPr fontId="3" type="noConversion"/>
  </si>
  <si>
    <t>Refinanced Loan Account No.</t>
  </si>
  <si>
    <t>JCH-OLD-DEPKIND+JCH-OLD-ACNO</t>
    <phoneticPr fontId="3" type="noConversion"/>
  </si>
  <si>
    <r>
      <t>313</t>
    </r>
    <r>
      <rPr>
        <sz val="8"/>
        <rFont val="Arial"/>
        <family val="2"/>
      </rPr>
      <t>,1589</t>
    </r>
  </si>
  <si>
    <t>Principal Payment Frequency (in Months)</t>
  </si>
  <si>
    <t>JMM-MAMT-TERM</t>
  </si>
  <si>
    <t>314,1590</t>
    <phoneticPr fontId="3" type="noConversion"/>
  </si>
  <si>
    <t>Next Due Date (Principal Payment)</t>
  </si>
  <si>
    <t>CCYYMMDD( JMM-FDAT + 19110000)</t>
    <phoneticPr fontId="3" type="noConversion"/>
  </si>
  <si>
    <t>JMM-FDAT</t>
  </si>
  <si>
    <r>
      <t>315</t>
    </r>
    <r>
      <rPr>
        <sz val="8"/>
        <rFont val="Arial"/>
        <family val="2"/>
      </rPr>
      <t>,1591</t>
    </r>
  </si>
  <si>
    <t>JMM-TELNO</t>
  </si>
  <si>
    <t>316,1592</t>
    <phoneticPr fontId="3" type="noConversion"/>
  </si>
  <si>
    <r>
      <t>317</t>
    </r>
    <r>
      <rPr>
        <sz val="8"/>
        <rFont val="Arial"/>
        <family val="2"/>
      </rPr>
      <t>,1593</t>
    </r>
  </si>
  <si>
    <t>Approved Amount</t>
  </si>
  <si>
    <t>318,1594</t>
    <phoneticPr fontId="3" type="noConversion"/>
  </si>
  <si>
    <t>Outstanding Balance</t>
  </si>
  <si>
    <r>
      <t>319</t>
    </r>
    <r>
      <rPr>
        <sz val="8"/>
        <rFont val="Arial"/>
        <family val="2"/>
      </rPr>
      <t>,1595</t>
    </r>
  </si>
  <si>
    <t>Last Instalment Due Date</t>
    <phoneticPr fontId="3" type="noConversion"/>
  </si>
  <si>
    <t>CCYYMMDD( JARR-LAST-DUE-DATE + 19110000)</t>
    <phoneticPr fontId="3" type="noConversion"/>
  </si>
  <si>
    <t>JARR-LAST-DUE-DATE</t>
  </si>
  <si>
    <t>320,1596</t>
    <phoneticPr fontId="3" type="noConversion"/>
  </si>
  <si>
    <t>Current Aging Code</t>
  </si>
  <si>
    <t>TANDEM</t>
    <phoneticPr fontId="3" type="noConversion"/>
  </si>
  <si>
    <t>JARR-AGING-CODE</t>
  </si>
  <si>
    <t>336,1612</t>
    <phoneticPr fontId="3" type="noConversion"/>
  </si>
  <si>
    <t>Principal</t>
  </si>
  <si>
    <t>JARR-ACM-LAMT</t>
  </si>
  <si>
    <t>1234,1616</t>
    <phoneticPr fontId="3" type="noConversion"/>
  </si>
  <si>
    <t>Interest</t>
  </si>
  <si>
    <t>JARR-ACM-INT</t>
  </si>
  <si>
    <t>1235,1617</t>
    <phoneticPr fontId="3" type="noConversion"/>
  </si>
  <si>
    <t>Penalty</t>
  </si>
  <si>
    <t>JARR-ACM-LATE-CHARGE</t>
  </si>
  <si>
    <t>1236,1618</t>
    <phoneticPr fontId="3" type="noConversion"/>
  </si>
  <si>
    <t>Admin Charges</t>
  </si>
  <si>
    <t>ARR-ACM-FEE</t>
  </si>
  <si>
    <t>1237,1619</t>
    <phoneticPr fontId="3" type="noConversion"/>
  </si>
  <si>
    <t>Insurance Premium</t>
  </si>
  <si>
    <t>JARR-ACM-INSURANCE</t>
  </si>
  <si>
    <t>1238,1620</t>
    <phoneticPr fontId="3" type="noConversion"/>
  </si>
  <si>
    <t>New Total</t>
  </si>
  <si>
    <t>SUM(LAMT,INT,LATE CHARGE,FEE,INSURANCE)</t>
    <phoneticPr fontId="3" type="noConversion"/>
  </si>
  <si>
    <t>1239,1621</t>
    <phoneticPr fontId="3" type="noConversion"/>
  </si>
  <si>
    <t>MOA Interest</t>
  </si>
  <si>
    <t>CALL MOA020</t>
    <phoneticPr fontId="3" type="noConversion"/>
  </si>
  <si>
    <t>1874,1878</t>
    <phoneticPr fontId="3" type="noConversion"/>
  </si>
  <si>
    <t>ODD DAY Interest</t>
  </si>
  <si>
    <t>JARR-ODDDAYS-INT</t>
  </si>
  <si>
    <t>1875,1879</t>
    <phoneticPr fontId="3" type="noConversion"/>
  </si>
  <si>
    <t>Customer Payment</t>
  </si>
  <si>
    <t>JARR-ACM-SURPLUS</t>
  </si>
  <si>
    <t>1876,1880</t>
    <phoneticPr fontId="3" type="noConversion"/>
  </si>
  <si>
    <t>Maintenance Fee</t>
  </si>
  <si>
    <t>READ JTXNFILE</t>
    <phoneticPr fontId="3" type="noConversion"/>
  </si>
  <si>
    <t>1877,1881</t>
    <phoneticPr fontId="3" type="noConversion"/>
  </si>
  <si>
    <t>Legal Case No.</t>
  </si>
  <si>
    <t>X(13)</t>
    <phoneticPr fontId="3" type="noConversion"/>
  </si>
  <si>
    <t>JMM-LAWNO</t>
  </si>
  <si>
    <t>1994</t>
    <phoneticPr fontId="3" type="noConversion"/>
  </si>
  <si>
    <t>Campain Code</t>
    <phoneticPr fontId="3" type="noConversion"/>
  </si>
  <si>
    <r>
      <t>r</t>
    </r>
    <r>
      <rPr>
        <sz val="8"/>
        <rFont val="Arial"/>
        <family val="2"/>
      </rPr>
      <t xml:space="preserve">efer to </t>
    </r>
    <r>
      <rPr>
        <sz val="8"/>
        <color indexed="10"/>
        <rFont val="Arial"/>
        <family val="2"/>
      </rPr>
      <t>JPROJECT</t>
    </r>
    <r>
      <rPr>
        <sz val="8"/>
        <rFont val="Arial"/>
        <family val="2"/>
      </rPr>
      <t xml:space="preserve">
KEY is Campain Code</t>
    </r>
  </si>
  <si>
    <t>JARR-PROJECT-NO</t>
  </si>
  <si>
    <t>1996</t>
    <phoneticPr fontId="3" type="noConversion"/>
  </si>
  <si>
    <t>Settlement Date</t>
  </si>
  <si>
    <t>9(8)</t>
    <phoneticPr fontId="3" type="noConversion"/>
  </si>
  <si>
    <t>CCYYMMDD( JMM-CURDAY + 19110000)</t>
    <phoneticPr fontId="3" type="noConversion"/>
  </si>
  <si>
    <t>JMM-CURDAY</t>
    <phoneticPr fontId="3" type="noConversion"/>
  </si>
  <si>
    <t>1659,1728</t>
    <phoneticPr fontId="3" type="noConversion"/>
  </si>
  <si>
    <t>Loan Account No.</t>
    <phoneticPr fontId="3" type="noConversion"/>
  </si>
  <si>
    <t>IF JMM-MOA-KIND = "O" THEN JMM-DEPONO 
ELSE SPACES</t>
    <phoneticPr fontId="3" type="noConversion"/>
  </si>
  <si>
    <t>2920</t>
    <phoneticPr fontId="3" type="noConversion"/>
  </si>
  <si>
    <t>New Loan Type</t>
    <phoneticPr fontId="3" type="noConversion"/>
  </si>
  <si>
    <t>X(3)</t>
    <phoneticPr fontId="3" type="noConversion"/>
  </si>
  <si>
    <t>JMM-NKIND</t>
    <phoneticPr fontId="3" type="noConversion"/>
  </si>
  <si>
    <t>3201,3202</t>
    <phoneticPr fontId="3" type="noConversion"/>
  </si>
  <si>
    <t>Account Name</t>
    <phoneticPr fontId="3" type="noConversion"/>
  </si>
  <si>
    <t>X(30)</t>
    <phoneticPr fontId="3" type="noConversion"/>
  </si>
  <si>
    <t>C-NAME</t>
  </si>
  <si>
    <t>2911,2916</t>
    <phoneticPr fontId="3" type="noConversion"/>
  </si>
  <si>
    <t>Account acc Kind</t>
    <phoneticPr fontId="3" type="noConversion"/>
  </si>
  <si>
    <t>JMM-ACC-KIND</t>
    <phoneticPr fontId="3" type="noConversion"/>
  </si>
  <si>
    <t>JMM-PERID</t>
  </si>
  <si>
    <t>TRAILER-RECORD REDEFINES HEADER-RECORD</t>
    <phoneticPr fontId="3" type="noConversion"/>
  </si>
  <si>
    <r>
      <t>T-RECORD-COUNT-</t>
    </r>
    <r>
      <rPr>
        <sz val="8"/>
        <rFont val="Arial"/>
        <family val="2"/>
      </rPr>
      <t>JMMLN</t>
    </r>
  </si>
  <si>
    <t>file name "TROUBLE"</t>
  </si>
  <si>
    <t>TROUBLE-NO</t>
  </si>
  <si>
    <t>TROUBLE</t>
  </si>
  <si>
    <t>TROU-NO</t>
  </si>
  <si>
    <t>389</t>
  </si>
  <si>
    <t>TROUBLE-NAME</t>
  </si>
  <si>
    <t>Chinese Char Set UTF-8</t>
  </si>
  <si>
    <r>
      <t xml:space="preserve">TROU-NAME
</t>
    </r>
    <r>
      <rPr>
        <sz val="8"/>
        <rFont val="細明體"/>
        <family val="3"/>
        <charset val="136"/>
      </rPr>
      <t>必須加上條件</t>
    </r>
    <r>
      <rPr>
        <sz val="8"/>
        <rFont val="Arial"/>
        <family val="2"/>
      </rPr>
      <t xml:space="preserve"> Where Trou_Type=1</t>
    </r>
  </si>
  <si>
    <t>Input/Output</t>
  </si>
  <si>
    <t xml:space="preserve">Field Description </t>
  </si>
  <si>
    <t>MFS field Name</t>
    <phoneticPr fontId="4" type="noConversion"/>
  </si>
  <si>
    <t>INPUTS</t>
  </si>
  <si>
    <r>
      <t>客戶</t>
    </r>
    <r>
      <rPr>
        <sz val="10"/>
        <color indexed="8"/>
        <rFont val="Arial"/>
        <family val="2"/>
      </rPr>
      <t>ID</t>
    </r>
  </si>
  <si>
    <t>Start of InvestmentProfit - Repeatable</t>
  </si>
  <si>
    <t>Profit  Loss</t>
    <phoneticPr fontId="4" type="noConversion"/>
  </si>
  <si>
    <t>Date</t>
  </si>
  <si>
    <t>交易日</t>
    <phoneticPr fontId="4" type="noConversion"/>
  </si>
  <si>
    <t>OrderDate</t>
  </si>
  <si>
    <t>Trust Account No.</t>
  </si>
  <si>
    <t>信托帳號</t>
  </si>
  <si>
    <t>TrustAcct</t>
  </si>
  <si>
    <t>投資幣別</t>
  </si>
  <si>
    <t>投資金額</t>
  </si>
  <si>
    <t>TrustCapital</t>
  </si>
  <si>
    <t>單位數</t>
  </si>
  <si>
    <t>淨值</t>
    <phoneticPr fontId="4" type="noConversion"/>
  </si>
  <si>
    <t>匯率</t>
    <phoneticPr fontId="4" type="noConversion"/>
  </si>
  <si>
    <t>ExRate</t>
  </si>
  <si>
    <t>Profit_Loss</t>
  </si>
  <si>
    <t>參考損益</t>
  </si>
  <si>
    <t>NetValue</t>
  </si>
  <si>
    <t>配息</t>
  </si>
  <si>
    <t>Dividend</t>
  </si>
  <si>
    <t>信托種類</t>
    <phoneticPr fontId="4" type="noConversion"/>
  </si>
  <si>
    <t>滿足點設定</t>
    <phoneticPr fontId="4" type="noConversion"/>
  </si>
  <si>
    <t>UpperBound</t>
  </si>
  <si>
    <t>停損點設定</t>
    <phoneticPr fontId="4" type="noConversion"/>
  </si>
  <si>
    <t>LowerBound</t>
  </si>
  <si>
    <t>End of Investment Profit</t>
  </si>
  <si>
    <t>Response Code</t>
  </si>
  <si>
    <t>00,99</t>
    <phoneticPr fontId="4" type="noConversion"/>
  </si>
  <si>
    <t xml:space="preserve">00= Query successfully 
99=Query failed </t>
    <phoneticPr fontId="4" type="noConversion"/>
  </si>
  <si>
    <t xml:space="preserve"> </t>
    <phoneticPr fontId="10" type="noConversion"/>
  </si>
  <si>
    <t>Every Column and Line has Hex-04 To Separa</t>
    <phoneticPr fontId="10" type="noConversion"/>
  </si>
  <si>
    <t>file name "JPRODUCT"</t>
    <phoneticPr fontId="3" type="noConversion"/>
  </si>
  <si>
    <t>PRODUCT-CODE</t>
    <phoneticPr fontId="10" type="noConversion"/>
  </si>
  <si>
    <t>9(03)</t>
    <phoneticPr fontId="10" type="noConversion"/>
  </si>
  <si>
    <r>
      <t>J</t>
    </r>
    <r>
      <rPr>
        <sz val="8"/>
        <rFont val="Arial"/>
        <family val="2"/>
      </rPr>
      <t>PRODUCT</t>
    </r>
  </si>
  <si>
    <t>JPROD_PRODUCT_CODE</t>
    <phoneticPr fontId="10" type="noConversion"/>
  </si>
  <si>
    <t>N</t>
    <phoneticPr fontId="10" type="noConversion"/>
  </si>
  <si>
    <t>PRODUCT-NAME</t>
    <phoneticPr fontId="10" type="noConversion"/>
  </si>
  <si>
    <t>X(40)</t>
    <phoneticPr fontId="10" type="noConversion"/>
  </si>
  <si>
    <t>Chinese Char Set UTF-8</t>
    <phoneticPr fontId="3" type="noConversion"/>
  </si>
  <si>
    <t>JPROD_NAME</t>
    <phoneticPr fontId="10" type="noConversion"/>
  </si>
  <si>
    <t>1673,1742</t>
    <phoneticPr fontId="10" type="noConversion"/>
  </si>
  <si>
    <t xml:space="preserve">TRAILER-RECORD </t>
    <phoneticPr fontId="3" type="noConversion"/>
  </si>
  <si>
    <r>
      <t>T-RECORD-COUNT-</t>
    </r>
    <r>
      <rPr>
        <sz val="8"/>
        <rFont val="Arial"/>
        <family val="2"/>
      </rPr>
      <t>JGROUP</t>
    </r>
  </si>
  <si>
    <t>Hold Description</t>
  </si>
  <si>
    <t>Account Name</t>
  </si>
  <si>
    <t xml:space="preserve"> File name "FT0002P" is for PCI. </t>
  </si>
  <si>
    <t>file name "JMMLN"</t>
  </si>
  <si>
    <t>HEADER-RECORD-CMSPOM</t>
    <phoneticPr fontId="0" type="noConversion"/>
  </si>
  <si>
    <t>System Name : "TandemFX"</t>
    <phoneticPr fontId="0" type="noConversion"/>
  </si>
  <si>
    <t>file name "CMSPOM"</t>
  </si>
  <si>
    <t>DETAIL-RECORD-CMSPOM</t>
    <phoneticPr fontId="0" type="noConversion"/>
  </si>
  <si>
    <t>Exchange Rate Kind</t>
    <phoneticPr fontId="0" type="noConversion"/>
  </si>
  <si>
    <r>
      <t>組別</t>
    </r>
    <r>
      <rPr>
        <sz val="8"/>
        <color indexed="18"/>
        <rFont val="Arial"/>
        <family val="2"/>
      </rPr>
      <t>:1 =&gt;AA</t>
    </r>
    <r>
      <rPr>
        <sz val="8"/>
        <color indexed="18"/>
        <rFont val="細明體"/>
        <family val="3"/>
        <charset val="136"/>
      </rPr>
      <t>：</t>
    </r>
    <r>
      <rPr>
        <sz val="8"/>
        <color indexed="18"/>
        <rFont val="Arial"/>
        <family val="2"/>
      </rPr>
      <t>TWD (key)</t>
    </r>
    <r>
      <rPr>
        <sz val="8"/>
        <color indexed="18"/>
        <rFont val="細明體"/>
        <family val="3"/>
        <charset val="136"/>
      </rPr>
      <t xml:space="preserve">
組別</t>
    </r>
    <r>
      <rPr>
        <sz val="8"/>
        <color indexed="18"/>
        <rFont val="Arial"/>
        <family val="2"/>
      </rPr>
      <t>:2 =&gt;DD</t>
    </r>
    <r>
      <rPr>
        <sz val="8"/>
        <color indexed="18"/>
        <rFont val="細明體"/>
        <family val="3"/>
        <charset val="136"/>
      </rPr>
      <t>：</t>
    </r>
    <r>
      <rPr>
        <sz val="8"/>
        <color indexed="18"/>
        <rFont val="Arial"/>
        <family val="2"/>
      </rPr>
      <t>USD</t>
    </r>
  </si>
  <si>
    <t>CMSPOM</t>
    <phoneticPr fontId="0" type="noConversion"/>
  </si>
  <si>
    <t>SPO-KIND</t>
    <phoneticPr fontId="0" type="noConversion"/>
  </si>
  <si>
    <t>Date</t>
    <phoneticPr fontId="0" type="noConversion"/>
  </si>
  <si>
    <t>9(08)C</t>
  </si>
  <si>
    <t>CCYYMMDD (key)</t>
    <phoneticPr fontId="0" type="noConversion"/>
  </si>
  <si>
    <t>SPO-DATE</t>
    <phoneticPr fontId="0" type="noConversion"/>
  </si>
  <si>
    <t>Kind</t>
    <phoneticPr fontId="0" type="noConversion"/>
  </si>
  <si>
    <r>
      <t xml:space="preserve"> </t>
    </r>
    <r>
      <rPr>
        <sz val="8"/>
        <rFont val="細明體"/>
        <family val="3"/>
        <charset val="136"/>
      </rPr>
      <t>前</t>
    </r>
    <r>
      <rPr>
        <sz val="8"/>
        <rFont val="Arial"/>
        <family val="2"/>
      </rPr>
      <t>30</t>
    </r>
    <r>
      <rPr>
        <sz val="8"/>
        <rFont val="細明體"/>
        <family val="3"/>
        <charset val="136"/>
      </rPr>
      <t>筆為</t>
    </r>
    <r>
      <rPr>
        <sz val="8"/>
        <rFont val="Arial"/>
        <family val="2"/>
      </rPr>
      <t>"S" for spot ,</t>
    </r>
    <r>
      <rPr>
        <sz val="8"/>
        <rFont val="細明體"/>
        <family val="3"/>
        <charset val="136"/>
      </rPr>
      <t>後</t>
    </r>
    <r>
      <rPr>
        <sz val="8"/>
        <rFont val="Arial"/>
        <family val="2"/>
      </rPr>
      <t>30</t>
    </r>
    <r>
      <rPr>
        <sz val="8"/>
        <rFont val="細明體"/>
        <family val="3"/>
        <charset val="136"/>
      </rPr>
      <t>筆為</t>
    </r>
    <r>
      <rPr>
        <sz val="8"/>
        <rFont val="Arial"/>
        <family val="2"/>
      </rPr>
      <t xml:space="preserve"> "C" for cash(key)</t>
    </r>
  </si>
  <si>
    <t>refer remarks</t>
    <phoneticPr fontId="0" type="noConversion"/>
  </si>
  <si>
    <t>CURRENCY Code in SWIFT</t>
    <phoneticPr fontId="0" type="noConversion"/>
  </si>
  <si>
    <r>
      <t>SPO-CURRENCY
1-30</t>
    </r>
    <r>
      <rPr>
        <sz val="8"/>
        <color indexed="18"/>
        <rFont val="細明體"/>
        <family val="3"/>
        <charset val="136"/>
      </rPr>
      <t>為即期，</t>
    </r>
    <r>
      <rPr>
        <sz val="8"/>
        <color indexed="18"/>
        <rFont val="Arial"/>
        <family val="2"/>
      </rPr>
      <t>31-60</t>
    </r>
    <r>
      <rPr>
        <sz val="8"/>
        <color indexed="18"/>
        <rFont val="細明體"/>
        <family val="3"/>
        <charset val="136"/>
      </rPr>
      <t>為現金
欄位</t>
    </r>
    <r>
      <rPr>
        <sz val="8"/>
        <color indexed="18"/>
        <rFont val="Arial"/>
        <family val="2"/>
      </rPr>
      <t>1</t>
    </r>
    <r>
      <rPr>
        <sz val="8"/>
        <color indexed="18"/>
        <rFont val="細明體"/>
        <family val="3"/>
        <charset val="136"/>
      </rPr>
      <t>對應欄位</t>
    </r>
    <r>
      <rPr>
        <sz val="8"/>
        <color indexed="18"/>
        <rFont val="Arial"/>
        <family val="2"/>
      </rPr>
      <t>31</t>
    </r>
    <r>
      <rPr>
        <sz val="8"/>
        <color indexed="18"/>
        <rFont val="細明體"/>
        <family val="3"/>
        <charset val="136"/>
      </rPr>
      <t>，欄位</t>
    </r>
    <r>
      <rPr>
        <sz val="8"/>
        <color indexed="18"/>
        <rFont val="Arial"/>
        <family val="2"/>
      </rPr>
      <t>2</t>
    </r>
    <r>
      <rPr>
        <sz val="8"/>
        <color indexed="18"/>
        <rFont val="細明體"/>
        <family val="3"/>
        <charset val="136"/>
      </rPr>
      <t>對應欄位</t>
    </r>
    <r>
      <rPr>
        <sz val="8"/>
        <color indexed="18"/>
        <rFont val="Arial"/>
        <family val="2"/>
      </rPr>
      <t>32</t>
    </r>
    <r>
      <rPr>
        <sz val="8"/>
        <color indexed="18"/>
        <rFont val="細明體"/>
        <family val="3"/>
        <charset val="136"/>
      </rPr>
      <t>依此類推</t>
    </r>
  </si>
  <si>
    <t>BID rate</t>
    <phoneticPr fontId="0" type="noConversion"/>
  </si>
  <si>
    <t>S9(5)V9(6)C</t>
  </si>
  <si>
    <r>
      <t>SPO-BID
1-30</t>
    </r>
    <r>
      <rPr>
        <sz val="8"/>
        <color indexed="18"/>
        <rFont val="細明體"/>
        <family val="3"/>
        <charset val="136"/>
      </rPr>
      <t>為即期，</t>
    </r>
    <r>
      <rPr>
        <sz val="8"/>
        <color indexed="18"/>
        <rFont val="Arial"/>
        <family val="2"/>
      </rPr>
      <t>31-60</t>
    </r>
    <r>
      <rPr>
        <sz val="8"/>
        <color indexed="18"/>
        <rFont val="細明體"/>
        <family val="3"/>
        <charset val="136"/>
      </rPr>
      <t>為現金
欄位</t>
    </r>
    <r>
      <rPr>
        <sz val="8"/>
        <color indexed="18"/>
        <rFont val="Arial"/>
        <family val="2"/>
      </rPr>
      <t>1</t>
    </r>
    <r>
      <rPr>
        <sz val="8"/>
        <color indexed="18"/>
        <rFont val="細明體"/>
        <family val="3"/>
        <charset val="136"/>
      </rPr>
      <t>對應欄位</t>
    </r>
    <r>
      <rPr>
        <sz val="8"/>
        <color indexed="18"/>
        <rFont val="Arial"/>
        <family val="2"/>
      </rPr>
      <t>31</t>
    </r>
    <r>
      <rPr>
        <sz val="8"/>
        <color indexed="18"/>
        <rFont val="細明體"/>
        <family val="3"/>
        <charset val="136"/>
      </rPr>
      <t>，欄位</t>
    </r>
    <r>
      <rPr>
        <sz val="8"/>
        <color indexed="18"/>
        <rFont val="Arial"/>
        <family val="2"/>
      </rPr>
      <t>2</t>
    </r>
    <r>
      <rPr>
        <sz val="8"/>
        <color indexed="18"/>
        <rFont val="細明體"/>
        <family val="3"/>
        <charset val="136"/>
      </rPr>
      <t>對應欄位</t>
    </r>
    <r>
      <rPr>
        <sz val="8"/>
        <color indexed="18"/>
        <rFont val="Arial"/>
        <family val="2"/>
      </rPr>
      <t>32</t>
    </r>
    <r>
      <rPr>
        <sz val="8"/>
        <color indexed="18"/>
        <rFont val="細明體"/>
        <family val="3"/>
        <charset val="136"/>
      </rPr>
      <t>依此類推</t>
    </r>
  </si>
  <si>
    <t>OFFER rate</t>
    <phoneticPr fontId="0" type="noConversion"/>
  </si>
  <si>
    <t>S9(5)V9(6)C</t>
    <phoneticPr fontId="0" type="noConversion"/>
  </si>
  <si>
    <r>
      <t>SPO-OFFER
1-30</t>
    </r>
    <r>
      <rPr>
        <sz val="8"/>
        <color indexed="18"/>
        <rFont val="細明體"/>
        <family val="3"/>
        <charset val="136"/>
      </rPr>
      <t>為即期，</t>
    </r>
    <r>
      <rPr>
        <sz val="8"/>
        <color indexed="18"/>
        <rFont val="Arial"/>
        <family val="2"/>
      </rPr>
      <t>31-60</t>
    </r>
    <r>
      <rPr>
        <sz val="8"/>
        <color indexed="18"/>
        <rFont val="細明體"/>
        <family val="3"/>
        <charset val="136"/>
      </rPr>
      <t>為現金
欄位</t>
    </r>
    <r>
      <rPr>
        <sz val="8"/>
        <color indexed="18"/>
        <rFont val="Arial"/>
        <family val="2"/>
      </rPr>
      <t>1</t>
    </r>
    <r>
      <rPr>
        <sz val="8"/>
        <color indexed="18"/>
        <rFont val="細明體"/>
        <family val="3"/>
        <charset val="136"/>
      </rPr>
      <t>對應欄位</t>
    </r>
    <r>
      <rPr>
        <sz val="8"/>
        <color indexed="18"/>
        <rFont val="Arial"/>
        <family val="2"/>
      </rPr>
      <t>31</t>
    </r>
    <r>
      <rPr>
        <sz val="8"/>
        <color indexed="18"/>
        <rFont val="細明體"/>
        <family val="3"/>
        <charset val="136"/>
      </rPr>
      <t>，欄位</t>
    </r>
    <r>
      <rPr>
        <sz val="8"/>
        <color indexed="18"/>
        <rFont val="Arial"/>
        <family val="2"/>
      </rPr>
      <t>2</t>
    </r>
    <r>
      <rPr>
        <sz val="8"/>
        <color indexed="18"/>
        <rFont val="細明體"/>
        <family val="3"/>
        <charset val="136"/>
      </rPr>
      <t>對應欄位</t>
    </r>
    <r>
      <rPr>
        <sz val="8"/>
        <color indexed="18"/>
        <rFont val="Arial"/>
        <family val="2"/>
      </rPr>
      <t>32</t>
    </r>
    <r>
      <rPr>
        <sz val="8"/>
        <color indexed="18"/>
        <rFont val="細明體"/>
        <family val="3"/>
        <charset val="136"/>
      </rPr>
      <t>依此類推</t>
    </r>
  </si>
  <si>
    <t>TRAILER-RECORD-CMSPOM</t>
    <phoneticPr fontId="0" type="noConversion"/>
  </si>
  <si>
    <t>Cherry's remark</t>
  </si>
  <si>
    <t>This API is used by CEMS to get real time balance from Gemfor</t>
  </si>
  <si>
    <t>Principle</t>
  </si>
  <si>
    <t>SUM(LAMT,INT,LATE CHARGE,FEE,INSURANCE)</t>
    <phoneticPr fontId="2" type="noConversion"/>
  </si>
  <si>
    <t>Outstanding Balance = Current Balance</t>
  </si>
  <si>
    <t>Approved amount = Loan Limit</t>
  </si>
  <si>
    <t>Cherry's remark - compare with batch file</t>
  </si>
  <si>
    <t>refer to JTYPE( Rate Type = 05 and Rate Kind = interest-rate-index)</t>
  </si>
  <si>
    <r>
      <t>00:</t>
    </r>
    <r>
      <rPr>
        <sz val="8"/>
        <rFont val="細明體"/>
        <family val="3"/>
        <charset val="136"/>
      </rPr>
      <t>固定</t>
    </r>
    <r>
      <rPr>
        <sz val="8"/>
        <rFont val="Arial"/>
        <family val="2"/>
      </rPr>
      <t xml:space="preserve">      
99:</t>
    </r>
    <r>
      <rPr>
        <sz val="8"/>
        <rFont val="細明體"/>
        <family val="3"/>
        <charset val="136"/>
      </rPr>
      <t>機動</t>
    </r>
    <r>
      <rPr>
        <sz val="8"/>
        <rFont val="Arial"/>
        <family val="2"/>
      </rPr>
      <t xml:space="preserve">     
1,3,6,12:</t>
    </r>
    <r>
      <rPr>
        <sz val="8"/>
        <rFont val="細明體"/>
        <family val="3"/>
        <charset val="136"/>
      </rPr>
      <t>浮動</t>
    </r>
  </si>
  <si>
    <t>Draw Down Date</t>
  </si>
  <si>
    <t>VALUE "A"~"Z"
"A" = CURRENT
"B" = overdue 30 day
"C" = overdue 60 day
..</t>
  </si>
  <si>
    <t>Field Definition                    (X = Alpha9;               9 = 9)</t>
  </si>
  <si>
    <t>HEADER-RECORD</t>
  </si>
  <si>
    <t>Tandem TO ISIS</t>
  </si>
  <si>
    <r>
      <t xml:space="preserve">Will contain character </t>
    </r>
    <r>
      <rPr>
        <b/>
        <sz val="10"/>
        <rFont val="Arial"/>
        <family val="2"/>
      </rPr>
      <t>'H'</t>
    </r>
    <r>
      <rPr>
        <sz val="10"/>
        <rFont val="Arial"/>
        <family val="2"/>
      </rPr>
      <t xml:space="preserve"> to indicate Header record</t>
    </r>
  </si>
  <si>
    <t>System Name is "TandemLoan"</t>
  </si>
  <si>
    <t>file name "WUMA010"</t>
  </si>
  <si>
    <t>DETAIL-RECORD</t>
  </si>
  <si>
    <r>
      <t xml:space="preserve">Will contain character </t>
    </r>
    <r>
      <rPr>
        <b/>
        <sz val="10"/>
        <rFont val="Arial"/>
        <family val="2"/>
      </rPr>
      <t>'D'</t>
    </r>
    <r>
      <rPr>
        <sz val="10"/>
        <rFont val="Arial"/>
        <family val="2"/>
      </rPr>
      <t xml:space="preserve"> to indicate Retail record</t>
    </r>
  </si>
  <si>
    <t>KEY</t>
  </si>
  <si>
    <t>WUMA010 </t>
  </si>
  <si>
    <t>Union </t>
  </si>
  <si>
    <t>WUMA013</t>
  </si>
  <si>
    <t>WUMA010取MA10-IDNO</t>
  </si>
  <si>
    <t>WUMA010取MA10-GTIDNO</t>
  </si>
  <si>
    <t>WUMA013取MA13-JOIDNO</t>
  </si>
  <si>
    <t>WUMA010取MA10-DEPKIND+MA10-ACNO</t>
  </si>
  <si>
    <t>WUMA013取MA13-DEPKIND+MA13-ACNO</t>
  </si>
  <si>
    <t>JCR010</t>
  </si>
  <si>
    <t>Full Name</t>
  </si>
  <si>
    <t>CHINAX</t>
  </si>
  <si>
    <t>取 WUMA010.C-NAME ,  LEFT JOIN CHINAX ON WUMA010.MA10_IDNO = CHINAX.C_IDNO</t>
  </si>
  <si>
    <t>取 WUMA010.C-NAME ,  LEFT JOIN CHINAX ON WUMA010.MA10_GTIDNO = CHINAX.C_IDNO</t>
  </si>
  <si>
    <t>Union</t>
  </si>
  <si>
    <t>取 WUMA013.C-NAME ,  LEFT JOIN CHINAX ON WUMA013.MA13_JOIDNO = CHINAX.C_IDNO</t>
  </si>
  <si>
    <t>Relationship</t>
  </si>
  <si>
    <t>Relateship</t>
  </si>
  <si>
    <t>IF WUMA010.MA10-IDNO  </t>
  </si>
  <si>
    <t>    MOVE "P" (primary customer id ).</t>
  </si>
  <si>
    <t>IF WUMA010.MA10-GTIDNO </t>
  </si>
  <si>
    <t>   MOVE "N" (一般保證人)</t>
  </si>
  <si>
    <t>IF WUMA013.WUMA013</t>
  </si>
  <si>
    <t>   MOVE "G" (連帶保證人)</t>
  </si>
  <si>
    <t>TRAILER-RECORD</t>
  </si>
  <si>
    <r>
      <t xml:space="preserve">Will contain character </t>
    </r>
    <r>
      <rPr>
        <b/>
        <sz val="10"/>
        <rFont val="Arial"/>
        <family val="2"/>
      </rPr>
      <t>'T' </t>
    </r>
    <r>
      <rPr>
        <sz val="10"/>
        <rFont val="Arial"/>
        <family val="2"/>
      </rPr>
      <t>to indicate Trailer record</t>
    </r>
  </si>
  <si>
    <t>T-RECORD-COUNT-WUMA010</t>
  </si>
  <si>
    <t>Number of  Retail Records</t>
  </si>
  <si>
    <t>MB-PK-TYPE</t>
  </si>
  <si>
    <t>Y:Yes
N:No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</si>
</sst>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font>
      <sz val="10"/>
      <name val="Arial"/>
      <family val="2"/>
    </font>
    <font>
      <sz val="10"/>
      <color theme="1"/>
      <name val="Arial"/>
      <family val="2"/>
    </font>
    <font>
      <sz val="11"/>
      <color theme="1"/>
      <name val="Calibri"/>
      <family val="2"/>
      <charset val="136"/>
      <scheme val="minor"/>
    </font>
    <font>
      <sz val="10"/>
      <name val="Arial"/>
      <family val="2"/>
    </font>
    <font>
      <b/>
      <sz val="8"/>
      <name val="Arial"/>
      <family val="2"/>
    </font>
    <font>
      <sz val="8"/>
      <name val="Arial"/>
      <family val="2"/>
    </font>
    <font>
      <sz val="10"/>
      <name val="Tahoma"/>
      <family val="2"/>
    </font>
    <font>
      <sz val="8"/>
      <name val="細明體"/>
      <family val="3"/>
      <charset val="136"/>
    </font>
    <font>
      <b/>
      <sz val="8"/>
      <color indexed="10"/>
      <name val="Arial"/>
      <family val="2"/>
    </font>
    <font>
      <sz val="9"/>
      <name val="Tahoma"/>
      <family val="2"/>
    </font>
    <font>
      <sz val="8"/>
      <color indexed="10"/>
      <name val="Arial"/>
      <family val="2"/>
    </font>
    <font>
      <sz val="9"/>
      <name val="Arial"/>
      <family val="2"/>
    </font>
    <font>
      <sz val="6"/>
      <name val="Arial"/>
      <family val="2"/>
    </font>
    <font>
      <sz val="6"/>
      <name val="細明體"/>
      <family val="3"/>
      <charset val="136"/>
    </font>
    <font>
      <b/>
      <sz val="9"/>
      <color indexed="81"/>
      <name val="新細明體"/>
      <family val="1"/>
      <charset val="136"/>
    </font>
    <font>
      <sz val="9"/>
      <color indexed="81"/>
      <name val="新細明體"/>
      <family val="1"/>
      <charset val="136"/>
    </font>
    <font>
      <b/>
      <sz val="8"/>
      <color rgb="FFFF0000"/>
      <name val="Arial"/>
      <family val="2"/>
    </font>
    <font>
      <b/>
      <sz val="10"/>
      <color rgb="FFFF0000"/>
      <name val="Tahoma"/>
      <family val="2"/>
    </font>
    <font>
      <b/>
      <sz val="8"/>
      <color rgb="FFFF0000"/>
      <name val="細明體"/>
      <family val="3"/>
      <charset val="136"/>
    </font>
    <font>
      <b/>
      <sz val="8"/>
      <color indexed="10"/>
      <name val="細明體"/>
      <family val="3"/>
      <charset val="136"/>
    </font>
    <font>
      <sz val="10"/>
      <color indexed="10"/>
      <name val="Tahoma"/>
      <family val="2"/>
    </font>
    <font>
      <sz val="8"/>
      <color indexed="10"/>
      <name val="Helvetica"/>
      <family val="2"/>
    </font>
    <font>
      <strike/>
      <sz val="10"/>
      <name val="Arial"/>
      <family val="2"/>
    </font>
    <font>
      <b/>
      <sz val="10"/>
      <color indexed="10"/>
      <name val="Arial"/>
      <family val="2"/>
    </font>
    <font>
      <sz val="8"/>
      <color indexed="10"/>
      <name val="細明體"/>
      <family val="3"/>
      <charset val="136"/>
    </font>
    <font>
      <strike/>
      <sz val="8"/>
      <name val="Arial"/>
      <family val="2"/>
    </font>
    <font>
      <u/>
      <sz val="8"/>
      <name val="Arial"/>
      <family val="2"/>
    </font>
    <font>
      <u/>
      <sz val="10"/>
      <name val="Tahoma"/>
      <family val="2"/>
    </font>
    <font>
      <b/>
      <u/>
      <sz val="8"/>
      <name val="細明體"/>
      <family val="3"/>
      <charset val="136"/>
    </font>
    <font>
      <u/>
      <sz val="9"/>
      <name val="Arial"/>
      <family val="2"/>
    </font>
    <font>
      <sz val="8"/>
      <name val="Tahoma"/>
      <family val="2"/>
    </font>
    <font>
      <sz val="8"/>
      <color rgb="FFFF0000"/>
      <name val="Tahoma"/>
      <family val="2"/>
    </font>
    <font>
      <sz val="8"/>
      <color rgb="FFFF0000"/>
      <name val="Arial"/>
      <family val="2"/>
    </font>
    <font>
      <sz val="10"/>
      <color indexed="10"/>
      <name val="Arial"/>
      <family val="2"/>
    </font>
    <font>
      <sz val="7.5"/>
      <name val="Arial"/>
      <family val="2"/>
    </font>
    <font>
      <u/>
      <sz val="8"/>
      <color indexed="10"/>
      <name val="Arial"/>
      <family val="2"/>
    </font>
    <font>
      <u/>
      <sz val="10"/>
      <color indexed="10"/>
      <name val="Tahoma"/>
      <family val="2"/>
    </font>
    <font>
      <sz val="8"/>
      <name val="Helvetica"/>
      <family val="2"/>
    </font>
    <font>
      <sz val="8"/>
      <color indexed="14"/>
      <name val="細明體"/>
      <family val="3"/>
      <charset val="136"/>
    </font>
    <font>
      <b/>
      <sz val="10"/>
      <name val="Tahoma"/>
      <family val="2"/>
    </font>
    <font>
      <b/>
      <sz val="8"/>
      <name val="細明體"/>
      <family val="3"/>
      <charset val="136"/>
    </font>
    <font>
      <sz val="9"/>
      <color rgb="FFFF0000"/>
      <name val="Arial"/>
      <family val="2"/>
    </font>
    <font>
      <b/>
      <sz val="8"/>
      <color indexed="9"/>
      <name val="Verdana"/>
      <family val="2"/>
    </font>
    <font>
      <b/>
      <sz val="8"/>
      <color indexed="10"/>
      <name val="Verdana"/>
      <family val="2"/>
    </font>
    <font>
      <sz val="8"/>
      <color indexed="8"/>
      <name val="Verdana"/>
      <family val="2"/>
    </font>
    <font>
      <sz val="8"/>
      <color indexed="10"/>
      <name val="Verdana"/>
      <family val="2"/>
    </font>
    <font>
      <sz val="8"/>
      <name val="Verdana"/>
      <family val="2"/>
    </font>
    <font>
      <sz val="8"/>
      <color indexed="8"/>
      <name val="Arial"/>
      <family val="2"/>
    </font>
    <font>
      <sz val="8"/>
      <color indexed="8"/>
      <name val="細明體"/>
      <family val="3"/>
      <charset val="136"/>
    </font>
    <font>
      <sz val="8"/>
      <color indexed="8"/>
      <name val="Calibri"/>
      <family val="2"/>
    </font>
    <font>
      <sz val="8"/>
      <color indexed="14"/>
      <name val="Arial"/>
      <family val="2"/>
    </font>
    <font>
      <sz val="10"/>
      <name val="Tahoma"/>
      <family val="2"/>
      <charset val="136"/>
    </font>
    <font>
      <sz val="10"/>
      <color rgb="FFFF0000"/>
      <name val="Tahoma"/>
      <family val="2"/>
    </font>
    <font>
      <b/>
      <sz val="8"/>
      <color indexed="12"/>
      <name val="Tahoma"/>
      <family val="2"/>
    </font>
    <font>
      <b/>
      <sz val="8"/>
      <color indexed="12"/>
      <name val="Arial"/>
      <family val="2"/>
    </font>
    <font>
      <sz val="10"/>
      <color theme="1"/>
      <name val="Arial"/>
      <family val="2"/>
      <charset val="136"/>
    </font>
    <font>
      <b/>
      <sz val="8"/>
      <color rgb="FFFFFFFF"/>
      <name val="細明體"/>
      <family val="2"/>
      <charset val="136"/>
    </font>
    <font>
      <b/>
      <sz val="8"/>
      <color rgb="FFFFFFFF"/>
      <name val="細明體"/>
      <family val="2"/>
    </font>
    <font>
      <sz val="8"/>
      <name val="Verdana"/>
      <family val="2"/>
      <charset val="136"/>
    </font>
    <font>
      <sz val="8"/>
      <color rgb="FF000000"/>
      <name val="Verdana"/>
      <family val="2"/>
    </font>
    <font>
      <sz val="8"/>
      <name val="Calibri"/>
      <family val="2"/>
      <scheme val="minor"/>
    </font>
    <font>
      <u/>
      <sz val="10"/>
      <name val="Arial"/>
      <family val="2"/>
      <charset val="136"/>
    </font>
    <font>
      <sz val="11"/>
      <color theme="0"/>
      <name val="Calibri"/>
      <family val="2"/>
      <scheme val="minor"/>
    </font>
    <font>
      <sz val="11"/>
      <color theme="0"/>
      <name val="Calibri"/>
      <family val="2"/>
    </font>
    <font>
      <sz val="11"/>
      <name val="Calibri"/>
      <family val="2"/>
      <scheme val="minor"/>
    </font>
    <font>
      <sz val="10"/>
      <color rgb="FFFF0000"/>
      <name val="Arial"/>
      <family val="2"/>
    </font>
    <font>
      <b/>
      <sz val="8"/>
      <color rgb="FFFFFFFF"/>
      <name val="Verdana"/>
      <family val="2"/>
    </font>
    <font>
      <sz val="8"/>
      <color rgb="FFFF0000"/>
      <name val="Verdana"/>
      <family val="2"/>
    </font>
    <font>
      <b/>
      <sz val="8"/>
      <color indexed="9"/>
      <name val="Calibri"/>
      <family val="2"/>
      <scheme val="minor"/>
    </font>
    <font>
      <b/>
      <sz val="8"/>
      <color indexed="9"/>
      <name val="Calibri"/>
      <family val="2"/>
    </font>
    <font>
      <u/>
      <sz val="8"/>
      <name val="Calibri"/>
      <family val="2"/>
      <scheme val="minor"/>
    </font>
    <font>
      <sz val="12"/>
      <name val="新細明體"/>
      <family val="1"/>
      <charset val="136"/>
    </font>
    <font>
      <sz val="12"/>
      <name val="Times New Roman"/>
      <family val="1"/>
    </font>
    <font>
      <sz val="10"/>
      <name val="Times New Roman"/>
      <family val="1"/>
    </font>
    <font>
      <sz val="10"/>
      <name val="新細明體"/>
      <family val="1"/>
      <charset val="136"/>
    </font>
    <font>
      <b/>
      <sz val="12"/>
      <color rgb="FFFF0000"/>
      <name val="新細明體"/>
      <family val="1"/>
      <charset val="136"/>
    </font>
    <font>
      <b/>
      <sz val="11"/>
      <color indexed="30"/>
      <name val="Arial"/>
      <family val="2"/>
    </font>
    <font>
      <b/>
      <sz val="11"/>
      <color indexed="30"/>
      <name val="Tahoma"/>
      <family val="2"/>
    </font>
    <font>
      <b/>
      <sz val="8"/>
      <name val="Tahoma"/>
      <family val="2"/>
    </font>
    <font>
      <b/>
      <sz val="10"/>
      <name val="Arial"/>
      <family val="2"/>
    </font>
    <font>
      <sz val="10"/>
      <color indexed="8"/>
      <name val="細明體"/>
      <family val="3"/>
      <charset val="136"/>
    </font>
    <font>
      <sz val="10"/>
      <color indexed="8"/>
      <name val="Arial"/>
      <family val="2"/>
    </font>
    <font>
      <sz val="9"/>
      <color indexed="8"/>
      <name val="Arial"/>
      <family val="2"/>
    </font>
    <font>
      <sz val="8"/>
      <color indexed="18"/>
      <name val="Arial"/>
      <family val="2"/>
    </font>
    <font>
      <sz val="9"/>
      <color indexed="81"/>
      <name val="Tahoma"/>
      <family val="2"/>
    </font>
    <font>
      <b/>
      <sz val="9"/>
      <color indexed="81"/>
      <name val="Tahoma"/>
      <family val="2"/>
    </font>
    <font>
      <sz val="8"/>
      <color indexed="18"/>
      <name val="細明體"/>
      <family val="3"/>
      <charset val="136"/>
    </font>
    <font>
      <b/>
      <sz val="8"/>
      <color theme="1"/>
      <name val="Verdana"/>
      <family val="2"/>
    </font>
    <font>
      <sz val="10"/>
      <color rgb="FFCD5937"/>
      <name val="Arial"/>
      <family val="2"/>
    </font>
  </fonts>
  <fills count="23">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51"/>
        <bgColor indexed="64"/>
      </patternFill>
    </fill>
    <fill>
      <patternFill patternType="solid">
        <fgColor indexed="50"/>
        <bgColor indexed="64"/>
      </patternFill>
    </fill>
    <fill>
      <patternFill patternType="solid">
        <fgColor indexed="13"/>
        <bgColor indexed="64"/>
      </patternFill>
    </fill>
    <fill>
      <patternFill patternType="solid">
        <fgColor indexed="45"/>
        <bgColor indexed="64"/>
      </patternFill>
    </fill>
    <fill>
      <patternFill patternType="solid">
        <fgColor indexed="14"/>
        <bgColor indexed="64"/>
      </patternFill>
    </fill>
    <fill>
      <patternFill patternType="solid">
        <fgColor indexed="63"/>
        <bgColor indexed="64"/>
      </patternFill>
    </fill>
    <fill>
      <patternFill patternType="solid">
        <fgColor indexed="48"/>
        <bgColor indexed="64"/>
      </patternFill>
    </fill>
    <fill>
      <patternFill patternType="solid">
        <fgColor indexed="8"/>
        <bgColor indexed="64"/>
      </patternFill>
    </fill>
    <fill>
      <patternFill patternType="solid">
        <fgColor indexed="12"/>
        <bgColor indexed="64"/>
      </patternFill>
    </fill>
    <fill>
      <patternFill patternType="solid">
        <fgColor indexed="41"/>
        <bgColor indexed="64"/>
      </patternFill>
    </fill>
    <fill>
      <patternFill patternType="solid">
        <fgColor rgb="FFFFFF00"/>
      </patternFill>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indexed="57"/>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92D05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s>
  <cellStyleXfs count="16">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55" fillId="0" borderId="0"/>
    <xf numFmtId="0" fontId="3" fillId="0" borderId="0">
      <alignment vertical="center"/>
    </xf>
    <xf numFmtId="0" fontId="3" fillId="0" borderId="0"/>
    <xf numFmtId="0" fontId="3" fillId="0" borderId="0"/>
    <xf numFmtId="0" fontId="1" fillId="0" borderId="0"/>
  </cellStyleXfs>
  <cellXfs count="768">
    <xf numFmtId="0" fontId="0" fillId="0" borderId="0" xfId="0"/>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5" fillId="0" borderId="0" xfId="0" applyFont="1" applyAlignment="1">
      <alignment wrapText="1"/>
    </xf>
    <xf numFmtId="0" fontId="4" fillId="3" borderId="4" xfId="0" applyFont="1" applyFill="1" applyBorder="1" applyAlignment="1">
      <alignment vertical="center" wrapText="1"/>
    </xf>
    <xf numFmtId="0" fontId="4" fillId="3" borderId="5" xfId="0" applyFont="1" applyFill="1" applyBorder="1" applyAlignment="1">
      <alignment horizontal="center"/>
    </xf>
    <xf numFmtId="0" fontId="5" fillId="3" borderId="5" xfId="0" applyFont="1" applyFill="1" applyBorder="1" applyAlignment="1">
      <alignment horizontal="left" wrapText="1"/>
    </xf>
    <xf numFmtId="0" fontId="5" fillId="3" borderId="5" xfId="0" applyFont="1" applyFill="1" applyBorder="1" applyAlignment="1">
      <alignment horizontal="center" wrapText="1"/>
    </xf>
    <xf numFmtId="0" fontId="5" fillId="3" borderId="6" xfId="0" applyFont="1" applyFill="1" applyBorder="1" applyAlignment="1">
      <alignment wrapText="1"/>
    </xf>
    <xf numFmtId="0" fontId="5" fillId="0" borderId="0" xfId="0" applyFont="1"/>
    <xf numFmtId="0" fontId="6" fillId="0" borderId="4" xfId="0" applyFont="1" applyBorder="1"/>
    <xf numFmtId="0" fontId="6" fillId="0" borderId="5" xfId="0" applyFont="1" applyBorder="1"/>
    <xf numFmtId="0" fontId="5" fillId="0" borderId="5" xfId="0" applyFont="1" applyBorder="1" applyAlignment="1">
      <alignment horizontal="center"/>
    </xf>
    <xf numFmtId="0" fontId="5" fillId="0" borderId="5" xfId="0" applyFont="1" applyBorder="1" applyAlignment="1">
      <alignment horizontal="left" wrapText="1"/>
    </xf>
    <xf numFmtId="0" fontId="5" fillId="0" borderId="5" xfId="0" applyFont="1" applyBorder="1" applyAlignment="1">
      <alignment horizontal="center" wrapText="1"/>
    </xf>
    <xf numFmtId="0" fontId="5" fillId="4" borderId="6" xfId="0" applyFont="1" applyFill="1" applyBorder="1" applyAlignment="1">
      <alignment wrapText="1"/>
    </xf>
    <xf numFmtId="0" fontId="5" fillId="0" borderId="5" xfId="1" applyFont="1" applyBorder="1" applyAlignment="1">
      <alignment horizontal="left"/>
    </xf>
    <xf numFmtId="0" fontId="5" fillId="0" borderId="5" xfId="1" applyFont="1" applyBorder="1" applyAlignment="1">
      <alignment horizontal="center"/>
    </xf>
    <xf numFmtId="0" fontId="5" fillId="0" borderId="5" xfId="1" applyFont="1" applyBorder="1" applyAlignment="1">
      <alignment horizontal="left" wrapText="1"/>
    </xf>
    <xf numFmtId="0" fontId="5" fillId="4" borderId="6" xfId="1" applyFont="1" applyFill="1" applyBorder="1" applyAlignment="1">
      <alignment wrapText="1"/>
    </xf>
    <xf numFmtId="0" fontId="5" fillId="0" borderId="5" xfId="1" applyFont="1" applyBorder="1"/>
    <xf numFmtId="0" fontId="5" fillId="0" borderId="0" xfId="1" applyFont="1"/>
    <xf numFmtId="0" fontId="4" fillId="0" borderId="5" xfId="1" applyFont="1" applyBorder="1" applyAlignment="1">
      <alignment horizontal="left" vertical="center" wrapText="1"/>
    </xf>
    <xf numFmtId="0" fontId="4" fillId="0" borderId="5" xfId="0" applyFont="1" applyBorder="1" applyAlignment="1">
      <alignment horizontal="left" vertical="center" wrapText="1"/>
    </xf>
    <xf numFmtId="0" fontId="4" fillId="0" borderId="5" xfId="0" applyFont="1" applyBorder="1" applyAlignment="1">
      <alignment horizontal="center" vertical="center" wrapText="1"/>
    </xf>
    <xf numFmtId="0" fontId="5" fillId="3" borderId="5" xfId="0" applyFont="1" applyFill="1" applyBorder="1" applyAlignment="1">
      <alignment horizontal="center"/>
    </xf>
    <xf numFmtId="0" fontId="4" fillId="3" borderId="5" xfId="0" applyFont="1" applyFill="1" applyBorder="1" applyAlignment="1">
      <alignment horizontal="left" wrapText="1"/>
    </xf>
    <xf numFmtId="0" fontId="4" fillId="3" borderId="5" xfId="0" applyFont="1" applyFill="1" applyBorder="1" applyAlignment="1">
      <alignment horizontal="center" wrapText="1"/>
    </xf>
    <xf numFmtId="0" fontId="4" fillId="0" borderId="4" xfId="0" applyFont="1" applyBorder="1" applyAlignment="1">
      <alignment vertical="center" wrapText="1"/>
    </xf>
    <xf numFmtId="0" fontId="4" fillId="0" borderId="5" xfId="0" applyFont="1" applyBorder="1" applyAlignment="1">
      <alignment horizontal="center"/>
    </xf>
    <xf numFmtId="0" fontId="5" fillId="0" borderId="5" xfId="0" applyFont="1" applyBorder="1" applyAlignment="1">
      <alignment horizontal="left"/>
    </xf>
    <xf numFmtId="0" fontId="5" fillId="0" borderId="5" xfId="0" applyFont="1" applyBorder="1" applyAlignment="1">
      <alignment horizontal="left" vertical="top"/>
    </xf>
    <xf numFmtId="0" fontId="7" fillId="0" borderId="5" xfId="0" applyFont="1" applyBorder="1" applyAlignment="1">
      <alignment horizontal="left"/>
    </xf>
    <xf numFmtId="0" fontId="6" fillId="0" borderId="5" xfId="0" applyFont="1" applyBorder="1" applyAlignment="1">
      <alignment vertical="top" wrapText="1"/>
    </xf>
    <xf numFmtId="0" fontId="5" fillId="0" borderId="5" xfId="0" quotePrefix="1" applyFont="1" applyBorder="1" applyAlignment="1">
      <alignment horizontal="left" vertical="top"/>
    </xf>
    <xf numFmtId="0" fontId="7" fillId="0" borderId="5" xfId="0" applyFont="1" applyBorder="1" applyAlignment="1">
      <alignment horizontal="left" wrapText="1"/>
    </xf>
    <xf numFmtId="0" fontId="0" fillId="0" borderId="5" xfId="0" applyBorder="1"/>
    <xf numFmtId="0" fontId="5" fillId="0" borderId="5" xfId="0" applyFont="1" applyBorder="1" applyAlignment="1">
      <alignment vertical="center" wrapText="1"/>
    </xf>
    <xf numFmtId="0" fontId="5" fillId="0" borderId="6" xfId="0" applyFont="1" applyBorder="1" applyAlignment="1">
      <alignment wrapText="1"/>
    </xf>
    <xf numFmtId="0" fontId="5" fillId="3" borderId="5" xfId="0" applyFont="1" applyFill="1" applyBorder="1"/>
    <xf numFmtId="0" fontId="5" fillId="0" borderId="4" xfId="0" applyFont="1" applyBorder="1" applyAlignment="1">
      <alignment vertical="center" wrapText="1"/>
    </xf>
    <xf numFmtId="0" fontId="5" fillId="0" borderId="0" xfId="0" applyFont="1" applyAlignment="1">
      <alignment vertical="center" wrapText="1"/>
    </xf>
    <xf numFmtId="0" fontId="5" fillId="0" borderId="0" xfId="0" applyFont="1" applyAlignment="1">
      <alignment horizontal="center"/>
    </xf>
    <xf numFmtId="0" fontId="5" fillId="0" borderId="0" xfId="0" applyFont="1" applyAlignment="1">
      <alignment horizontal="left" wrapText="1"/>
    </xf>
    <xf numFmtId="0" fontId="5" fillId="0" borderId="0" xfId="0" applyFont="1" applyAlignment="1">
      <alignment horizontal="center" wrapText="1"/>
    </xf>
    <xf numFmtId="0" fontId="5" fillId="4" borderId="0" xfId="0" applyFont="1" applyFill="1" applyAlignment="1">
      <alignment wrapText="1"/>
    </xf>
    <xf numFmtId="0" fontId="9" fillId="0" borderId="4" xfId="0" applyFont="1" applyBorder="1"/>
    <xf numFmtId="0" fontId="6" fillId="0" borderId="4" xfId="0" applyFont="1" applyBorder="1" applyAlignment="1">
      <alignment vertical="top" wrapText="1"/>
    </xf>
    <xf numFmtId="0" fontId="5" fillId="0" borderId="7" xfId="0" applyFont="1" applyBorder="1" applyAlignment="1">
      <alignment vertical="center" wrapText="1"/>
    </xf>
    <xf numFmtId="0" fontId="6" fillId="0" borderId="8" xfId="0" applyFont="1" applyBorder="1"/>
    <xf numFmtId="0" fontId="5" fillId="0" borderId="8" xfId="0" applyFont="1" applyBorder="1" applyAlignment="1">
      <alignment horizontal="center"/>
    </xf>
    <xf numFmtId="0" fontId="5" fillId="0" borderId="8" xfId="0" applyFont="1" applyBorder="1" applyAlignment="1">
      <alignment horizontal="left" wrapText="1"/>
    </xf>
    <xf numFmtId="0" fontId="5" fillId="0" borderId="8" xfId="0" applyFont="1" applyBorder="1" applyAlignment="1">
      <alignment horizontal="center" wrapText="1"/>
    </xf>
    <xf numFmtId="49" fontId="4" fillId="2" borderId="2"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0" fontId="5" fillId="2" borderId="5" xfId="0" applyFont="1" applyFill="1" applyBorder="1" applyAlignment="1">
      <alignment wrapText="1"/>
    </xf>
    <xf numFmtId="0" fontId="10" fillId="3" borderId="5" xfId="0" applyFont="1" applyFill="1" applyBorder="1" applyAlignment="1">
      <alignment horizontal="center" wrapText="1"/>
    </xf>
    <xf numFmtId="49" fontId="4" fillId="3" borderId="5" xfId="0" applyNumberFormat="1" applyFont="1" applyFill="1" applyBorder="1" applyAlignment="1">
      <alignment horizontal="center"/>
    </xf>
    <xf numFmtId="0" fontId="5" fillId="4" borderId="10" xfId="0" applyFont="1" applyFill="1" applyBorder="1" applyAlignment="1">
      <alignment wrapText="1"/>
    </xf>
    <xf numFmtId="0" fontId="5" fillId="0" borderId="5" xfId="0" applyFont="1" applyBorder="1"/>
    <xf numFmtId="0" fontId="6" fillId="0" borderId="5" xfId="0" applyFont="1" applyBorder="1" applyAlignment="1">
      <alignment horizontal="center"/>
    </xf>
    <xf numFmtId="49" fontId="5" fillId="0" borderId="5" xfId="0" applyNumberFormat="1" applyFont="1" applyBorder="1" applyAlignment="1">
      <alignment horizontal="center"/>
    </xf>
    <xf numFmtId="0" fontId="6" fillId="0" borderId="4" xfId="1" applyFont="1" applyBorder="1"/>
    <xf numFmtId="0" fontId="6" fillId="0" borderId="5" xfId="1" applyFont="1" applyBorder="1" applyAlignment="1">
      <alignment horizontal="center"/>
    </xf>
    <xf numFmtId="0" fontId="5" fillId="0" borderId="5" xfId="1" applyFont="1" applyBorder="1" applyAlignment="1">
      <alignment horizontal="center" wrapText="1"/>
    </xf>
    <xf numFmtId="0" fontId="8" fillId="0" borderId="5" xfId="0" applyFont="1" applyBorder="1" applyAlignment="1">
      <alignment horizontal="center" vertical="center" wrapText="1"/>
    </xf>
    <xf numFmtId="49" fontId="4" fillId="0" borderId="5" xfId="0" applyNumberFormat="1" applyFont="1" applyBorder="1" applyAlignment="1">
      <alignment horizontal="center"/>
    </xf>
    <xf numFmtId="0" fontId="10" fillId="0" borderId="5" xfId="0" applyFont="1" applyBorder="1" applyAlignment="1">
      <alignment horizontal="left" vertical="top"/>
    </xf>
    <xf numFmtId="0" fontId="5" fillId="0" borderId="5" xfId="0" applyFont="1" applyBorder="1" applyAlignment="1">
      <alignment horizontal="center" vertical="top"/>
    </xf>
    <xf numFmtId="0" fontId="9" fillId="0" borderId="5" xfId="0" applyFont="1" applyBorder="1"/>
    <xf numFmtId="49" fontId="5" fillId="0" borderId="5" xfId="0" applyNumberFormat="1" applyFont="1" applyBorder="1" applyAlignment="1">
      <alignment horizontal="left" vertical="top"/>
    </xf>
    <xf numFmtId="0" fontId="4" fillId="0" borderId="5" xfId="0" applyFont="1" applyBorder="1" applyAlignment="1">
      <alignment horizontal="left" wrapText="1"/>
    </xf>
    <xf numFmtId="0" fontId="4" fillId="0" borderId="5" xfId="0" applyFont="1" applyBorder="1" applyAlignment="1">
      <alignment horizontal="center" wrapText="1"/>
    </xf>
    <xf numFmtId="0" fontId="5" fillId="0" borderId="5" xfId="0" applyFont="1" applyBorder="1" applyAlignment="1">
      <alignment horizontal="left" vertical="top" wrapText="1"/>
    </xf>
    <xf numFmtId="0" fontId="11" fillId="0" borderId="5" xfId="0" applyFont="1" applyBorder="1"/>
    <xf numFmtId="0" fontId="8" fillId="0" borderId="5" xfId="0" applyFont="1" applyBorder="1" applyAlignment="1">
      <alignment horizontal="center" wrapText="1"/>
    </xf>
    <xf numFmtId="0" fontId="12" fillId="0" borderId="5" xfId="0" applyFont="1" applyBorder="1" applyAlignment="1">
      <alignment horizontal="left" wrapText="1"/>
    </xf>
    <xf numFmtId="0" fontId="5" fillId="0" borderId="11" xfId="0" applyFont="1" applyBorder="1" applyAlignment="1">
      <alignment horizontal="left" vertical="top"/>
    </xf>
    <xf numFmtId="0" fontId="5" fillId="0" borderId="4" xfId="1" applyFont="1" applyBorder="1" applyAlignment="1">
      <alignment vertical="center" wrapText="1"/>
    </xf>
    <xf numFmtId="0" fontId="5" fillId="0" borderId="7" xfId="1" applyFont="1" applyBorder="1" applyAlignment="1">
      <alignment vertical="center" wrapText="1"/>
    </xf>
    <xf numFmtId="0" fontId="6" fillId="0" borderId="8" xfId="0" applyFont="1" applyBorder="1" applyAlignment="1">
      <alignment horizontal="center"/>
    </xf>
    <xf numFmtId="0" fontId="5" fillId="0" borderId="8" xfId="1" applyFont="1" applyBorder="1" applyAlignment="1">
      <alignment horizontal="left" wrapText="1"/>
    </xf>
    <xf numFmtId="49" fontId="5" fillId="0" borderId="8" xfId="0" applyNumberFormat="1" applyFont="1" applyBorder="1" applyAlignment="1">
      <alignment horizontal="center"/>
    </xf>
    <xf numFmtId="0" fontId="5" fillId="4" borderId="12" xfId="0" applyFont="1" applyFill="1" applyBorder="1" applyAlignment="1">
      <alignment wrapText="1"/>
    </xf>
    <xf numFmtId="0" fontId="5" fillId="0" borderId="8" xfId="0" applyFont="1" applyBorder="1"/>
    <xf numFmtId="49" fontId="5" fillId="0" borderId="0" xfId="0" applyNumberFormat="1" applyFont="1" applyAlignment="1">
      <alignment horizontal="center"/>
    </xf>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2" xfId="2" applyFont="1" applyFill="1" applyBorder="1" applyAlignment="1">
      <alignment horizontal="left" vertical="center" wrapText="1"/>
    </xf>
    <xf numFmtId="49" fontId="4" fillId="2" borderId="2" xfId="2" applyNumberFormat="1" applyFont="1" applyFill="1" applyBorder="1" applyAlignment="1">
      <alignment horizontal="center" vertical="center" wrapText="1"/>
    </xf>
    <xf numFmtId="0" fontId="5" fillId="0" borderId="0" xfId="2" applyFont="1" applyAlignment="1">
      <alignment wrapText="1"/>
    </xf>
    <xf numFmtId="0" fontId="4" fillId="3" borderId="4" xfId="2" applyFont="1" applyFill="1" applyBorder="1" applyAlignment="1">
      <alignment vertical="center" wrapText="1"/>
    </xf>
    <xf numFmtId="0" fontId="4" fillId="3" borderId="5" xfId="2" applyFont="1" applyFill="1" applyBorder="1" applyAlignment="1">
      <alignment horizontal="center"/>
    </xf>
    <xf numFmtId="0" fontId="5" fillId="5" borderId="0" xfId="0" applyFont="1" applyFill="1" applyAlignment="1">
      <alignment vertical="center" wrapText="1"/>
    </xf>
    <xf numFmtId="0" fontId="5" fillId="3" borderId="5" xfId="2" applyFont="1" applyFill="1" applyBorder="1" applyAlignment="1">
      <alignment horizontal="center" wrapText="1"/>
    </xf>
    <xf numFmtId="0" fontId="4" fillId="3" borderId="5" xfId="2" applyFont="1" applyFill="1" applyBorder="1" applyAlignment="1">
      <alignment horizontal="left"/>
    </xf>
    <xf numFmtId="49" fontId="4" fillId="3" borderId="5" xfId="2" applyNumberFormat="1" applyFont="1" applyFill="1" applyBorder="1" applyAlignment="1">
      <alignment horizontal="center"/>
    </xf>
    <xf numFmtId="0" fontId="5" fillId="4" borderId="5" xfId="2" applyFont="1" applyFill="1" applyBorder="1" applyAlignment="1">
      <alignment wrapText="1"/>
    </xf>
    <xf numFmtId="0" fontId="5" fillId="0" borderId="5" xfId="2" applyFont="1" applyBorder="1"/>
    <xf numFmtId="0" fontId="5" fillId="0" borderId="0" xfId="2" applyFont="1"/>
    <xf numFmtId="0" fontId="6" fillId="0" borderId="4" xfId="2" applyFont="1" applyBorder="1"/>
    <xf numFmtId="0" fontId="6" fillId="0" borderId="5" xfId="2" applyFont="1" applyBorder="1"/>
    <xf numFmtId="0" fontId="5" fillId="0" borderId="5" xfId="2" applyFont="1" applyBorder="1" applyAlignment="1">
      <alignment horizontal="center"/>
    </xf>
    <xf numFmtId="0" fontId="5" fillId="0" borderId="5" xfId="2" applyFont="1" applyBorder="1" applyAlignment="1">
      <alignment horizontal="center" wrapText="1"/>
    </xf>
    <xf numFmtId="0" fontId="5" fillId="0" borderId="5" xfId="2" applyFont="1" applyBorder="1" applyAlignment="1">
      <alignment horizontal="left"/>
    </xf>
    <xf numFmtId="49" fontId="5" fillId="0" borderId="5" xfId="2" applyNumberFormat="1" applyFont="1" applyBorder="1" applyAlignment="1">
      <alignment horizontal="center"/>
    </xf>
    <xf numFmtId="0" fontId="5" fillId="0" borderId="5" xfId="3" applyFont="1" applyBorder="1" applyAlignment="1">
      <alignment horizontal="center"/>
    </xf>
    <xf numFmtId="0" fontId="5" fillId="0" borderId="5" xfId="1" applyFont="1" applyBorder="1" applyAlignment="1">
      <alignment horizontal="left" vertical="center" wrapText="1"/>
    </xf>
    <xf numFmtId="0" fontId="5" fillId="0" borderId="5" xfId="2" applyFont="1" applyBorder="1" applyAlignment="1">
      <alignment horizontal="center" vertical="center" wrapText="1"/>
    </xf>
    <xf numFmtId="0" fontId="5" fillId="3" borderId="4" xfId="2" applyFont="1" applyFill="1" applyBorder="1" applyAlignment="1">
      <alignment vertical="center" wrapText="1"/>
    </xf>
    <xf numFmtId="0" fontId="5" fillId="3" borderId="5" xfId="2" applyFont="1" applyFill="1" applyBorder="1" applyAlignment="1">
      <alignment horizontal="center"/>
    </xf>
    <xf numFmtId="0" fontId="5" fillId="3" borderId="5" xfId="2" applyFont="1" applyFill="1" applyBorder="1" applyAlignment="1">
      <alignment horizontal="left"/>
    </xf>
    <xf numFmtId="49" fontId="5" fillId="3" borderId="5" xfId="2" applyNumberFormat="1" applyFont="1" applyFill="1" applyBorder="1" applyAlignment="1">
      <alignment horizontal="center"/>
    </xf>
    <xf numFmtId="0" fontId="5" fillId="0" borderId="4" xfId="2" applyFont="1" applyBorder="1" applyAlignment="1">
      <alignment vertical="center" wrapText="1"/>
    </xf>
    <xf numFmtId="0" fontId="7" fillId="0" borderId="5" xfId="2" applyFont="1" applyBorder="1" applyAlignment="1">
      <alignment horizontal="left"/>
    </xf>
    <xf numFmtId="0" fontId="5" fillId="0" borderId="5" xfId="2" applyFont="1" applyBorder="1" applyAlignment="1">
      <alignment horizontal="left" wrapText="1"/>
    </xf>
    <xf numFmtId="49" fontId="5" fillId="0" borderId="5" xfId="2" applyNumberFormat="1" applyFont="1" applyBorder="1" applyAlignment="1">
      <alignment horizontal="left"/>
    </xf>
    <xf numFmtId="0" fontId="5" fillId="6" borderId="5" xfId="3" applyFont="1" applyFill="1" applyBorder="1" applyAlignment="1">
      <alignment horizontal="left" vertical="top"/>
    </xf>
    <xf numFmtId="0" fontId="6" fillId="6" borderId="5" xfId="3" applyFont="1" applyFill="1" applyBorder="1"/>
    <xf numFmtId="0" fontId="5" fillId="6" borderId="5" xfId="3" applyFont="1" applyFill="1" applyBorder="1" applyAlignment="1">
      <alignment horizontal="center"/>
    </xf>
    <xf numFmtId="0" fontId="5" fillId="6" borderId="5" xfId="2" applyFont="1" applyFill="1" applyBorder="1" applyAlignment="1">
      <alignment horizontal="center"/>
    </xf>
    <xf numFmtId="0" fontId="5" fillId="6" borderId="5" xfId="3" applyFont="1" applyFill="1" applyBorder="1" applyAlignment="1">
      <alignment horizontal="center" wrapText="1"/>
    </xf>
    <xf numFmtId="0" fontId="11" fillId="6" borderId="5" xfId="3" applyFont="1" applyFill="1" applyBorder="1"/>
    <xf numFmtId="0" fontId="5" fillId="0" borderId="5" xfId="3" applyFont="1" applyBorder="1" applyAlignment="1">
      <alignment horizontal="center" wrapText="1"/>
    </xf>
    <xf numFmtId="49" fontId="5" fillId="0" borderId="5" xfId="3" applyNumberFormat="1" applyFont="1" applyBorder="1" applyAlignment="1">
      <alignment horizontal="left"/>
    </xf>
    <xf numFmtId="0" fontId="5" fillId="4" borderId="6" xfId="3" applyFont="1" applyFill="1" applyBorder="1" applyAlignment="1">
      <alignment wrapText="1"/>
    </xf>
    <xf numFmtId="0" fontId="5" fillId="0" borderId="0" xfId="3" applyFont="1"/>
    <xf numFmtId="0" fontId="5" fillId="0" borderId="5" xfId="3" applyFont="1" applyBorder="1" applyAlignment="1">
      <alignment horizontal="left" vertical="top"/>
    </xf>
    <xf numFmtId="0" fontId="5" fillId="4" borderId="10" xfId="2" applyFont="1" applyFill="1" applyBorder="1" applyAlignment="1">
      <alignment wrapText="1"/>
    </xf>
    <xf numFmtId="0" fontId="6" fillId="0" borderId="5" xfId="3" applyFont="1" applyBorder="1"/>
    <xf numFmtId="0" fontId="7" fillId="0" borderId="5" xfId="2" applyFont="1" applyBorder="1" applyAlignment="1">
      <alignment horizontal="left" wrapText="1"/>
    </xf>
    <xf numFmtId="49" fontId="3" fillId="0" borderId="5" xfId="2" applyNumberFormat="1" applyBorder="1" applyAlignment="1">
      <alignment horizontal="left"/>
    </xf>
    <xf numFmtId="0" fontId="5" fillId="0" borderId="11" xfId="2" applyFont="1" applyBorder="1" applyAlignment="1">
      <alignment vertical="center" wrapText="1"/>
    </xf>
    <xf numFmtId="0" fontId="5" fillId="0" borderId="5" xfId="2" applyFont="1" applyBorder="1" applyAlignment="1">
      <alignment horizontal="left" vertical="top"/>
    </xf>
    <xf numFmtId="0" fontId="5" fillId="0" borderId="11" xfId="2" applyFont="1" applyBorder="1" applyAlignment="1">
      <alignment horizontal="left" vertical="top"/>
    </xf>
    <xf numFmtId="0" fontId="16" fillId="0" borderId="11" xfId="2" applyFont="1" applyBorder="1" applyAlignment="1">
      <alignment horizontal="left" vertical="top"/>
    </xf>
    <xf numFmtId="0" fontId="17" fillId="0" borderId="5" xfId="2" applyFont="1" applyBorder="1"/>
    <xf numFmtId="0" fontId="16" fillId="0" borderId="5" xfId="2" applyFont="1" applyBorder="1" applyAlignment="1">
      <alignment horizontal="center"/>
    </xf>
    <xf numFmtId="0" fontId="18" fillId="0" borderId="5" xfId="2" applyFont="1" applyBorder="1" applyAlignment="1">
      <alignment horizontal="left" wrapText="1"/>
    </xf>
    <xf numFmtId="0" fontId="18" fillId="0" borderId="5" xfId="2" applyFont="1" applyBorder="1" applyAlignment="1">
      <alignment horizontal="center" wrapText="1"/>
    </xf>
    <xf numFmtId="0" fontId="16" fillId="0" borderId="5" xfId="2" applyFont="1" applyBorder="1" applyAlignment="1">
      <alignment horizontal="center" wrapText="1"/>
    </xf>
    <xf numFmtId="0" fontId="16" fillId="0" borderId="5" xfId="2" applyFont="1" applyBorder="1" applyAlignment="1">
      <alignment horizontal="left" wrapText="1"/>
    </xf>
    <xf numFmtId="49" fontId="16" fillId="0" borderId="5" xfId="2" applyNumberFormat="1" applyFont="1" applyBorder="1" applyAlignment="1">
      <alignment horizontal="left"/>
    </xf>
    <xf numFmtId="0" fontId="16" fillId="4" borderId="10" xfId="2" applyFont="1" applyFill="1" applyBorder="1" applyAlignment="1">
      <alignment wrapText="1"/>
    </xf>
    <xf numFmtId="0" fontId="16" fillId="0" borderId="5" xfId="2" applyFont="1" applyBorder="1"/>
    <xf numFmtId="0" fontId="16" fillId="0" borderId="0" xfId="2" applyFont="1"/>
    <xf numFmtId="0" fontId="16" fillId="0" borderId="5" xfId="3" applyFont="1" applyBorder="1" applyAlignment="1">
      <alignment horizontal="center"/>
    </xf>
    <xf numFmtId="0" fontId="16" fillId="0" borderId="5" xfId="2" applyFont="1" applyBorder="1" applyAlignment="1">
      <alignment horizontal="left"/>
    </xf>
    <xf numFmtId="0" fontId="4" fillId="3" borderId="5" xfId="2" applyFont="1" applyFill="1" applyBorder="1" applyAlignment="1">
      <alignment horizontal="center" wrapText="1"/>
    </xf>
    <xf numFmtId="0" fontId="4" fillId="3" borderId="5" xfId="2" applyFont="1" applyFill="1" applyBorder="1" applyAlignment="1">
      <alignment horizontal="left" wrapText="1"/>
    </xf>
    <xf numFmtId="0" fontId="4" fillId="0" borderId="4" xfId="2" applyFont="1" applyBorder="1" applyAlignment="1">
      <alignment vertical="center" wrapText="1"/>
    </xf>
    <xf numFmtId="0" fontId="5" fillId="0" borderId="0" xfId="2" applyFont="1" applyAlignment="1">
      <alignment vertical="center" wrapText="1"/>
    </xf>
    <xf numFmtId="0" fontId="5" fillId="0" borderId="0" xfId="2" applyFont="1" applyAlignment="1">
      <alignment horizontal="center"/>
    </xf>
    <xf numFmtId="0" fontId="5" fillId="0" borderId="0" xfId="2" applyFont="1" applyAlignment="1">
      <alignment horizontal="center" wrapText="1"/>
    </xf>
    <xf numFmtId="0" fontId="5" fillId="0" borderId="0" xfId="2" applyFont="1" applyAlignment="1">
      <alignment horizontal="left"/>
    </xf>
    <xf numFmtId="49" fontId="5" fillId="0" borderId="0" xfId="2" applyNumberFormat="1" applyFont="1" applyAlignment="1">
      <alignment horizontal="center"/>
    </xf>
    <xf numFmtId="0" fontId="5" fillId="4" borderId="0" xfId="2" applyFont="1" applyFill="1" applyAlignment="1">
      <alignment wrapText="1"/>
    </xf>
    <xf numFmtId="0" fontId="4" fillId="2" borderId="2" xfId="1" applyFont="1" applyFill="1" applyBorder="1" applyAlignment="1">
      <alignment horizontal="center" vertical="center" wrapText="1"/>
    </xf>
    <xf numFmtId="0" fontId="5" fillId="2" borderId="3" xfId="0" applyFont="1" applyFill="1" applyBorder="1" applyAlignment="1">
      <alignment wrapText="1"/>
    </xf>
    <xf numFmtId="0" fontId="4" fillId="3" borderId="10" xfId="0" applyFont="1" applyFill="1" applyBorder="1" applyAlignment="1">
      <alignment horizontal="center"/>
    </xf>
    <xf numFmtId="0" fontId="4" fillId="3" borderId="4" xfId="0" applyFont="1" applyFill="1" applyBorder="1" applyAlignment="1">
      <alignment horizontal="center"/>
    </xf>
    <xf numFmtId="0" fontId="5" fillId="3" borderId="5" xfId="0" applyFont="1" applyFill="1" applyBorder="1" applyAlignment="1">
      <alignment wrapText="1"/>
    </xf>
    <xf numFmtId="0" fontId="5" fillId="3" borderId="5" xfId="1" applyFont="1" applyFill="1" applyBorder="1"/>
    <xf numFmtId="0" fontId="5" fillId="3" borderId="6" xfId="0" applyFont="1" applyFill="1" applyBorder="1"/>
    <xf numFmtId="0" fontId="6" fillId="0" borderId="10" xfId="0" applyFont="1" applyBorder="1" applyAlignment="1">
      <alignment horizontal="center"/>
    </xf>
    <xf numFmtId="0" fontId="5" fillId="0" borderId="4" xfId="0" applyFont="1" applyBorder="1" applyAlignment="1">
      <alignment horizontal="center"/>
    </xf>
    <xf numFmtId="0" fontId="5" fillId="4" borderId="5" xfId="0" applyFont="1" applyFill="1" applyBorder="1" applyAlignment="1">
      <alignment wrapText="1"/>
    </xf>
    <xf numFmtId="0" fontId="5" fillId="0" borderId="6" xfId="0" applyFont="1" applyBorder="1"/>
    <xf numFmtId="0" fontId="6" fillId="0" borderId="10" xfId="1" applyFont="1" applyBorder="1" applyAlignment="1">
      <alignment horizontal="center"/>
    </xf>
    <xf numFmtId="0" fontId="5" fillId="0" borderId="4" xfId="1" applyFont="1" applyBorder="1" applyAlignment="1">
      <alignment horizontal="center"/>
    </xf>
    <xf numFmtId="0" fontId="5" fillId="4" borderId="5" xfId="1" applyFont="1" applyFill="1" applyBorder="1" applyAlignment="1">
      <alignment wrapText="1"/>
    </xf>
    <xf numFmtId="0" fontId="5" fillId="0" borderId="6" xfId="1" applyFont="1" applyBorder="1"/>
    <xf numFmtId="0" fontId="4" fillId="0" borderId="5" xfId="1" applyFont="1" applyBorder="1" applyAlignment="1">
      <alignment horizontal="center" vertical="center" wrapText="1"/>
    </xf>
    <xf numFmtId="0" fontId="5" fillId="0" borderId="10" xfId="1" applyFont="1" applyBorder="1" applyAlignment="1">
      <alignment horizontal="center"/>
    </xf>
    <xf numFmtId="0" fontId="5" fillId="3" borderId="4" xfId="0" applyFont="1" applyFill="1" applyBorder="1" applyAlignment="1">
      <alignment horizontal="center"/>
    </xf>
    <xf numFmtId="0" fontId="20" fillId="0" borderId="4" xfId="0" applyFont="1" applyBorder="1" applyAlignment="1">
      <alignment vertical="top" wrapText="1"/>
    </xf>
    <xf numFmtId="0" fontId="20" fillId="0" borderId="10" xfId="0" applyFont="1" applyBorder="1" applyAlignment="1">
      <alignment horizontal="center"/>
    </xf>
    <xf numFmtId="0" fontId="5" fillId="0" borderId="5" xfId="0" quotePrefix="1" applyFont="1" applyBorder="1" applyAlignment="1">
      <alignment horizontal="left"/>
    </xf>
    <xf numFmtId="0" fontId="10" fillId="0" borderId="5" xfId="1" applyFont="1" applyBorder="1" applyAlignment="1">
      <alignment horizontal="center" wrapText="1"/>
    </xf>
    <xf numFmtId="0" fontId="5" fillId="5" borderId="5" xfId="0" applyFont="1" applyFill="1" applyBorder="1" applyAlignment="1">
      <alignment horizontal="left" vertical="top"/>
    </xf>
    <xf numFmtId="0" fontId="3" fillId="0" borderId="5" xfId="0" applyFont="1" applyBorder="1"/>
    <xf numFmtId="0" fontId="10" fillId="0" borderId="5" xfId="0" applyFont="1" applyBorder="1" applyAlignment="1">
      <alignment horizontal="center"/>
    </xf>
    <xf numFmtId="0" fontId="0" fillId="0" borderId="5" xfId="0" applyBorder="1" applyAlignment="1">
      <alignment wrapText="1"/>
    </xf>
    <xf numFmtId="0" fontId="0" fillId="0" borderId="4" xfId="0" applyBorder="1"/>
    <xf numFmtId="0" fontId="6" fillId="5" borderId="4" xfId="0" applyFont="1" applyFill="1" applyBorder="1"/>
    <xf numFmtId="0" fontId="3" fillId="0" borderId="4" xfId="0" applyFont="1" applyBorder="1"/>
    <xf numFmtId="0" fontId="10" fillId="0" borderId="5" xfId="0" applyFont="1" applyBorder="1" applyAlignment="1">
      <alignment horizontal="center" wrapText="1"/>
    </xf>
    <xf numFmtId="0" fontId="10" fillId="0" borderId="0" xfId="0" applyFont="1"/>
    <xf numFmtId="0" fontId="26" fillId="0" borderId="5" xfId="3" applyFont="1" applyBorder="1" applyAlignment="1">
      <alignment horizontal="left" vertical="top"/>
    </xf>
    <xf numFmtId="0" fontId="27" fillId="0" borderId="5" xfId="3" applyFont="1" applyBorder="1"/>
    <xf numFmtId="0" fontId="26" fillId="0" borderId="5" xfId="3" applyFont="1" applyBorder="1" applyAlignment="1">
      <alignment horizontal="center"/>
    </xf>
    <xf numFmtId="0" fontId="28" fillId="0" borderId="5" xfId="3" applyFont="1" applyBorder="1" applyAlignment="1">
      <alignment horizontal="center" wrapText="1"/>
    </xf>
    <xf numFmtId="0" fontId="3" fillId="0" borderId="0" xfId="0" applyFont="1"/>
    <xf numFmtId="0" fontId="26" fillId="0" borderId="5" xfId="3" applyFont="1" applyBorder="1" applyAlignment="1">
      <alignment horizontal="center" wrapText="1"/>
    </xf>
    <xf numFmtId="0" fontId="29" fillId="0" borderId="5" xfId="3" applyFont="1" applyBorder="1"/>
    <xf numFmtId="49" fontId="26" fillId="0" borderId="5" xfId="3" applyNumberFormat="1" applyFont="1" applyBorder="1" applyAlignment="1">
      <alignment horizontal="left" vertical="top"/>
    </xf>
    <xf numFmtId="0" fontId="26" fillId="4" borderId="6" xfId="3" applyFont="1" applyFill="1" applyBorder="1" applyAlignment="1">
      <alignment wrapText="1"/>
    </xf>
    <xf numFmtId="0" fontId="26" fillId="0" borderId="0" xfId="3" applyFont="1"/>
    <xf numFmtId="0" fontId="5" fillId="0" borderId="12" xfId="1" applyFont="1" applyBorder="1" applyAlignment="1">
      <alignment horizontal="center"/>
    </xf>
    <xf numFmtId="0" fontId="5" fillId="0" borderId="7" xfId="1" applyFont="1" applyBorder="1" applyAlignment="1">
      <alignment horizontal="center"/>
    </xf>
    <xf numFmtId="0" fontId="5" fillId="0" borderId="8" xfId="1" applyFont="1" applyBorder="1" applyAlignment="1">
      <alignment horizontal="center"/>
    </xf>
    <xf numFmtId="0" fontId="5" fillId="0" borderId="8" xfId="1" applyFont="1" applyBorder="1" applyAlignment="1">
      <alignment horizontal="center" wrapText="1"/>
    </xf>
    <xf numFmtId="0" fontId="5" fillId="4" borderId="8" xfId="1" applyFont="1" applyFill="1" applyBorder="1" applyAlignment="1">
      <alignment wrapText="1"/>
    </xf>
    <xf numFmtId="0" fontId="5" fillId="0" borderId="8" xfId="1" applyFont="1" applyBorder="1"/>
    <xf numFmtId="0" fontId="5" fillId="0" borderId="13" xfId="1" applyFont="1" applyBorder="1"/>
    <xf numFmtId="0" fontId="0" fillId="0" borderId="0" xfId="0" applyAlignment="1">
      <alignment horizontal="center"/>
    </xf>
    <xf numFmtId="0" fontId="0" fillId="0" borderId="0" xfId="0" applyAlignment="1">
      <alignment horizontal="left"/>
    </xf>
    <xf numFmtId="0" fontId="4" fillId="2" borderId="1" xfId="4" applyFont="1" applyFill="1" applyBorder="1" applyAlignment="1">
      <alignment horizontal="center" vertical="center" wrapText="1"/>
    </xf>
    <xf numFmtId="0" fontId="4" fillId="2" borderId="2" xfId="4" applyFont="1" applyFill="1" applyBorder="1" applyAlignment="1">
      <alignment horizontal="center" vertical="center" wrapText="1"/>
    </xf>
    <xf numFmtId="49" fontId="4" fillId="2" borderId="2" xfId="4" applyNumberFormat="1" applyFont="1" applyFill="1" applyBorder="1" applyAlignment="1">
      <alignment horizontal="center" vertical="center" wrapText="1"/>
    </xf>
    <xf numFmtId="0" fontId="4" fillId="2" borderId="5" xfId="4" applyFont="1" applyFill="1" applyBorder="1" applyAlignment="1">
      <alignment horizontal="center" vertical="center" wrapText="1"/>
    </xf>
    <xf numFmtId="0" fontId="5" fillId="2" borderId="6" xfId="4" applyFont="1" applyFill="1" applyBorder="1" applyAlignment="1">
      <alignment wrapText="1"/>
    </xf>
    <xf numFmtId="0" fontId="5" fillId="0" borderId="0" xfId="4" applyFont="1" applyAlignment="1">
      <alignment wrapText="1"/>
    </xf>
    <xf numFmtId="0" fontId="4" fillId="3" borderId="4" xfId="4" applyFont="1" applyFill="1" applyBorder="1" applyAlignment="1">
      <alignment vertical="center" wrapText="1"/>
    </xf>
    <xf numFmtId="0" fontId="4" fillId="3" borderId="5" xfId="4" applyFont="1" applyFill="1" applyBorder="1" applyAlignment="1">
      <alignment horizontal="center"/>
    </xf>
    <xf numFmtId="0" fontId="5" fillId="3" borderId="5" xfId="4" applyFont="1" applyFill="1" applyBorder="1" applyAlignment="1">
      <alignment horizontal="center" wrapText="1"/>
    </xf>
    <xf numFmtId="49" fontId="4" fillId="3" borderId="5" xfId="4" applyNumberFormat="1" applyFont="1" applyFill="1" applyBorder="1" applyAlignment="1">
      <alignment horizontal="center"/>
    </xf>
    <xf numFmtId="0" fontId="5" fillId="4" borderId="5" xfId="4" applyFont="1" applyFill="1" applyBorder="1" applyAlignment="1">
      <alignment wrapText="1"/>
    </xf>
    <xf numFmtId="0" fontId="5" fillId="0" borderId="6" xfId="4" applyFont="1" applyBorder="1"/>
    <xf numFmtId="0" fontId="5" fillId="0" borderId="0" xfId="4" applyFont="1"/>
    <xf numFmtId="0" fontId="6" fillId="0" borderId="4" xfId="4" applyFont="1" applyBorder="1"/>
    <xf numFmtId="0" fontId="6" fillId="0" borderId="5" xfId="4" applyFont="1" applyBorder="1"/>
    <xf numFmtId="0" fontId="4" fillId="0" borderId="5" xfId="4" applyFont="1" applyBorder="1" applyAlignment="1">
      <alignment horizontal="center"/>
    </xf>
    <xf numFmtId="0" fontId="5" fillId="0" borderId="5" xfId="4" applyFont="1" applyBorder="1" applyAlignment="1">
      <alignment horizontal="center"/>
    </xf>
    <xf numFmtId="0" fontId="5" fillId="0" borderId="5" xfId="4" applyFont="1" applyBorder="1" applyAlignment="1">
      <alignment horizontal="center" wrapText="1"/>
    </xf>
    <xf numFmtId="49" fontId="5" fillId="0" borderId="5" xfId="4" applyNumberFormat="1" applyFont="1" applyBorder="1" applyAlignment="1">
      <alignment horizontal="center"/>
    </xf>
    <xf numFmtId="0" fontId="4" fillId="0" borderId="5" xfId="4" applyFont="1" applyBorder="1" applyAlignment="1">
      <alignment horizontal="center" vertical="center"/>
    </xf>
    <xf numFmtId="0" fontId="5" fillId="0" borderId="5" xfId="4" applyFont="1" applyBorder="1" applyAlignment="1">
      <alignment horizontal="center" vertical="center"/>
    </xf>
    <xf numFmtId="0" fontId="16" fillId="0" borderId="5" xfId="4" applyFont="1" applyBorder="1" applyAlignment="1">
      <alignment horizontal="center" vertical="center" wrapText="1"/>
    </xf>
    <xf numFmtId="0" fontId="4" fillId="0" borderId="5" xfId="4" applyFont="1" applyBorder="1" applyAlignment="1">
      <alignment horizontal="center" vertical="center" wrapText="1"/>
    </xf>
    <xf numFmtId="49" fontId="5" fillId="0" borderId="5" xfId="4" applyNumberFormat="1" applyFont="1" applyBorder="1" applyAlignment="1">
      <alignment horizontal="center" vertical="center"/>
    </xf>
    <xf numFmtId="0" fontId="5" fillId="4" borderId="5" xfId="4" applyFont="1" applyFill="1" applyBorder="1" applyAlignment="1">
      <alignment vertical="center" wrapText="1"/>
    </xf>
    <xf numFmtId="0" fontId="5" fillId="0" borderId="6" xfId="4" applyFont="1" applyBorder="1" applyAlignment="1">
      <alignment vertical="center"/>
    </xf>
    <xf numFmtId="0" fontId="5" fillId="0" borderId="0" xfId="4" applyFont="1" applyAlignment="1">
      <alignment vertical="center"/>
    </xf>
    <xf numFmtId="0" fontId="4" fillId="3" borderId="5" xfId="4" applyFont="1" applyFill="1" applyBorder="1" applyAlignment="1">
      <alignment horizontal="center" wrapText="1"/>
    </xf>
    <xf numFmtId="0" fontId="4" fillId="0" borderId="4" xfId="4" applyFont="1" applyBorder="1" applyAlignment="1">
      <alignment vertical="center" wrapText="1"/>
    </xf>
    <xf numFmtId="0" fontId="30" fillId="0" borderId="5" xfId="4" applyFont="1" applyBorder="1" applyAlignment="1">
      <alignment vertical="center"/>
    </xf>
    <xf numFmtId="0" fontId="5" fillId="0" borderId="5" xfId="4" applyFont="1" applyBorder="1" applyAlignment="1">
      <alignment horizontal="center" vertical="center" wrapText="1"/>
    </xf>
    <xf numFmtId="49" fontId="4" fillId="0" borderId="5" xfId="4" applyNumberFormat="1" applyFont="1" applyBorder="1" applyAlignment="1">
      <alignment horizontal="center" vertical="center"/>
    </xf>
    <xf numFmtId="0" fontId="31" fillId="0" borderId="5" xfId="4" applyFont="1" applyBorder="1" applyAlignment="1">
      <alignment vertical="center"/>
    </xf>
    <xf numFmtId="0" fontId="16" fillId="0" borderId="5" xfId="4" applyFont="1" applyBorder="1" applyAlignment="1">
      <alignment horizontal="center" vertical="center"/>
    </xf>
    <xf numFmtId="0" fontId="32" fillId="0" borderId="5" xfId="4" applyFont="1" applyBorder="1" applyAlignment="1">
      <alignment horizontal="center" vertical="center" wrapText="1"/>
    </xf>
    <xf numFmtId="0" fontId="32" fillId="0" borderId="5" xfId="5" applyFont="1" applyBorder="1" applyAlignment="1">
      <alignment horizontal="left" vertical="top" wrapText="1"/>
    </xf>
    <xf numFmtId="49" fontId="32" fillId="0" borderId="5" xfId="4" applyNumberFormat="1" applyFont="1" applyBorder="1" applyAlignment="1">
      <alignment horizontal="left" vertical="center"/>
    </xf>
    <xf numFmtId="0" fontId="32" fillId="4" borderId="5" xfId="4" applyFont="1" applyFill="1" applyBorder="1" applyAlignment="1">
      <alignment vertical="center" wrapText="1"/>
    </xf>
    <xf numFmtId="0" fontId="32" fillId="0" borderId="6" xfId="4" applyFont="1" applyBorder="1" applyAlignment="1">
      <alignment vertical="center"/>
    </xf>
    <xf numFmtId="0" fontId="32" fillId="0" borderId="0" xfId="4" applyFont="1" applyAlignment="1">
      <alignment vertical="center"/>
    </xf>
    <xf numFmtId="0" fontId="4" fillId="3" borderId="5" xfId="4" applyFont="1" applyFill="1" applyBorder="1" applyAlignment="1">
      <alignment horizontal="center" vertical="center"/>
    </xf>
    <xf numFmtId="0" fontId="4" fillId="3" borderId="5" xfId="4" applyFont="1" applyFill="1" applyBorder="1" applyAlignment="1">
      <alignment horizontal="center" vertical="center" wrapText="1"/>
    </xf>
    <xf numFmtId="0" fontId="6" fillId="0" borderId="5" xfId="4" applyFont="1" applyBorder="1" applyAlignment="1">
      <alignment vertical="center"/>
    </xf>
    <xf numFmtId="0" fontId="5" fillId="0" borderId="14" xfId="4" applyFont="1" applyBorder="1" applyAlignment="1">
      <alignment vertical="center" wrapText="1"/>
    </xf>
    <xf numFmtId="0" fontId="5" fillId="0" borderId="5" xfId="4" applyFont="1" applyBorder="1" applyAlignment="1">
      <alignment vertical="center" wrapText="1"/>
    </xf>
    <xf numFmtId="0" fontId="5" fillId="0" borderId="10" xfId="1" applyFont="1" applyBorder="1" applyAlignment="1">
      <alignment horizontal="left"/>
    </xf>
    <xf numFmtId="0" fontId="5" fillId="0" borderId="0" xfId="4" applyFont="1" applyAlignment="1">
      <alignment vertical="center" wrapText="1"/>
    </xf>
    <xf numFmtId="0" fontId="5" fillId="0" borderId="0" xfId="4" applyFont="1" applyAlignment="1">
      <alignment horizontal="center"/>
    </xf>
    <xf numFmtId="0" fontId="5" fillId="0" borderId="0" xfId="4" applyFont="1" applyAlignment="1">
      <alignment horizontal="center" wrapText="1"/>
    </xf>
    <xf numFmtId="49" fontId="5" fillId="0" borderId="0" xfId="4" applyNumberFormat="1" applyFont="1" applyAlignment="1">
      <alignment horizontal="center"/>
    </xf>
    <xf numFmtId="0" fontId="5" fillId="4" borderId="0" xfId="4" applyFont="1" applyFill="1" applyAlignment="1">
      <alignment wrapText="1"/>
    </xf>
    <xf numFmtId="0" fontId="4" fillId="2" borderId="2" xfId="0" applyFont="1" applyFill="1" applyBorder="1" applyAlignment="1">
      <alignment vertical="center" wrapText="1"/>
    </xf>
    <xf numFmtId="0" fontId="4" fillId="2" borderId="3" xfId="1" applyFont="1" applyFill="1" applyBorder="1" applyAlignment="1">
      <alignment horizontal="center" vertical="center" wrapText="1"/>
    </xf>
    <xf numFmtId="0" fontId="5" fillId="3" borderId="6" xfId="1" applyFont="1" applyFill="1" applyBorder="1"/>
    <xf numFmtId="0" fontId="5" fillId="0" borderId="5" xfId="0" applyFont="1" applyBorder="1" applyAlignment="1">
      <alignment wrapText="1"/>
    </xf>
    <xf numFmtId="0" fontId="6" fillId="0" borderId="5" xfId="1" applyFont="1" applyBorder="1"/>
    <xf numFmtId="0" fontId="5" fillId="0" borderId="5" xfId="1" applyFont="1" applyBorder="1" applyAlignment="1">
      <alignment wrapText="1"/>
    </xf>
    <xf numFmtId="0" fontId="4" fillId="0" borderId="5" xfId="0" applyFont="1" applyBorder="1" applyAlignment="1">
      <alignment vertical="center" wrapText="1"/>
    </xf>
    <xf numFmtId="0" fontId="4" fillId="3" borderId="5" xfId="0" applyFont="1" applyFill="1" applyBorder="1" applyAlignment="1">
      <alignment wrapText="1"/>
    </xf>
    <xf numFmtId="0" fontId="3" fillId="0" borderId="4" xfId="0" applyFont="1" applyBorder="1" applyAlignment="1">
      <alignment wrapText="1"/>
    </xf>
    <xf numFmtId="0" fontId="11" fillId="0" borderId="5" xfId="0" applyFont="1" applyBorder="1" applyAlignment="1">
      <alignment wrapText="1"/>
    </xf>
    <xf numFmtId="0" fontId="33" fillId="0" borderId="4" xfId="0" applyFont="1" applyBorder="1" applyAlignment="1">
      <alignment wrapText="1"/>
    </xf>
    <xf numFmtId="0" fontId="33" fillId="0" borderId="4" xfId="0" applyFont="1" applyBorder="1" applyAlignment="1">
      <alignment horizontal="left" vertical="top" wrapText="1"/>
    </xf>
    <xf numFmtId="0" fontId="3" fillId="5" borderId="4" xfId="0" applyFont="1" applyFill="1" applyBorder="1" applyAlignment="1">
      <alignment wrapText="1"/>
    </xf>
    <xf numFmtId="0" fontId="11" fillId="0" borderId="0" xfId="0" applyFont="1"/>
    <xf numFmtId="0" fontId="35" fillId="0" borderId="11" xfId="3" applyFont="1" applyBorder="1" applyAlignment="1">
      <alignment horizontal="left" vertical="top"/>
    </xf>
    <xf numFmtId="0" fontId="36" fillId="0" borderId="10" xfId="3" applyFont="1" applyBorder="1"/>
    <xf numFmtId="0" fontId="35" fillId="0" borderId="11" xfId="3" applyFont="1" applyBorder="1" applyAlignment="1">
      <alignment horizontal="center"/>
    </xf>
    <xf numFmtId="0" fontId="35" fillId="0" borderId="5" xfId="3" applyFont="1" applyBorder="1" applyAlignment="1">
      <alignment horizontal="center"/>
    </xf>
    <xf numFmtId="0" fontId="19" fillId="0" borderId="5" xfId="3" applyFont="1" applyBorder="1" applyAlignment="1">
      <alignment horizontal="center" wrapText="1"/>
    </xf>
    <xf numFmtId="0" fontId="5" fillId="0" borderId="8" xfId="1" applyFont="1" applyBorder="1" applyAlignment="1">
      <alignment horizontal="left"/>
    </xf>
    <xf numFmtId="0" fontId="5" fillId="0" borderId="8" xfId="1" applyFont="1" applyBorder="1" applyAlignment="1">
      <alignment wrapText="1"/>
    </xf>
    <xf numFmtId="0" fontId="20" fillId="0" borderId="0" xfId="0" applyFont="1"/>
    <xf numFmtId="0" fontId="6" fillId="0" borderId="0" xfId="0" applyFont="1"/>
    <xf numFmtId="0" fontId="33" fillId="0" borderId="4" xfId="0" applyFont="1" applyBorder="1"/>
    <xf numFmtId="0" fontId="5" fillId="7" borderId="5" xfId="0" applyFont="1" applyFill="1" applyBorder="1" applyAlignment="1">
      <alignment horizontal="left" vertical="top" wrapText="1"/>
    </xf>
    <xf numFmtId="0" fontId="5" fillId="8" borderId="5" xfId="0" applyFont="1" applyFill="1" applyBorder="1" applyAlignment="1">
      <alignment wrapText="1"/>
    </xf>
    <xf numFmtId="0" fontId="4" fillId="2" borderId="1" xfId="6" applyFont="1" applyFill="1" applyBorder="1" applyAlignment="1">
      <alignment horizontal="center" vertical="center" wrapText="1"/>
    </xf>
    <xf numFmtId="0" fontId="4" fillId="2" borderId="2" xfId="6" applyFont="1" applyFill="1" applyBorder="1" applyAlignment="1">
      <alignment horizontal="center" vertical="center" wrapText="1"/>
    </xf>
    <xf numFmtId="0" fontId="4" fillId="2" borderId="3" xfId="6" applyFont="1" applyFill="1" applyBorder="1" applyAlignment="1">
      <alignment horizontal="center" vertical="center" wrapText="1"/>
    </xf>
    <xf numFmtId="0" fontId="5" fillId="0" borderId="0" xfId="6" applyFont="1" applyAlignment="1">
      <alignment wrapText="1"/>
    </xf>
    <xf numFmtId="0" fontId="4" fillId="3" borderId="4" xfId="6" applyFont="1" applyFill="1" applyBorder="1" applyAlignment="1">
      <alignment vertical="center" wrapText="1"/>
    </xf>
    <xf numFmtId="0" fontId="4" fillId="3" borderId="5" xfId="6" applyFont="1" applyFill="1" applyBorder="1" applyAlignment="1">
      <alignment horizontal="center"/>
    </xf>
    <xf numFmtId="0" fontId="5" fillId="3" borderId="5" xfId="6" applyFont="1" applyFill="1" applyBorder="1" applyAlignment="1">
      <alignment horizontal="center" wrapText="1"/>
    </xf>
    <xf numFmtId="0" fontId="5" fillId="4" borderId="6" xfId="6" applyFont="1" applyFill="1" applyBorder="1" applyAlignment="1">
      <alignment wrapText="1"/>
    </xf>
    <xf numFmtId="0" fontId="5" fillId="0" borderId="0" xfId="6" applyFont="1"/>
    <xf numFmtId="0" fontId="6" fillId="0" borderId="4" xfId="6" applyFont="1" applyBorder="1"/>
    <xf numFmtId="0" fontId="6" fillId="0" borderId="5" xfId="6" applyFont="1" applyBorder="1"/>
    <xf numFmtId="0" fontId="5" fillId="0" borderId="5" xfId="6" applyFont="1" applyBorder="1" applyAlignment="1">
      <alignment horizontal="center"/>
    </xf>
    <xf numFmtId="0" fontId="5" fillId="0" borderId="5" xfId="6" applyFont="1" applyBorder="1" applyAlignment="1">
      <alignment horizontal="center" wrapText="1"/>
    </xf>
    <xf numFmtId="0" fontId="5" fillId="0" borderId="5" xfId="7" applyFont="1" applyBorder="1" applyAlignment="1">
      <alignment horizontal="center" vertical="top"/>
    </xf>
    <xf numFmtId="0" fontId="4" fillId="9" borderId="5" xfId="6" applyFont="1" applyFill="1" applyBorder="1" applyAlignment="1">
      <alignment horizontal="center" vertical="center" wrapText="1"/>
    </xf>
    <xf numFmtId="0" fontId="4" fillId="0" borderId="5" xfId="6" applyFont="1" applyBorder="1" applyAlignment="1">
      <alignment horizontal="center" vertical="center" wrapText="1"/>
    </xf>
    <xf numFmtId="0" fontId="5" fillId="3" borderId="5" xfId="6" applyFont="1" applyFill="1" applyBorder="1" applyAlignment="1">
      <alignment horizontal="center"/>
    </xf>
    <xf numFmtId="0" fontId="4" fillId="3" borderId="5" xfId="6" applyFont="1" applyFill="1" applyBorder="1" applyAlignment="1">
      <alignment horizontal="center" wrapText="1"/>
    </xf>
    <xf numFmtId="0" fontId="4" fillId="0" borderId="4" xfId="6" applyFont="1" applyBorder="1" applyAlignment="1">
      <alignment vertical="center" wrapText="1"/>
    </xf>
    <xf numFmtId="0" fontId="4" fillId="0" borderId="5" xfId="6" applyFont="1" applyBorder="1" applyAlignment="1">
      <alignment horizontal="center"/>
    </xf>
    <xf numFmtId="0" fontId="4" fillId="0" borderId="5" xfId="6" applyFont="1" applyBorder="1" applyAlignment="1">
      <alignment horizontal="left"/>
    </xf>
    <xf numFmtId="0" fontId="5" fillId="0" borderId="5" xfId="7" applyFont="1" applyBorder="1" applyAlignment="1">
      <alignment horizontal="center" vertical="center" wrapText="1"/>
    </xf>
    <xf numFmtId="0" fontId="7" fillId="0" borderId="5" xfId="6" applyFont="1" applyBorder="1" applyAlignment="1">
      <alignment horizontal="left" wrapText="1"/>
    </xf>
    <xf numFmtId="0" fontId="4" fillId="0" borderId="11" xfId="6" applyFont="1" applyBorder="1" applyAlignment="1">
      <alignment vertical="center" wrapText="1"/>
    </xf>
    <xf numFmtId="0" fontId="5" fillId="0" borderId="5" xfId="7" applyFont="1" applyBorder="1" applyAlignment="1">
      <alignment vertical="center"/>
    </xf>
    <xf numFmtId="0" fontId="7" fillId="0" borderId="5" xfId="0" applyFont="1" applyBorder="1" applyAlignment="1">
      <alignment horizontal="left" vertical="top"/>
    </xf>
    <xf numFmtId="0" fontId="6" fillId="0" borderId="4" xfId="6" applyFont="1" applyBorder="1" applyAlignment="1">
      <alignment vertical="top" wrapText="1"/>
    </xf>
    <xf numFmtId="0" fontId="38" fillId="0" borderId="5" xfId="0" applyFont="1" applyBorder="1" applyAlignment="1">
      <alignment horizontal="left" vertical="top"/>
    </xf>
    <xf numFmtId="0" fontId="5" fillId="0" borderId="5" xfId="6" applyFont="1" applyBorder="1" applyAlignment="1">
      <alignment horizontal="left"/>
    </xf>
    <xf numFmtId="0" fontId="5" fillId="0" borderId="5" xfId="6" applyFont="1" applyBorder="1" applyAlignment="1">
      <alignment vertical="center" wrapText="1"/>
    </xf>
    <xf numFmtId="0" fontId="5" fillId="3" borderId="5" xfId="6" applyFont="1" applyFill="1" applyBorder="1"/>
    <xf numFmtId="0" fontId="5" fillId="0" borderId="4" xfId="6" applyFont="1" applyBorder="1" applyAlignment="1">
      <alignment vertical="center" wrapText="1"/>
    </xf>
    <xf numFmtId="0" fontId="5" fillId="0" borderId="0" xfId="6" applyFont="1" applyAlignment="1">
      <alignment vertical="center" wrapText="1"/>
    </xf>
    <xf numFmtId="0" fontId="5" fillId="0" borderId="0" xfId="6" applyFont="1" applyAlignment="1">
      <alignment horizontal="center"/>
    </xf>
    <xf numFmtId="0" fontId="5" fillId="0" borderId="0" xfId="6" applyFont="1" applyAlignment="1">
      <alignment horizontal="center" wrapText="1"/>
    </xf>
    <xf numFmtId="0" fontId="5" fillId="4" borderId="0" xfId="6" applyFont="1" applyFill="1" applyAlignment="1">
      <alignment wrapText="1"/>
    </xf>
    <xf numFmtId="0" fontId="9" fillId="0" borderId="4" xfId="6" applyFont="1" applyBorder="1"/>
    <xf numFmtId="0" fontId="7" fillId="0" borderId="5" xfId="6" applyFont="1" applyBorder="1" applyAlignment="1">
      <alignment horizontal="left"/>
    </xf>
    <xf numFmtId="0" fontId="5" fillId="0" borderId="5" xfId="6" applyFont="1" applyBorder="1" applyAlignment="1">
      <alignment horizontal="left" vertical="top"/>
    </xf>
    <xf numFmtId="0" fontId="5" fillId="0" borderId="5" xfId="6" quotePrefix="1" applyFont="1" applyBorder="1" applyAlignment="1">
      <alignment horizontal="left" vertical="top"/>
    </xf>
    <xf numFmtId="0" fontId="5" fillId="0" borderId="7" xfId="6" applyFont="1" applyBorder="1" applyAlignment="1">
      <alignment vertical="center" wrapText="1"/>
    </xf>
    <xf numFmtId="0" fontId="6" fillId="0" borderId="8" xfId="6" applyFont="1" applyBorder="1"/>
    <xf numFmtId="0" fontId="5" fillId="0" borderId="8" xfId="6" applyFont="1" applyBorder="1" applyAlignment="1">
      <alignment horizontal="center"/>
    </xf>
    <xf numFmtId="0" fontId="5" fillId="0" borderId="8" xfId="6" applyFont="1" applyBorder="1" applyAlignment="1">
      <alignment horizontal="center" wrapText="1"/>
    </xf>
    <xf numFmtId="0" fontId="4" fillId="2" borderId="1" xfId="3" applyFont="1" applyFill="1" applyBorder="1" applyAlignment="1">
      <alignment horizontal="center" vertical="center" wrapText="1"/>
    </xf>
    <xf numFmtId="0" fontId="4" fillId="2" borderId="2" xfId="3" applyFont="1" applyFill="1" applyBorder="1" applyAlignment="1">
      <alignment horizontal="center" vertical="center" wrapText="1"/>
    </xf>
    <xf numFmtId="49" fontId="4" fillId="2" borderId="2" xfId="3" applyNumberFormat="1" applyFont="1" applyFill="1" applyBorder="1" applyAlignment="1">
      <alignment horizontal="center" vertical="center" wrapText="1"/>
    </xf>
    <xf numFmtId="0" fontId="4" fillId="2" borderId="3" xfId="3" applyFont="1" applyFill="1" applyBorder="1" applyAlignment="1">
      <alignment horizontal="center" vertical="center" wrapText="1"/>
    </xf>
    <xf numFmtId="0" fontId="5" fillId="0" borderId="0" xfId="3" applyFont="1" applyAlignment="1">
      <alignment wrapText="1"/>
    </xf>
    <xf numFmtId="0" fontId="4" fillId="3" borderId="4" xfId="3" applyFont="1" applyFill="1" applyBorder="1" applyAlignment="1">
      <alignment vertical="center" wrapText="1"/>
    </xf>
    <xf numFmtId="0" fontId="4" fillId="3" borderId="5" xfId="3" applyFont="1" applyFill="1" applyBorder="1" applyAlignment="1">
      <alignment horizontal="center"/>
    </xf>
    <xf numFmtId="0" fontId="5" fillId="3" borderId="5" xfId="3" applyFont="1" applyFill="1" applyBorder="1" applyAlignment="1">
      <alignment horizontal="center" wrapText="1"/>
    </xf>
    <xf numFmtId="49" fontId="4" fillId="3" borderId="5" xfId="3" applyNumberFormat="1" applyFont="1" applyFill="1" applyBorder="1" applyAlignment="1">
      <alignment horizontal="center"/>
    </xf>
    <xf numFmtId="0" fontId="6" fillId="0" borderId="4" xfId="3" applyFont="1" applyBorder="1"/>
    <xf numFmtId="49" fontId="5" fillId="0" borderId="5" xfId="3" applyNumberFormat="1" applyFont="1" applyBorder="1" applyAlignment="1">
      <alignment horizontal="center"/>
    </xf>
    <xf numFmtId="0" fontId="4" fillId="0" borderId="5" xfId="3" applyFont="1" applyBorder="1" applyAlignment="1">
      <alignment horizontal="center" vertical="center" wrapText="1"/>
    </xf>
    <xf numFmtId="0" fontId="4" fillId="3" borderId="5" xfId="3" applyFont="1" applyFill="1" applyBorder="1" applyAlignment="1">
      <alignment horizontal="center" wrapText="1"/>
    </xf>
    <xf numFmtId="0" fontId="4" fillId="0" borderId="4" xfId="3" applyFont="1" applyBorder="1" applyAlignment="1">
      <alignment vertical="center" wrapText="1"/>
    </xf>
    <xf numFmtId="0" fontId="4" fillId="0" borderId="5" xfId="3" applyFont="1" applyBorder="1" applyAlignment="1">
      <alignment horizontal="center"/>
    </xf>
    <xf numFmtId="49" fontId="4" fillId="0" borderId="5" xfId="3" applyNumberFormat="1" applyFont="1" applyBorder="1" applyAlignment="1">
      <alignment horizontal="center"/>
    </xf>
    <xf numFmtId="0" fontId="4" fillId="0" borderId="5" xfId="3" applyFont="1" applyBorder="1" applyAlignment="1">
      <alignment horizontal="left" vertical="top"/>
    </xf>
    <xf numFmtId="0" fontId="39" fillId="0" borderId="5" xfId="3" applyFont="1" applyBorder="1"/>
    <xf numFmtId="0" fontId="4" fillId="0" borderId="5" xfId="3" applyFont="1" applyBorder="1" applyAlignment="1">
      <alignment horizontal="center" wrapText="1"/>
    </xf>
    <xf numFmtId="0" fontId="9" fillId="0" borderId="5" xfId="3" applyFont="1" applyBorder="1"/>
    <xf numFmtId="49" fontId="5" fillId="0" borderId="5" xfId="3" applyNumberFormat="1" applyFont="1" applyBorder="1" applyAlignment="1">
      <alignment horizontal="left" vertical="top"/>
    </xf>
    <xf numFmtId="0" fontId="11" fillId="0" borderId="5" xfId="3" applyFont="1" applyBorder="1"/>
    <xf numFmtId="49" fontId="5" fillId="6" borderId="5" xfId="3" applyNumberFormat="1" applyFont="1" applyFill="1" applyBorder="1" applyAlignment="1">
      <alignment horizontal="left"/>
    </xf>
    <xf numFmtId="0" fontId="5" fillId="6" borderId="6" xfId="3" applyFont="1" applyFill="1" applyBorder="1" applyAlignment="1">
      <alignment wrapText="1"/>
    </xf>
    <xf numFmtId="0" fontId="5" fillId="6" borderId="0" xfId="3" applyFont="1" applyFill="1"/>
    <xf numFmtId="0" fontId="40" fillId="0" borderId="5" xfId="3" applyFont="1" applyBorder="1" applyAlignment="1">
      <alignment horizontal="center" wrapText="1"/>
    </xf>
    <xf numFmtId="49" fontId="6" fillId="0" borderId="5" xfId="3" applyNumberFormat="1" applyFont="1" applyBorder="1"/>
    <xf numFmtId="0" fontId="7" fillId="0" borderId="5" xfId="3" applyFont="1" applyBorder="1" applyAlignment="1">
      <alignment horizontal="center" wrapText="1"/>
    </xf>
    <xf numFmtId="0" fontId="11" fillId="0" borderId="5" xfId="3" applyFont="1" applyBorder="1" applyAlignment="1">
      <alignment wrapText="1"/>
    </xf>
    <xf numFmtId="0" fontId="4" fillId="0" borderId="5" xfId="3" applyFont="1" applyBorder="1" applyAlignment="1">
      <alignment horizontal="left" vertical="top" wrapText="1"/>
    </xf>
    <xf numFmtId="0" fontId="5" fillId="0" borderId="11" xfId="3" applyFont="1" applyBorder="1" applyAlignment="1">
      <alignment horizontal="left" vertical="top"/>
    </xf>
    <xf numFmtId="20" fontId="4" fillId="0" borderId="5" xfId="3" applyNumberFormat="1" applyFont="1" applyBorder="1" applyAlignment="1">
      <alignment horizontal="center" wrapText="1"/>
    </xf>
    <xf numFmtId="20" fontId="16" fillId="0" borderId="5" xfId="3" applyNumberFormat="1" applyFont="1" applyBorder="1" applyAlignment="1">
      <alignment horizontal="left" wrapText="1"/>
    </xf>
    <xf numFmtId="0" fontId="5" fillId="4" borderId="10" xfId="3" applyFont="1" applyFill="1" applyBorder="1" applyAlignment="1">
      <alignment wrapText="1"/>
    </xf>
    <xf numFmtId="0" fontId="5" fillId="0" borderId="6" xfId="3" applyFont="1" applyBorder="1"/>
    <xf numFmtId="0" fontId="5" fillId="0" borderId="10" xfId="3" applyFont="1" applyBorder="1"/>
    <xf numFmtId="0" fontId="5" fillId="0" borderId="4" xfId="3" applyFont="1" applyBorder="1" applyAlignment="1">
      <alignment vertical="center" wrapText="1"/>
    </xf>
    <xf numFmtId="0" fontId="5" fillId="0" borderId="0" xfId="3" applyFont="1" applyAlignment="1">
      <alignment vertical="center" wrapText="1"/>
    </xf>
    <xf numFmtId="0" fontId="5" fillId="0" borderId="0" xfId="3" applyFont="1" applyAlignment="1">
      <alignment horizontal="center"/>
    </xf>
    <xf numFmtId="0" fontId="5" fillId="0" borderId="0" xfId="3" applyFont="1" applyAlignment="1">
      <alignment horizontal="center" wrapText="1"/>
    </xf>
    <xf numFmtId="49" fontId="5" fillId="0" borderId="0" xfId="3" applyNumberFormat="1" applyFont="1" applyAlignment="1">
      <alignment horizontal="center"/>
    </xf>
    <xf numFmtId="0" fontId="5" fillId="4" borderId="0" xfId="3" applyFont="1" applyFill="1" applyAlignment="1">
      <alignment wrapText="1"/>
    </xf>
    <xf numFmtId="0" fontId="5" fillId="5" borderId="0" xfId="8" applyFont="1" applyFill="1" applyAlignment="1">
      <alignment vertical="center" wrapText="1"/>
    </xf>
    <xf numFmtId="0" fontId="31" fillId="0" borderId="5" xfId="4" applyFont="1" applyBorder="1" applyAlignment="1">
      <alignment horizontal="center" vertical="center"/>
    </xf>
    <xf numFmtId="0" fontId="32" fillId="0" borderId="5" xfId="4" applyFont="1" applyBorder="1" applyAlignment="1">
      <alignment horizontal="center" vertical="center"/>
    </xf>
    <xf numFmtId="0" fontId="32" fillId="0" borderId="6" xfId="4" applyFont="1" applyBorder="1" applyAlignment="1">
      <alignment horizontal="center" vertical="center"/>
    </xf>
    <xf numFmtId="0" fontId="32" fillId="0" borderId="10" xfId="4" applyFont="1" applyBorder="1" applyAlignment="1">
      <alignment horizontal="center" vertical="center"/>
    </xf>
    <xf numFmtId="0" fontId="32" fillId="0" borderId="5" xfId="1" applyFont="1" applyBorder="1" applyAlignment="1">
      <alignment horizontal="center"/>
    </xf>
    <xf numFmtId="0" fontId="32" fillId="0" borderId="5" xfId="1" applyFont="1" applyBorder="1" applyAlignment="1">
      <alignment horizontal="left"/>
    </xf>
    <xf numFmtId="0" fontId="32" fillId="0" borderId="5" xfId="1" applyFont="1" applyBorder="1" applyAlignment="1">
      <alignment horizontal="left" wrapText="1"/>
    </xf>
    <xf numFmtId="0" fontId="32" fillId="4" borderId="6" xfId="1" applyFont="1" applyFill="1" applyBorder="1" applyAlignment="1">
      <alignment wrapText="1"/>
    </xf>
    <xf numFmtId="0" fontId="32" fillId="0" borderId="5" xfId="1" applyFont="1" applyBorder="1"/>
    <xf numFmtId="0" fontId="32" fillId="0" borderId="0" xfId="1" applyFont="1"/>
    <xf numFmtId="0" fontId="3" fillId="0" borderId="0" xfId="8"/>
    <xf numFmtId="0" fontId="4" fillId="2" borderId="9" xfId="3" applyFont="1" applyFill="1" applyBorder="1" applyAlignment="1">
      <alignment horizontal="center" vertical="center" wrapText="1"/>
    </xf>
    <xf numFmtId="0" fontId="4" fillId="0" borderId="5" xfId="3" applyFont="1" applyBorder="1" applyAlignment="1">
      <alignment horizontal="left"/>
    </xf>
    <xf numFmtId="0" fontId="5" fillId="3" borderId="5" xfId="3" applyFont="1" applyFill="1" applyBorder="1" applyAlignment="1">
      <alignment horizontal="center"/>
    </xf>
    <xf numFmtId="0" fontId="4" fillId="0" borderId="5" xfId="3" applyFont="1" applyBorder="1" applyAlignment="1">
      <alignment horizontal="center" vertical="top" wrapText="1"/>
    </xf>
    <xf numFmtId="0" fontId="5" fillId="0" borderId="6" xfId="3" applyFont="1" applyBorder="1" applyAlignment="1">
      <alignment wrapText="1"/>
    </xf>
    <xf numFmtId="0" fontId="32" fillId="0" borderId="5" xfId="3" applyFont="1" applyBorder="1" applyAlignment="1">
      <alignment horizontal="left" vertical="top"/>
    </xf>
    <xf numFmtId="0" fontId="32" fillId="0" borderId="5" xfId="3" applyFont="1" applyBorder="1" applyAlignment="1">
      <alignment horizontal="center"/>
    </xf>
    <xf numFmtId="0" fontId="18" fillId="0" borderId="5" xfId="3" applyFont="1" applyBorder="1" applyAlignment="1">
      <alignment horizontal="center" wrapText="1"/>
    </xf>
    <xf numFmtId="0" fontId="32" fillId="0" borderId="5" xfId="3" applyFont="1" applyBorder="1" applyAlignment="1">
      <alignment horizontal="center" wrapText="1"/>
    </xf>
    <xf numFmtId="0" fontId="41" fillId="0" borderId="5" xfId="3" applyFont="1" applyBorder="1"/>
    <xf numFmtId="49" fontId="32" fillId="0" borderId="5" xfId="3" applyNumberFormat="1" applyFont="1" applyBorder="1" applyAlignment="1">
      <alignment horizontal="left"/>
    </xf>
    <xf numFmtId="0" fontId="32" fillId="4" borderId="10" xfId="3" applyFont="1" applyFill="1" applyBorder="1" applyAlignment="1">
      <alignment wrapText="1"/>
    </xf>
    <xf numFmtId="0" fontId="32" fillId="0" borderId="10" xfId="3" applyFont="1" applyBorder="1"/>
    <xf numFmtId="0" fontId="32" fillId="0" borderId="0" xfId="3" applyFont="1"/>
    <xf numFmtId="0" fontId="12" fillId="0" borderId="5" xfId="0" applyFont="1" applyBorder="1" applyAlignment="1">
      <alignment horizontal="center" wrapText="1"/>
    </xf>
    <xf numFmtId="0" fontId="5" fillId="4" borderId="13" xfId="0" applyFont="1" applyFill="1" applyBorder="1" applyAlignment="1">
      <alignment wrapText="1"/>
    </xf>
    <xf numFmtId="0" fontId="5" fillId="0" borderId="7" xfId="0" applyFont="1" applyBorder="1"/>
    <xf numFmtId="0" fontId="42" fillId="10" borderId="5" xfId="9" applyFont="1" applyFill="1" applyBorder="1" applyAlignment="1">
      <alignment horizontal="left" vertical="center"/>
    </xf>
    <xf numFmtId="0" fontId="3" fillId="0" borderId="0" xfId="9">
      <alignment vertical="center"/>
    </xf>
    <xf numFmtId="0" fontId="42" fillId="12" borderId="5" xfId="9" applyFont="1" applyFill="1" applyBorder="1" applyAlignment="1">
      <alignment horizontal="left" vertical="center"/>
    </xf>
    <xf numFmtId="0" fontId="42" fillId="10" borderId="5" xfId="9" applyFont="1" applyFill="1" applyBorder="1" applyAlignment="1">
      <alignment horizontal="center" vertical="center" wrapText="1"/>
    </xf>
    <xf numFmtId="0" fontId="43" fillId="10" borderId="5" xfId="9" applyFont="1" applyFill="1" applyBorder="1" applyAlignment="1">
      <alignment horizontal="center" vertical="center" wrapText="1"/>
    </xf>
    <xf numFmtId="0" fontId="44" fillId="3" borderId="5" xfId="9" applyFont="1" applyFill="1" applyBorder="1" applyAlignment="1">
      <alignment vertical="center" wrapText="1"/>
    </xf>
    <xf numFmtId="0" fontId="46" fillId="3" borderId="5" xfId="9" applyFont="1" applyFill="1" applyBorder="1" applyAlignment="1">
      <alignment vertical="center" wrapText="1"/>
    </xf>
    <xf numFmtId="0" fontId="44" fillId="3" borderId="5" xfId="9" applyFont="1" applyFill="1" applyBorder="1" applyAlignment="1">
      <alignment horizontal="left" vertical="center"/>
    </xf>
    <xf numFmtId="49" fontId="47" fillId="3" borderId="5" xfId="10" applyNumberFormat="1" applyFont="1" applyFill="1" applyBorder="1" applyAlignment="1">
      <alignment vertical="top"/>
    </xf>
    <xf numFmtId="0" fontId="44" fillId="14" borderId="5" xfId="9" applyFont="1" applyFill="1" applyBorder="1" applyAlignment="1">
      <alignment vertical="center" wrapText="1"/>
    </xf>
    <xf numFmtId="0" fontId="46" fillId="14" borderId="5" xfId="9" applyFont="1" applyFill="1" applyBorder="1" applyAlignment="1">
      <alignment horizontal="left" vertical="center" wrapText="1"/>
    </xf>
    <xf numFmtId="0" fontId="47" fillId="14" borderId="5" xfId="10" applyFont="1" applyFill="1" applyBorder="1" applyAlignment="1">
      <alignment vertical="top"/>
    </xf>
    <xf numFmtId="0" fontId="47" fillId="14" borderId="5" xfId="10" applyFont="1" applyFill="1" applyBorder="1" applyAlignment="1">
      <alignment horizontal="left" wrapText="1"/>
    </xf>
    <xf numFmtId="0" fontId="47" fillId="14" borderId="5" xfId="10" applyFont="1" applyFill="1" applyBorder="1" applyAlignment="1">
      <alignment horizontal="left" vertical="top"/>
    </xf>
    <xf numFmtId="0" fontId="44" fillId="14" borderId="5" xfId="9" applyFont="1" applyFill="1" applyBorder="1" applyAlignment="1">
      <alignment horizontal="right" vertical="center"/>
    </xf>
    <xf numFmtId="0" fontId="46" fillId="14" borderId="5" xfId="9" applyFont="1" applyFill="1" applyBorder="1" applyAlignment="1">
      <alignment vertical="center" wrapText="1"/>
    </xf>
    <xf numFmtId="0" fontId="5" fillId="14" borderId="5" xfId="10" applyFont="1" applyFill="1" applyBorder="1" applyAlignment="1">
      <alignment horizontal="left" vertical="top"/>
    </xf>
    <xf numFmtId="0" fontId="46" fillId="14" borderId="5" xfId="9" applyFont="1" applyFill="1" applyBorder="1">
      <alignment vertical="center"/>
    </xf>
    <xf numFmtId="0" fontId="44" fillId="14" borderId="5" xfId="9" applyFont="1" applyFill="1" applyBorder="1">
      <alignment vertical="center"/>
    </xf>
    <xf numFmtId="0" fontId="45" fillId="14" borderId="5" xfId="9" applyFont="1" applyFill="1" applyBorder="1">
      <alignment vertical="center"/>
    </xf>
    <xf numFmtId="0" fontId="46" fillId="0" borderId="0" xfId="9" applyFont="1">
      <alignment vertical="center"/>
    </xf>
    <xf numFmtId="0" fontId="46" fillId="0" borderId="0" xfId="9" applyFont="1" applyAlignment="1">
      <alignment vertical="center" wrapText="1"/>
    </xf>
    <xf numFmtId="0" fontId="5" fillId="3" borderId="6" xfId="6" applyFont="1" applyFill="1" applyBorder="1" applyAlignment="1">
      <alignment wrapText="1"/>
    </xf>
    <xf numFmtId="0" fontId="5" fillId="0" borderId="6" xfId="6" applyFont="1" applyBorder="1" applyAlignment="1">
      <alignment wrapText="1"/>
    </xf>
    <xf numFmtId="0" fontId="5" fillId="0" borderId="5" xfId="7" applyFont="1" applyBorder="1" applyAlignment="1">
      <alignment horizontal="left" vertical="center" wrapText="1"/>
    </xf>
    <xf numFmtId="0" fontId="5" fillId="0" borderId="5" xfId="7" applyFont="1" applyBorder="1" applyAlignment="1">
      <alignment vertical="center" wrapText="1"/>
    </xf>
    <xf numFmtId="0" fontId="5" fillId="0" borderId="0" xfId="7" applyFont="1"/>
    <xf numFmtId="0" fontId="5" fillId="3" borderId="0" xfId="7" applyFont="1" applyFill="1"/>
    <xf numFmtId="0" fontId="5" fillId="0" borderId="5" xfId="7" applyFont="1" applyBorder="1" applyAlignment="1">
      <alignment horizontal="left"/>
    </xf>
    <xf numFmtId="0" fontId="47" fillId="0" borderId="5" xfId="0" applyFont="1" applyBorder="1"/>
    <xf numFmtId="0" fontId="48" fillId="0" borderId="5" xfId="0" applyFont="1" applyBorder="1"/>
    <xf numFmtId="0" fontId="10" fillId="0" borderId="5" xfId="0" quotePrefix="1" applyFont="1" applyBorder="1" applyAlignment="1">
      <alignment horizontal="left" vertical="top"/>
    </xf>
    <xf numFmtId="0" fontId="10" fillId="8" borderId="5" xfId="0" applyFont="1" applyFill="1" applyBorder="1" applyAlignment="1">
      <alignment horizontal="left" vertical="top"/>
    </xf>
    <xf numFmtId="0" fontId="10" fillId="8" borderId="5" xfId="7" applyFont="1" applyFill="1" applyBorder="1" applyAlignment="1">
      <alignment horizontal="left" vertical="center" wrapText="1"/>
    </xf>
    <xf numFmtId="0" fontId="10" fillId="8" borderId="5" xfId="0" applyFont="1" applyFill="1" applyBorder="1" applyAlignment="1">
      <alignment horizontal="center"/>
    </xf>
    <xf numFmtId="0" fontId="5" fillId="8" borderId="5" xfId="7" applyFont="1" applyFill="1" applyBorder="1" applyAlignment="1">
      <alignment horizontal="center" vertical="center" wrapText="1"/>
    </xf>
    <xf numFmtId="0" fontId="24" fillId="8" borderId="5" xfId="0" applyFont="1" applyFill="1" applyBorder="1" applyAlignment="1">
      <alignment horizontal="left"/>
    </xf>
    <xf numFmtId="0" fontId="10" fillId="8" borderId="5" xfId="0" applyFont="1" applyFill="1" applyBorder="1" applyAlignment="1">
      <alignment horizontal="center" wrapText="1"/>
    </xf>
    <xf numFmtId="0" fontId="10" fillId="8" borderId="5" xfId="6" applyFont="1" applyFill="1" applyBorder="1" applyAlignment="1">
      <alignment horizontal="center" wrapText="1"/>
    </xf>
    <xf numFmtId="0" fontId="10" fillId="8" borderId="5" xfId="0" applyFont="1" applyFill="1" applyBorder="1" applyAlignment="1">
      <alignment vertical="center" wrapText="1"/>
    </xf>
    <xf numFmtId="0" fontId="10" fillId="8" borderId="5" xfId="7" applyFont="1" applyFill="1" applyBorder="1" applyAlignment="1">
      <alignment vertical="center"/>
    </xf>
    <xf numFmtId="0" fontId="10" fillId="8" borderId="5" xfId="0" quotePrefix="1" applyFont="1" applyFill="1" applyBorder="1" applyAlignment="1">
      <alignment horizontal="left" vertical="top"/>
    </xf>
    <xf numFmtId="0" fontId="10" fillId="8" borderId="6" xfId="0" applyFont="1" applyFill="1" applyBorder="1" applyAlignment="1">
      <alignment wrapText="1"/>
    </xf>
    <xf numFmtId="0" fontId="4" fillId="2" borderId="2" xfId="6" applyFont="1" applyFill="1" applyBorder="1" applyAlignment="1">
      <alignment horizontal="left" vertical="center" wrapText="1"/>
    </xf>
    <xf numFmtId="0" fontId="5" fillId="3" borderId="5" xfId="6" applyFont="1" applyFill="1" applyBorder="1" applyAlignment="1">
      <alignment horizontal="left" wrapText="1"/>
    </xf>
    <xf numFmtId="0" fontId="5" fillId="0" borderId="5" xfId="6" applyFont="1" applyBorder="1" applyAlignment="1">
      <alignment horizontal="left" wrapText="1"/>
    </xf>
    <xf numFmtId="0" fontId="4" fillId="0" borderId="5" xfId="6" applyFont="1" applyBorder="1" applyAlignment="1">
      <alignment horizontal="left" vertical="center" wrapText="1"/>
    </xf>
    <xf numFmtId="0" fontId="4" fillId="3" borderId="5" xfId="6" applyFont="1" applyFill="1" applyBorder="1" applyAlignment="1">
      <alignment horizontal="left" wrapText="1"/>
    </xf>
    <xf numFmtId="0" fontId="7" fillId="0" borderId="5" xfId="7" applyFont="1" applyBorder="1" applyAlignment="1">
      <alignment horizontal="left" vertical="center" wrapText="1"/>
    </xf>
    <xf numFmtId="0" fontId="5" fillId="0" borderId="5" xfId="7" applyFont="1" applyBorder="1" applyAlignment="1">
      <alignment horizontal="left" vertical="top"/>
    </xf>
    <xf numFmtId="0" fontId="7" fillId="0" borderId="5" xfId="7" applyFont="1" applyBorder="1" applyAlignment="1">
      <alignment horizontal="left" vertical="top"/>
    </xf>
    <xf numFmtId="0" fontId="5" fillId="0" borderId="5" xfId="7" quotePrefix="1" applyFont="1" applyBorder="1" applyAlignment="1">
      <alignment horizontal="left" vertical="top"/>
    </xf>
    <xf numFmtId="0" fontId="38" fillId="0" borderId="5" xfId="7" applyFont="1" applyBorder="1" applyAlignment="1">
      <alignment horizontal="left" vertical="top"/>
    </xf>
    <xf numFmtId="0" fontId="24" fillId="0" borderId="5" xfId="7" applyFont="1" applyBorder="1" applyAlignment="1">
      <alignment horizontal="left" vertical="top"/>
    </xf>
    <xf numFmtId="0" fontId="5" fillId="0" borderId="5" xfId="7" applyFont="1" applyBorder="1"/>
    <xf numFmtId="0" fontId="47" fillId="0" borderId="5" xfId="7" applyFont="1" applyBorder="1"/>
    <xf numFmtId="0" fontId="7" fillId="0" borderId="5" xfId="7" applyFont="1" applyBorder="1" applyAlignment="1">
      <alignment horizontal="left" vertical="top" wrapText="1"/>
    </xf>
    <xf numFmtId="0" fontId="5" fillId="0" borderId="0" xfId="6" applyFont="1" applyAlignment="1">
      <alignment horizontal="left" wrapText="1"/>
    </xf>
    <xf numFmtId="0" fontId="5" fillId="0" borderId="8" xfId="6" applyFont="1" applyBorder="1" applyAlignment="1">
      <alignment horizontal="left" wrapText="1"/>
    </xf>
    <xf numFmtId="0" fontId="5" fillId="0" borderId="5" xfId="0" applyFont="1" applyBorder="1" applyAlignment="1">
      <alignment horizontal="left" vertical="center" wrapText="1"/>
    </xf>
    <xf numFmtId="0" fontId="4" fillId="2" borderId="5" xfId="0" applyFont="1" applyFill="1" applyBorder="1" applyAlignment="1">
      <alignment horizontal="center" vertical="center" wrapText="1"/>
    </xf>
    <xf numFmtId="0" fontId="5" fillId="5" borderId="0" xfId="1" applyFont="1" applyFill="1" applyAlignment="1">
      <alignment vertical="center" wrapText="1"/>
    </xf>
    <xf numFmtId="0" fontId="4" fillId="0" borderId="4" xfId="1" applyFont="1" applyBorder="1" applyAlignment="1">
      <alignment vertical="center" wrapText="1"/>
    </xf>
    <xf numFmtId="0" fontId="4" fillId="0" borderId="5" xfId="1" applyFont="1" applyBorder="1" applyAlignment="1">
      <alignment horizontal="left"/>
    </xf>
    <xf numFmtId="0" fontId="4" fillId="0" borderId="5" xfId="1" applyFont="1" applyBorder="1" applyAlignment="1">
      <alignment horizontal="center" wrapText="1"/>
    </xf>
    <xf numFmtId="0" fontId="4" fillId="0" borderId="5" xfId="1" applyFont="1" applyBorder="1" applyAlignment="1">
      <alignment horizontal="center"/>
    </xf>
    <xf numFmtId="0" fontId="5" fillId="0" borderId="6" xfId="1" applyFont="1" applyBorder="1" applyAlignment="1">
      <alignment wrapText="1"/>
    </xf>
    <xf numFmtId="0" fontId="51" fillId="0" borderId="4" xfId="0" applyFont="1" applyBorder="1" applyAlignment="1">
      <alignment vertical="top" wrapText="1"/>
    </xf>
    <xf numFmtId="0" fontId="10" fillId="0" borderId="5" xfId="1" applyFont="1" applyBorder="1" applyAlignment="1">
      <alignment horizontal="left" wrapText="1"/>
    </xf>
    <xf numFmtId="0" fontId="52" fillId="0" borderId="10" xfId="0" applyFont="1" applyBorder="1" applyAlignment="1">
      <alignment horizontal="center"/>
    </xf>
    <xf numFmtId="0" fontId="32" fillId="0" borderId="5" xfId="0" applyFont="1" applyBorder="1" applyAlignment="1">
      <alignment horizontal="left" wrapText="1"/>
    </xf>
    <xf numFmtId="0" fontId="32" fillId="0" borderId="5" xfId="0" applyFont="1" applyBorder="1" applyAlignment="1">
      <alignment horizontal="left" vertical="top" wrapText="1"/>
    </xf>
    <xf numFmtId="0" fontId="0" fillId="0" borderId="0" xfId="0" applyAlignment="1">
      <alignment wrapText="1"/>
    </xf>
    <xf numFmtId="0" fontId="53" fillId="0" borderId="5" xfId="4" applyFont="1" applyBorder="1" applyAlignment="1">
      <alignment vertical="center"/>
    </xf>
    <xf numFmtId="0" fontId="54" fillId="0" borderId="5" xfId="4" applyFont="1" applyBorder="1" applyAlignment="1">
      <alignment horizontal="center" vertical="center"/>
    </xf>
    <xf numFmtId="0" fontId="54" fillId="0" borderId="5" xfId="4" applyFont="1" applyBorder="1" applyAlignment="1">
      <alignment horizontal="center" vertical="center" wrapText="1"/>
    </xf>
    <xf numFmtId="0" fontId="5" fillId="0" borderId="5" xfId="5" applyFont="1" applyBorder="1" applyAlignment="1">
      <alignment horizontal="left" vertical="top" wrapText="1"/>
    </xf>
    <xf numFmtId="49" fontId="5" fillId="0" borderId="5" xfId="4" applyNumberFormat="1" applyFont="1" applyBorder="1" applyAlignment="1">
      <alignment horizontal="left" vertical="center"/>
    </xf>
    <xf numFmtId="0" fontId="5" fillId="0" borderId="6" xfId="4" applyFont="1" applyBorder="1" applyAlignment="1">
      <alignment horizontal="center" vertical="center"/>
    </xf>
    <xf numFmtId="0" fontId="4" fillId="2" borderId="1"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5" fillId="0" borderId="0" xfId="1" applyFont="1" applyAlignment="1">
      <alignment wrapText="1"/>
    </xf>
    <xf numFmtId="0" fontId="4" fillId="3" borderId="4" xfId="1" applyFont="1" applyFill="1" applyBorder="1" applyAlignment="1">
      <alignment vertical="center" wrapText="1"/>
    </xf>
    <xf numFmtId="0" fontId="4" fillId="3" borderId="5" xfId="1" applyFont="1" applyFill="1" applyBorder="1" applyAlignment="1">
      <alignment horizontal="center"/>
    </xf>
    <xf numFmtId="0" fontId="5" fillId="3" borderId="5" xfId="1" applyFont="1" applyFill="1" applyBorder="1" applyAlignment="1">
      <alignment horizontal="center" wrapText="1"/>
    </xf>
    <xf numFmtId="0" fontId="5" fillId="3" borderId="5" xfId="1" applyFont="1" applyFill="1" applyBorder="1" applyAlignment="1">
      <alignment horizontal="center"/>
    </xf>
    <xf numFmtId="0" fontId="4" fillId="3" borderId="5" xfId="1" applyFont="1" applyFill="1" applyBorder="1" applyAlignment="1">
      <alignment horizontal="center" wrapText="1"/>
    </xf>
    <xf numFmtId="0" fontId="6" fillId="0" borderId="4" xfId="1" applyFont="1" applyBorder="1" applyAlignment="1">
      <alignment vertical="top" wrapText="1"/>
    </xf>
    <xf numFmtId="0" fontId="5" fillId="0" borderId="5" xfId="1" quotePrefix="1" applyFont="1" applyBorder="1" applyAlignment="1">
      <alignment horizontal="left" vertical="top"/>
    </xf>
    <xf numFmtId="0" fontId="5" fillId="0" borderId="0" xfId="1" applyFont="1" applyAlignment="1">
      <alignment horizontal="center"/>
    </xf>
    <xf numFmtId="0" fontId="5" fillId="4" borderId="0" xfId="1" applyFont="1" applyFill="1" applyAlignment="1">
      <alignment wrapText="1"/>
    </xf>
    <xf numFmtId="0" fontId="5" fillId="0" borderId="0" xfId="1" applyFont="1" applyAlignment="1">
      <alignment vertical="center" wrapText="1"/>
    </xf>
    <xf numFmtId="0" fontId="5" fillId="0" borderId="0" xfId="1" applyFont="1" applyAlignment="1">
      <alignment horizontal="center" wrapText="1"/>
    </xf>
    <xf numFmtId="0" fontId="10" fillId="0" borderId="5" xfId="1" applyFont="1" applyBorder="1" applyAlignment="1">
      <alignment horizontal="center"/>
    </xf>
    <xf numFmtId="0" fontId="10" fillId="4" borderId="6" xfId="1" applyFont="1" applyFill="1" applyBorder="1" applyAlignment="1">
      <alignment wrapText="1"/>
    </xf>
    <xf numFmtId="0" fontId="10" fillId="0" borderId="5" xfId="1" applyFont="1" applyBorder="1"/>
    <xf numFmtId="0" fontId="10" fillId="0" borderId="0" xfId="1" applyFont="1"/>
    <xf numFmtId="0" fontId="8" fillId="0" borderId="5" xfId="1" applyFont="1" applyBorder="1" applyAlignment="1">
      <alignment horizontal="center" vertical="center" wrapText="1"/>
    </xf>
    <xf numFmtId="0" fontId="32" fillId="0" borderId="5" xfId="0" applyFont="1" applyBorder="1" applyAlignment="1">
      <alignment horizontal="center" wrapText="1"/>
    </xf>
    <xf numFmtId="0" fontId="42" fillId="10" borderId="5" xfId="11" applyFont="1" applyFill="1" applyBorder="1" applyAlignment="1">
      <alignment horizontal="left" vertical="center"/>
    </xf>
    <xf numFmtId="0" fontId="56" fillId="10" borderId="5" xfId="11" applyFont="1" applyFill="1" applyBorder="1" applyAlignment="1">
      <alignment horizontal="left" vertical="center"/>
    </xf>
    <xf numFmtId="49" fontId="42" fillId="10" borderId="5" xfId="11" applyNumberFormat="1" applyFont="1" applyFill="1" applyBorder="1" applyAlignment="1">
      <alignment horizontal="left" vertical="center"/>
    </xf>
    <xf numFmtId="0" fontId="55" fillId="0" borderId="0" xfId="11"/>
    <xf numFmtId="0" fontId="58" fillId="0" borderId="5" xfId="11" applyFont="1" applyBorder="1" applyAlignment="1">
      <alignment vertical="center" wrapText="1"/>
    </xf>
    <xf numFmtId="0" fontId="58" fillId="0" borderId="5" xfId="11" applyFont="1" applyBorder="1" applyAlignment="1">
      <alignment vertical="center"/>
    </xf>
    <xf numFmtId="49" fontId="58" fillId="0" borderId="5" xfId="12" applyNumberFormat="1" applyFont="1" applyBorder="1" applyAlignment="1">
      <alignment vertical="center" wrapText="1"/>
    </xf>
    <xf numFmtId="1" fontId="60" fillId="0" borderId="5" xfId="12" applyNumberFormat="1" applyFont="1" applyBorder="1" applyAlignment="1">
      <alignment vertical="center" wrapText="1"/>
    </xf>
    <xf numFmtId="0" fontId="61" fillId="0" borderId="0" xfId="12" applyFont="1">
      <alignment vertical="center"/>
    </xf>
    <xf numFmtId="49" fontId="7" fillId="0" borderId="5" xfId="12" applyNumberFormat="1" applyFont="1" applyBorder="1" applyAlignment="1">
      <alignment vertical="center" wrapText="1"/>
    </xf>
    <xf numFmtId="0" fontId="58" fillId="15" borderId="5" xfId="11" applyFont="1" applyFill="1" applyBorder="1" applyAlignment="1">
      <alignment vertical="center"/>
    </xf>
    <xf numFmtId="0" fontId="55" fillId="0" borderId="5" xfId="11" applyBorder="1"/>
    <xf numFmtId="0" fontId="62" fillId="10" borderId="5" xfId="11" applyFont="1" applyFill="1" applyBorder="1" applyAlignment="1">
      <alignment horizontal="left" vertical="center"/>
    </xf>
    <xf numFmtId="0" fontId="62" fillId="16" borderId="5" xfId="11" applyFont="1" applyFill="1" applyBorder="1" applyAlignment="1">
      <alignment horizontal="left" vertical="center"/>
    </xf>
    <xf numFmtId="0" fontId="62" fillId="10" borderId="5" xfId="11" applyFont="1" applyFill="1" applyBorder="1" applyAlignment="1">
      <alignment horizontal="left" vertical="center" wrapText="1"/>
    </xf>
    <xf numFmtId="49" fontId="62" fillId="10" borderId="5" xfId="11" applyNumberFormat="1" applyFont="1" applyFill="1" applyBorder="1" applyAlignment="1">
      <alignment horizontal="left" vertical="center"/>
    </xf>
    <xf numFmtId="0" fontId="62" fillId="0" borderId="0" xfId="12" applyFont="1">
      <alignment vertical="center"/>
    </xf>
    <xf numFmtId="0" fontId="64" fillId="0" borderId="5" xfId="11" applyFont="1" applyBorder="1"/>
    <xf numFmtId="0" fontId="64" fillId="0" borderId="5" xfId="12" applyFont="1" applyBorder="1">
      <alignment vertical="center"/>
    </xf>
    <xf numFmtId="0" fontId="64" fillId="0" borderId="5" xfId="11" applyFont="1" applyBorder="1" applyAlignment="1">
      <alignment horizontal="left" vertical="center"/>
    </xf>
    <xf numFmtId="0" fontId="64" fillId="0" borderId="5" xfId="11" applyFont="1" applyBorder="1" applyAlignment="1">
      <alignment horizontal="center" vertical="center"/>
    </xf>
    <xf numFmtId="0" fontId="64" fillId="0" borderId="5" xfId="12" applyFont="1" applyBorder="1" applyAlignment="1">
      <alignment horizontal="left" vertical="center" wrapText="1"/>
    </xf>
    <xf numFmtId="0" fontId="64" fillId="0" borderId="0" xfId="12" applyFont="1">
      <alignment vertical="center"/>
    </xf>
    <xf numFmtId="0" fontId="64" fillId="0" borderId="10" xfId="12" applyFont="1" applyBorder="1" applyAlignment="1">
      <alignment horizontal="left" vertical="center" wrapText="1"/>
    </xf>
    <xf numFmtId="0" fontId="64" fillId="0" borderId="10" xfId="10" applyFont="1" applyBorder="1" applyAlignment="1">
      <alignment horizontal="left" vertical="top" wrapText="1"/>
    </xf>
    <xf numFmtId="49" fontId="64" fillId="0" borderId="5" xfId="12" applyNumberFormat="1" applyFont="1" applyBorder="1" applyAlignment="1">
      <alignment horizontal="left" vertical="center"/>
    </xf>
    <xf numFmtId="0" fontId="2" fillId="0" borderId="5" xfId="11" applyFont="1" applyBorder="1"/>
    <xf numFmtId="0" fontId="2" fillId="0" borderId="5" xfId="11" applyFont="1" applyBorder="1" applyAlignment="1">
      <alignment horizontal="center" vertical="center"/>
    </xf>
    <xf numFmtId="0" fontId="3" fillId="0" borderId="15" xfId="11" applyFont="1" applyBorder="1" applyAlignment="1">
      <alignment vertical="center" wrapText="1"/>
    </xf>
    <xf numFmtId="49" fontId="64" fillId="0" borderId="5" xfId="12" applyNumberFormat="1" applyFont="1" applyBorder="1">
      <alignment vertical="center"/>
    </xf>
    <xf numFmtId="49" fontId="64" fillId="0" borderId="11" xfId="12" applyNumberFormat="1" applyFont="1" applyBorder="1">
      <alignment vertical="center"/>
    </xf>
    <xf numFmtId="0" fontId="3" fillId="0" borderId="15" xfId="11" applyFont="1" applyBorder="1" applyAlignment="1">
      <alignment horizontal="left" vertical="center" wrapText="1"/>
    </xf>
    <xf numFmtId="0" fontId="64" fillId="0" borderId="0" xfId="11" applyFont="1" applyAlignment="1">
      <alignment vertical="center" wrapText="1"/>
    </xf>
    <xf numFmtId="49" fontId="64" fillId="0" borderId="0" xfId="12" applyNumberFormat="1" applyFont="1">
      <alignment vertical="center"/>
    </xf>
    <xf numFmtId="0" fontId="5" fillId="17" borderId="5" xfId="3" applyFont="1" applyFill="1" applyBorder="1" applyAlignment="1">
      <alignment horizontal="left" vertical="top"/>
    </xf>
    <xf numFmtId="0" fontId="5" fillId="17" borderId="0" xfId="3" applyFont="1" applyFill="1" applyAlignment="1">
      <alignment vertical="center" wrapText="1"/>
    </xf>
    <xf numFmtId="49" fontId="6" fillId="17" borderId="5" xfId="3" applyNumberFormat="1" applyFont="1" applyFill="1" applyBorder="1"/>
    <xf numFmtId="0" fontId="5" fillId="17" borderId="5" xfId="3" applyFont="1" applyFill="1" applyBorder="1" applyAlignment="1">
      <alignment horizontal="center"/>
    </xf>
    <xf numFmtId="0" fontId="4" fillId="17" borderId="5" xfId="3" applyFont="1" applyFill="1" applyBorder="1" applyAlignment="1">
      <alignment horizontal="center" wrapText="1"/>
    </xf>
    <xf numFmtId="0" fontId="40" fillId="17" borderId="5" xfId="3" applyFont="1" applyFill="1" applyBorder="1" applyAlignment="1">
      <alignment horizontal="center" wrapText="1"/>
    </xf>
    <xf numFmtId="0" fontId="5" fillId="17" borderId="11" xfId="3" applyFont="1" applyFill="1" applyBorder="1" applyAlignment="1">
      <alignment horizontal="left" vertical="top"/>
    </xf>
    <xf numFmtId="0" fontId="62" fillId="10" borderId="10" xfId="11" applyFont="1" applyFill="1" applyBorder="1" applyAlignment="1">
      <alignment horizontal="left" vertical="center"/>
    </xf>
    <xf numFmtId="0" fontId="62" fillId="16" borderId="11" xfId="11" applyFont="1" applyFill="1" applyBorder="1" applyAlignment="1">
      <alignment horizontal="left" vertical="center"/>
    </xf>
    <xf numFmtId="0" fontId="62" fillId="10" borderId="5" xfId="11" applyFont="1" applyFill="1" applyBorder="1" applyAlignment="1">
      <alignment vertical="center" wrapText="1"/>
    </xf>
    <xf numFmtId="0" fontId="2" fillId="0" borderId="5" xfId="11" applyFont="1" applyBorder="1" applyAlignment="1">
      <alignment vertical="center"/>
    </xf>
    <xf numFmtId="0" fontId="2" fillId="0" borderId="5" xfId="11" applyFont="1" applyBorder="1" applyAlignment="1">
      <alignment vertical="center" wrapText="1"/>
    </xf>
    <xf numFmtId="0" fontId="64" fillId="0" borderId="5" xfId="12" applyFont="1" applyBorder="1" applyAlignment="1">
      <alignment vertical="center" wrapText="1"/>
    </xf>
    <xf numFmtId="0" fontId="64" fillId="0" borderId="11" xfId="11" applyFont="1" applyBorder="1" applyAlignment="1">
      <alignment vertical="center"/>
    </xf>
    <xf numFmtId="0" fontId="2" fillId="0" borderId="0" xfId="11" applyFont="1"/>
    <xf numFmtId="0" fontId="2" fillId="0" borderId="0" xfId="11" applyFont="1" applyAlignment="1">
      <alignment horizontal="center" vertical="center"/>
    </xf>
    <xf numFmtId="0" fontId="2" fillId="0" borderId="5" xfId="11" applyFont="1" applyBorder="1" applyAlignment="1">
      <alignment horizontal="left" vertical="center"/>
    </xf>
    <xf numFmtId="0" fontId="2" fillId="0" borderId="5" xfId="11" applyFont="1" applyBorder="1" applyAlignment="1">
      <alignment horizontal="left" vertical="center" wrapText="1"/>
    </xf>
    <xf numFmtId="0" fontId="64" fillId="0" borderId="0" xfId="12" applyFont="1" applyAlignment="1">
      <alignment horizontal="left" vertical="center"/>
    </xf>
    <xf numFmtId="0" fontId="66" fillId="10" borderId="5" xfId="11" applyFont="1" applyFill="1" applyBorder="1" applyAlignment="1">
      <alignment horizontal="left" vertical="center"/>
    </xf>
    <xf numFmtId="0" fontId="42" fillId="10" borderId="5" xfId="11" applyFont="1" applyFill="1" applyBorder="1" applyAlignment="1">
      <alignment horizontal="left" vertical="center" wrapText="1"/>
    </xf>
    <xf numFmtId="49" fontId="58" fillId="0" borderId="5" xfId="11" applyNumberFormat="1" applyFont="1" applyBorder="1" applyAlignment="1">
      <alignment horizontal="left" vertical="center"/>
    </xf>
    <xf numFmtId="0" fontId="58" fillId="15" borderId="5" xfId="11" applyFont="1" applyFill="1" applyBorder="1" applyAlignment="1">
      <alignment vertical="center" wrapText="1"/>
    </xf>
    <xf numFmtId="0" fontId="58" fillId="0" borderId="5" xfId="11" applyFont="1" applyBorder="1" applyAlignment="1">
      <alignment horizontal="left" vertical="center" wrapText="1"/>
    </xf>
    <xf numFmtId="49" fontId="58" fillId="0" borderId="5" xfId="11" applyNumberFormat="1" applyFont="1" applyBorder="1" applyAlignment="1">
      <alignment vertical="center"/>
    </xf>
    <xf numFmtId="49" fontId="58" fillId="0" borderId="5" xfId="11" applyNumberFormat="1" applyFont="1" applyBorder="1" applyAlignment="1">
      <alignment horizontal="left" vertical="center" wrapText="1"/>
    </xf>
    <xf numFmtId="14" fontId="58" fillId="0" borderId="0" xfId="11" applyNumberFormat="1" applyFont="1" applyAlignment="1">
      <alignment vertical="center"/>
    </xf>
    <xf numFmtId="0" fontId="67" fillId="0" borderId="5" xfId="11" applyFont="1" applyBorder="1" applyAlignment="1">
      <alignment vertical="center"/>
    </xf>
    <xf numFmtId="0" fontId="67" fillId="0" borderId="5" xfId="11" applyFont="1" applyBorder="1" applyAlignment="1">
      <alignment vertical="center" wrapText="1"/>
    </xf>
    <xf numFmtId="49" fontId="67" fillId="0" borderId="5" xfId="11" applyNumberFormat="1" applyFont="1" applyBorder="1" applyAlignment="1">
      <alignment horizontal="left" vertical="center"/>
    </xf>
    <xf numFmtId="0" fontId="67" fillId="15" borderId="5" xfId="11" applyFont="1" applyFill="1" applyBorder="1" applyAlignment="1">
      <alignment vertical="center" wrapText="1"/>
    </xf>
    <xf numFmtId="49" fontId="67" fillId="0" borderId="5" xfId="11" applyNumberFormat="1" applyFont="1" applyBorder="1" applyAlignment="1">
      <alignment vertical="center"/>
    </xf>
    <xf numFmtId="0" fontId="58" fillId="0" borderId="5" xfId="11" applyFont="1" applyBorder="1" applyAlignment="1">
      <alignment horizontal="left" vertical="top" wrapText="1"/>
    </xf>
    <xf numFmtId="0" fontId="67" fillId="0" borderId="5" xfId="11" applyFont="1" applyBorder="1" applyAlignment="1">
      <alignment horizontal="left" vertical="top" wrapText="1"/>
    </xf>
    <xf numFmtId="0" fontId="58" fillId="0" borderId="0" xfId="11" applyFont="1" applyAlignment="1">
      <alignment vertical="center"/>
    </xf>
    <xf numFmtId="49" fontId="58" fillId="0" borderId="0" xfId="11" applyNumberFormat="1" applyFont="1" applyAlignment="1">
      <alignment vertical="center"/>
    </xf>
    <xf numFmtId="0" fontId="58" fillId="0" borderId="0" xfId="11" applyFont="1" applyAlignment="1">
      <alignment vertical="center" wrapText="1"/>
    </xf>
    <xf numFmtId="0" fontId="68" fillId="10" borderId="5" xfId="11" applyFont="1" applyFill="1" applyBorder="1" applyAlignment="1">
      <alignment horizontal="left" vertical="center"/>
    </xf>
    <xf numFmtId="49" fontId="68" fillId="10" borderId="5" xfId="11" applyNumberFormat="1" applyFont="1" applyFill="1" applyBorder="1" applyAlignment="1">
      <alignment horizontal="left" vertical="center"/>
    </xf>
    <xf numFmtId="0" fontId="60" fillId="0" borderId="5" xfId="12" applyFont="1" applyBorder="1" applyAlignment="1">
      <alignment vertical="center" wrapText="1"/>
    </xf>
    <xf numFmtId="0" fontId="60" fillId="0" borderId="5" xfId="12" applyFont="1" applyBorder="1">
      <alignment vertical="center"/>
    </xf>
    <xf numFmtId="49" fontId="60" fillId="0" borderId="5" xfId="12" applyNumberFormat="1" applyFont="1" applyBorder="1" applyAlignment="1">
      <alignment horizontal="left" vertical="center"/>
    </xf>
    <xf numFmtId="0" fontId="70" fillId="0" borderId="0" xfId="12" applyFont="1">
      <alignment vertical="center"/>
    </xf>
    <xf numFmtId="0" fontId="60" fillId="0" borderId="5" xfId="10" applyFont="1" applyBorder="1" applyAlignment="1">
      <alignment horizontal="left" vertical="center" wrapText="1"/>
    </xf>
    <xf numFmtId="49" fontId="60" fillId="0" borderId="5" xfId="12" applyNumberFormat="1" applyFont="1" applyBorder="1">
      <alignment vertical="center"/>
    </xf>
    <xf numFmtId="0" fontId="60" fillId="0" borderId="0" xfId="12" applyFont="1">
      <alignment vertical="center"/>
    </xf>
    <xf numFmtId="49" fontId="60" fillId="0" borderId="0" xfId="12" applyNumberFormat="1" applyFont="1">
      <alignment vertical="center"/>
    </xf>
    <xf numFmtId="0" fontId="65" fillId="0" borderId="5" xfId="12" applyFont="1" applyBorder="1">
      <alignment vertical="center"/>
    </xf>
    <xf numFmtId="0" fontId="44" fillId="0" borderId="5" xfId="12" applyFont="1" applyBorder="1" applyAlignment="1">
      <alignment vertical="center" wrapText="1"/>
    </xf>
    <xf numFmtId="0" fontId="71" fillId="0" borderId="2" xfId="11" applyFont="1" applyBorder="1"/>
    <xf numFmtId="0" fontId="55" fillId="0" borderId="16" xfId="11" applyBorder="1"/>
    <xf numFmtId="0" fontId="44" fillId="0" borderId="5" xfId="12" applyFont="1" applyBorder="1" applyAlignment="1">
      <alignment horizontal="left" vertical="center"/>
    </xf>
    <xf numFmtId="0" fontId="71" fillId="0" borderId="17" xfId="11" applyFont="1" applyBorder="1"/>
    <xf numFmtId="0" fontId="55" fillId="0" borderId="3" xfId="11" applyBorder="1" applyAlignment="1">
      <alignment wrapText="1"/>
    </xf>
    <xf numFmtId="49" fontId="67" fillId="0" borderId="5" xfId="12" applyNumberFormat="1" applyFont="1" applyBorder="1" applyAlignment="1">
      <alignment horizontal="left" vertical="center"/>
    </xf>
    <xf numFmtId="0" fontId="55" fillId="0" borderId="6" xfId="11" applyBorder="1" applyAlignment="1">
      <alignment wrapText="1"/>
    </xf>
    <xf numFmtId="0" fontId="55" fillId="0" borderId="6" xfId="11" applyBorder="1"/>
    <xf numFmtId="0" fontId="71" fillId="0" borderId="5" xfId="11" applyFont="1" applyBorder="1"/>
    <xf numFmtId="49" fontId="3" fillId="0" borderId="5" xfId="12" applyNumberFormat="1" applyBorder="1">
      <alignment vertical="center"/>
    </xf>
    <xf numFmtId="0" fontId="3" fillId="0" borderId="5" xfId="12" applyBorder="1">
      <alignment vertical="center"/>
    </xf>
    <xf numFmtId="0" fontId="44" fillId="17" borderId="5" xfId="11" applyFont="1" applyFill="1" applyBorder="1" applyAlignment="1">
      <alignment vertical="center" wrapText="1"/>
    </xf>
    <xf numFmtId="0" fontId="72" fillId="0" borderId="5" xfId="11" applyFont="1" applyBorder="1"/>
    <xf numFmtId="0" fontId="71" fillId="0" borderId="6" xfId="11" applyFont="1" applyBorder="1"/>
    <xf numFmtId="0" fontId="3" fillId="0" borderId="0" xfId="12">
      <alignment vertical="center"/>
    </xf>
    <xf numFmtId="0" fontId="71" fillId="17" borderId="6" xfId="11" applyFont="1" applyFill="1" applyBorder="1"/>
    <xf numFmtId="0" fontId="72" fillId="17" borderId="6" xfId="11" applyFont="1" applyFill="1" applyBorder="1"/>
    <xf numFmtId="0" fontId="71" fillId="0" borderId="6" xfId="11" applyFont="1" applyBorder="1" applyAlignment="1">
      <alignment shrinkToFit="1"/>
    </xf>
    <xf numFmtId="0" fontId="55" fillId="18" borderId="6" xfId="11" applyFill="1" applyBorder="1"/>
    <xf numFmtId="0" fontId="73" fillId="0" borderId="5" xfId="11" applyFont="1" applyBorder="1"/>
    <xf numFmtId="0" fontId="74" fillId="0" borderId="5" xfId="11" applyFont="1" applyBorder="1"/>
    <xf numFmtId="0" fontId="75" fillId="0" borderId="5" xfId="11" applyFont="1" applyBorder="1"/>
    <xf numFmtId="0" fontId="71" fillId="17" borderId="5" xfId="11" applyFont="1" applyFill="1" applyBorder="1"/>
    <xf numFmtId="0" fontId="55" fillId="17" borderId="5" xfId="11" applyFill="1" applyBorder="1"/>
    <xf numFmtId="49" fontId="3" fillId="0" borderId="0" xfId="12" applyNumberFormat="1">
      <alignment vertical="center"/>
    </xf>
    <xf numFmtId="3" fontId="5" fillId="0" borderId="5" xfId="0" quotePrefix="1" applyNumberFormat="1" applyFont="1" applyBorder="1" applyAlignment="1">
      <alignment horizontal="left" vertical="top"/>
    </xf>
    <xf numFmtId="0" fontId="20" fillId="0" borderId="5" xfId="0" applyFont="1" applyBorder="1"/>
    <xf numFmtId="0" fontId="10" fillId="0" borderId="5" xfId="0" applyFont="1" applyBorder="1" applyAlignment="1">
      <alignment horizontal="left" wrapText="1"/>
    </xf>
    <xf numFmtId="0" fontId="77" fillId="0" borderId="5" xfId="0" applyFont="1" applyBorder="1"/>
    <xf numFmtId="0" fontId="76" fillId="0" borderId="5" xfId="0" applyFont="1" applyBorder="1" applyAlignment="1">
      <alignment horizontal="center"/>
    </xf>
    <xf numFmtId="0" fontId="76" fillId="0" borderId="5" xfId="0" applyFont="1" applyBorder="1" applyAlignment="1">
      <alignment horizontal="center" wrapText="1"/>
    </xf>
    <xf numFmtId="0" fontId="78" fillId="0" borderId="5" xfId="4" applyFont="1" applyBorder="1" applyAlignment="1">
      <alignment vertical="center"/>
    </xf>
    <xf numFmtId="0" fontId="4" fillId="19" borderId="5" xfId="0" applyFont="1" applyFill="1" applyBorder="1" applyAlignment="1">
      <alignment horizontal="center" vertical="top"/>
    </xf>
    <xf numFmtId="0" fontId="4" fillId="19" borderId="5" xfId="0" applyFont="1" applyFill="1" applyBorder="1" applyAlignment="1">
      <alignment horizontal="center" vertical="top" wrapText="1"/>
    </xf>
    <xf numFmtId="0" fontId="79" fillId="0" borderId="5" xfId="0" applyFont="1" applyBorder="1"/>
    <xf numFmtId="0" fontId="5" fillId="8" borderId="5" xfId="7" applyFont="1" applyFill="1" applyBorder="1" applyAlignment="1">
      <alignment horizontal="left" vertical="center" wrapText="1"/>
    </xf>
    <xf numFmtId="0" fontId="80" fillId="0" borderId="5" xfId="0" applyFont="1" applyBorder="1"/>
    <xf numFmtId="0" fontId="81" fillId="0" borderId="5" xfId="0" applyFont="1" applyBorder="1"/>
    <xf numFmtId="0" fontId="47" fillId="0" borderId="5" xfId="0" applyFont="1" applyBorder="1" applyAlignment="1">
      <alignment vertical="top"/>
    </xf>
    <xf numFmtId="0" fontId="47" fillId="0" borderId="5" xfId="0" applyFont="1" applyBorder="1" applyAlignment="1">
      <alignment horizontal="left" wrapText="1"/>
    </xf>
    <xf numFmtId="0" fontId="82" fillId="0" borderId="5" xfId="0" applyFont="1" applyBorder="1"/>
    <xf numFmtId="0" fontId="82" fillId="7" borderId="5" xfId="0" applyFont="1" applyFill="1" applyBorder="1"/>
    <xf numFmtId="0" fontId="83" fillId="0" borderId="5" xfId="0" applyFont="1" applyBorder="1" applyAlignment="1">
      <alignment vertical="top"/>
    </xf>
    <xf numFmtId="0" fontId="5" fillId="0" borderId="5" xfId="0" applyFont="1" applyBorder="1" applyAlignment="1">
      <alignment horizontal="center" vertical="center" wrapText="1"/>
    </xf>
    <xf numFmtId="0" fontId="5" fillId="0" borderId="5" xfId="13" applyFont="1" applyBorder="1" applyAlignment="1">
      <alignment horizontal="left" vertical="center"/>
    </xf>
    <xf numFmtId="49" fontId="5" fillId="0" borderId="5" xfId="0" quotePrefix="1" applyNumberFormat="1" applyFont="1" applyBorder="1" applyAlignment="1">
      <alignment horizontal="left" vertical="top"/>
    </xf>
    <xf numFmtId="0" fontId="5" fillId="0" borderId="5" xfId="3" applyFont="1" applyFill="1" applyBorder="1" applyAlignment="1">
      <alignment horizontal="left" vertical="top"/>
    </xf>
    <xf numFmtId="0" fontId="5" fillId="0" borderId="0" xfId="3" applyFont="1" applyFill="1" applyAlignment="1">
      <alignment vertical="center" wrapText="1"/>
    </xf>
    <xf numFmtId="49" fontId="6" fillId="0" borderId="5" xfId="3" applyNumberFormat="1" applyFont="1" applyFill="1" applyBorder="1"/>
    <xf numFmtId="0" fontId="5" fillId="0" borderId="5" xfId="3" applyFont="1" applyFill="1" applyBorder="1" applyAlignment="1">
      <alignment horizontal="center"/>
    </xf>
    <xf numFmtId="0" fontId="4" fillId="0" borderId="5" xfId="3" applyFont="1" applyFill="1" applyBorder="1" applyAlignment="1">
      <alignment horizontal="center" wrapText="1"/>
    </xf>
    <xf numFmtId="0" fontId="5" fillId="0" borderId="5" xfId="3" applyFont="1" applyFill="1" applyBorder="1" applyAlignment="1">
      <alignment horizontal="center" wrapText="1"/>
    </xf>
    <xf numFmtId="0" fontId="11" fillId="0" borderId="5" xfId="3" applyFont="1" applyFill="1" applyBorder="1"/>
    <xf numFmtId="49" fontId="5" fillId="0" borderId="5" xfId="3" applyNumberFormat="1" applyFont="1" applyFill="1" applyBorder="1" applyAlignment="1">
      <alignment horizontal="left" vertical="top"/>
    </xf>
    <xf numFmtId="0" fontId="5" fillId="0" borderId="6" xfId="3" applyFont="1" applyFill="1" applyBorder="1" applyAlignment="1">
      <alignment wrapText="1"/>
    </xf>
    <xf numFmtId="0" fontId="5" fillId="0" borderId="0" xfId="3" applyFont="1" applyFill="1"/>
    <xf numFmtId="0" fontId="6" fillId="17" borderId="5" xfId="3" applyFont="1" applyFill="1" applyBorder="1"/>
    <xf numFmtId="0" fontId="7" fillId="17" borderId="5" xfId="3" applyFont="1" applyFill="1" applyBorder="1" applyAlignment="1">
      <alignment horizontal="center" wrapText="1"/>
    </xf>
    <xf numFmtId="20" fontId="4" fillId="17" borderId="5" xfId="3" applyNumberFormat="1" applyFont="1" applyFill="1" applyBorder="1" applyAlignment="1">
      <alignment horizontal="center" wrapText="1"/>
    </xf>
    <xf numFmtId="0" fontId="5" fillId="0" borderId="11" xfId="3" applyFont="1" applyFill="1" applyBorder="1" applyAlignment="1">
      <alignment horizontal="left" vertical="top"/>
    </xf>
    <xf numFmtId="0" fontId="4" fillId="17" borderId="5" xfId="3" applyFont="1" applyFill="1" applyBorder="1" applyAlignment="1">
      <alignment horizontal="left" vertical="top"/>
    </xf>
    <xf numFmtId="0" fontId="32" fillId="17" borderId="5" xfId="3" applyFont="1" applyFill="1" applyBorder="1" applyAlignment="1">
      <alignment horizontal="left" vertical="top"/>
    </xf>
    <xf numFmtId="0" fontId="10" fillId="17" borderId="5" xfId="0" applyFont="1" applyFill="1" applyBorder="1" applyAlignment="1">
      <alignment horizontal="left" vertical="top"/>
    </xf>
    <xf numFmtId="0" fontId="5" fillId="17" borderId="5" xfId="0" applyFont="1" applyFill="1" applyBorder="1" applyAlignment="1">
      <alignment horizontal="left" vertical="top"/>
    </xf>
    <xf numFmtId="0" fontId="5" fillId="17" borderId="11" xfId="0" applyFont="1" applyFill="1" applyBorder="1" applyAlignment="1">
      <alignment horizontal="left" vertical="top"/>
    </xf>
    <xf numFmtId="0" fontId="5" fillId="0" borderId="5" xfId="0" applyFont="1" applyFill="1" applyBorder="1" applyAlignment="1">
      <alignment horizontal="left" vertical="top"/>
    </xf>
    <xf numFmtId="0" fontId="4" fillId="2" borderId="1" xfId="14" applyFont="1" applyFill="1" applyBorder="1" applyAlignment="1">
      <alignment horizontal="center" vertical="center" wrapText="1"/>
    </xf>
    <xf numFmtId="0" fontId="4" fillId="2" borderId="2" xfId="14" applyFont="1" applyFill="1" applyBorder="1" applyAlignment="1">
      <alignment horizontal="center" vertical="center" wrapText="1"/>
    </xf>
    <xf numFmtId="0" fontId="4" fillId="2" borderId="3" xfId="14" applyFont="1" applyFill="1" applyBorder="1" applyAlignment="1">
      <alignment horizontal="center" vertical="center" wrapText="1"/>
    </xf>
    <xf numFmtId="0" fontId="4" fillId="2" borderId="5" xfId="14" applyFont="1" applyFill="1" applyBorder="1" applyAlignment="1">
      <alignment horizontal="center" vertical="center" wrapText="1"/>
    </xf>
    <xf numFmtId="0" fontId="5" fillId="0" borderId="0" xfId="14" applyFont="1" applyAlignment="1">
      <alignment wrapText="1"/>
    </xf>
    <xf numFmtId="0" fontId="4" fillId="3" borderId="4" xfId="14" applyFont="1" applyFill="1" applyBorder="1" applyAlignment="1">
      <alignment vertical="center" wrapText="1"/>
    </xf>
    <xf numFmtId="0" fontId="4" fillId="3" borderId="5" xfId="14" applyFont="1" applyFill="1" applyBorder="1" applyAlignment="1">
      <alignment horizontal="center"/>
    </xf>
    <xf numFmtId="0" fontId="5" fillId="5" borderId="0" xfId="15" applyFont="1" applyFill="1" applyAlignment="1">
      <alignment vertical="center" wrapText="1"/>
    </xf>
    <xf numFmtId="0" fontId="5" fillId="3" borderId="5" xfId="14" applyFont="1" applyFill="1" applyBorder="1" applyAlignment="1">
      <alignment horizontal="center" wrapText="1"/>
    </xf>
    <xf numFmtId="0" fontId="5" fillId="4" borderId="6" xfId="14" applyFont="1" applyFill="1" applyBorder="1" applyAlignment="1">
      <alignment wrapText="1"/>
    </xf>
    <xf numFmtId="0" fontId="5" fillId="0" borderId="5" xfId="14" applyFont="1" applyBorder="1"/>
    <xf numFmtId="0" fontId="5" fillId="0" borderId="0" xfId="14" applyFont="1"/>
    <xf numFmtId="0" fontId="6" fillId="0" borderId="4" xfId="14" applyFont="1" applyBorder="1"/>
    <xf numFmtId="0" fontId="6" fillId="0" borderId="5" xfId="14" applyFont="1" applyBorder="1"/>
    <xf numFmtId="0" fontId="5" fillId="0" borderId="5" xfId="14" applyFont="1" applyBorder="1" applyAlignment="1">
      <alignment horizontal="center"/>
    </xf>
    <xf numFmtId="0" fontId="5" fillId="0" borderId="5" xfId="14" applyFont="1" applyBorder="1" applyAlignment="1">
      <alignment horizontal="center" wrapText="1"/>
    </xf>
    <xf numFmtId="0" fontId="8" fillId="0" borderId="5" xfId="14" applyFont="1" applyBorder="1" applyAlignment="1">
      <alignment horizontal="center" vertical="center" wrapText="1"/>
    </xf>
    <xf numFmtId="0" fontId="4" fillId="0" borderId="5" xfId="14" applyFont="1" applyBorder="1" applyAlignment="1">
      <alignment horizontal="center" vertical="center" wrapText="1"/>
    </xf>
    <xf numFmtId="0" fontId="5" fillId="3" borderId="5" xfId="14" applyFont="1" applyFill="1" applyBorder="1" applyAlignment="1">
      <alignment horizontal="center"/>
    </xf>
    <xf numFmtId="0" fontId="4" fillId="3" borderId="5" xfId="14" applyFont="1" applyFill="1" applyBorder="1" applyAlignment="1">
      <alignment horizontal="center" wrapText="1"/>
    </xf>
    <xf numFmtId="0" fontId="4" fillId="0" borderId="18" xfId="14" applyFont="1" applyBorder="1" applyAlignment="1">
      <alignment vertical="center" wrapText="1"/>
    </xf>
    <xf numFmtId="0" fontId="6" fillId="0" borderId="19" xfId="14" applyFont="1" applyBorder="1"/>
    <xf numFmtId="0" fontId="5" fillId="0" borderId="19" xfId="14" applyFont="1" applyBorder="1" applyAlignment="1">
      <alignment horizontal="center"/>
    </xf>
    <xf numFmtId="0" fontId="4" fillId="0" borderId="19" xfId="14" applyFont="1" applyBorder="1" applyAlignment="1">
      <alignment horizontal="center"/>
    </xf>
    <xf numFmtId="0" fontId="5" fillId="0" borderId="19" xfId="14" applyFont="1" applyBorder="1" applyAlignment="1">
      <alignment horizontal="center" wrapText="1"/>
    </xf>
    <xf numFmtId="0" fontId="4" fillId="0" borderId="5" xfId="14" applyFont="1" applyBorder="1" applyAlignment="1">
      <alignment horizontal="center"/>
    </xf>
    <xf numFmtId="0" fontId="83" fillId="0" borderId="5" xfId="15" applyFont="1" applyBorder="1" applyAlignment="1">
      <alignment vertical="top" wrapText="1"/>
    </xf>
    <xf numFmtId="0" fontId="83" fillId="0" borderId="5" xfId="15" applyFont="1" applyBorder="1" applyAlignment="1">
      <alignment horizontal="left" vertical="top" wrapText="1"/>
    </xf>
    <xf numFmtId="0" fontId="86" fillId="0" borderId="5" xfId="15" applyFont="1" applyBorder="1" applyAlignment="1">
      <alignment horizontal="justify" vertical="top" wrapText="1"/>
    </xf>
    <xf numFmtId="0" fontId="5" fillId="0" borderId="11" xfId="14" applyFont="1" applyBorder="1" applyAlignment="1">
      <alignment horizontal="center"/>
    </xf>
    <xf numFmtId="0" fontId="5" fillId="0" borderId="5" xfId="14" quotePrefix="1" applyFont="1" applyBorder="1" applyAlignment="1">
      <alignment horizontal="left" vertical="top"/>
    </xf>
    <xf numFmtId="0" fontId="5" fillId="0" borderId="5" xfId="14" applyFont="1" applyBorder="1" applyAlignment="1">
      <alignment horizontal="left" wrapText="1"/>
    </xf>
    <xf numFmtId="0" fontId="5" fillId="0" borderId="5" xfId="14" applyFont="1" applyBorder="1" applyAlignment="1">
      <alignment horizontal="left"/>
    </xf>
    <xf numFmtId="0" fontId="83" fillId="0" borderId="5" xfId="15" applyFont="1" applyBorder="1"/>
    <xf numFmtId="0" fontId="4" fillId="3" borderId="20" xfId="14" applyFont="1" applyFill="1" applyBorder="1" applyAlignment="1">
      <alignment vertical="center" wrapText="1"/>
    </xf>
    <xf numFmtId="0" fontId="4" fillId="3" borderId="17" xfId="14" applyFont="1" applyFill="1" applyBorder="1" applyAlignment="1">
      <alignment horizontal="center"/>
    </xf>
    <xf numFmtId="0" fontId="5" fillId="3" borderId="17" xfId="14" applyFont="1" applyFill="1" applyBorder="1" applyAlignment="1">
      <alignment horizontal="center"/>
    </xf>
    <xf numFmtId="0" fontId="4" fillId="3" borderId="17" xfId="14" applyFont="1" applyFill="1" applyBorder="1" applyAlignment="1">
      <alignment horizontal="center" wrapText="1"/>
    </xf>
    <xf numFmtId="0" fontId="5" fillId="3" borderId="5" xfId="14" applyFont="1" applyFill="1" applyBorder="1"/>
    <xf numFmtId="0" fontId="4" fillId="0" borderId="4" xfId="14" applyFont="1" applyBorder="1" applyAlignment="1">
      <alignment vertical="center" wrapText="1"/>
    </xf>
    <xf numFmtId="0" fontId="5" fillId="0" borderId="4" xfId="14" applyFont="1" applyBorder="1" applyAlignment="1">
      <alignment vertical="center" wrapText="1"/>
    </xf>
    <xf numFmtId="0" fontId="5" fillId="0" borderId="0" xfId="14" applyFont="1" applyAlignment="1">
      <alignment vertical="center" wrapText="1"/>
    </xf>
    <xf numFmtId="0" fontId="5" fillId="0" borderId="0" xfId="14" applyFont="1" applyAlignment="1">
      <alignment horizontal="center"/>
    </xf>
    <xf numFmtId="0" fontId="5" fillId="0" borderId="0" xfId="14" applyFont="1" applyAlignment="1">
      <alignment horizontal="center" wrapText="1"/>
    </xf>
    <xf numFmtId="0" fontId="5" fillId="4" borderId="0" xfId="14" applyFont="1" applyFill="1" applyAlignment="1">
      <alignment wrapText="1"/>
    </xf>
    <xf numFmtId="0" fontId="65" fillId="0" borderId="0" xfId="0" applyFont="1"/>
    <xf numFmtId="0" fontId="55" fillId="0" borderId="21" xfId="11" applyBorder="1"/>
    <xf numFmtId="0" fontId="55" fillId="0" borderId="21" xfId="11" applyBorder="1" applyAlignment="1">
      <alignment wrapText="1"/>
    </xf>
    <xf numFmtId="0" fontId="55" fillId="0" borderId="10" xfId="11" applyBorder="1" applyAlignment="1">
      <alignment wrapText="1"/>
    </xf>
    <xf numFmtId="0" fontId="55" fillId="0" borderId="10" xfId="11" applyBorder="1"/>
    <xf numFmtId="0" fontId="71" fillId="0" borderId="10" xfId="11" applyFont="1" applyBorder="1"/>
    <xf numFmtId="0" fontId="71" fillId="0" borderId="0" xfId="11" applyFont="1" applyBorder="1"/>
    <xf numFmtId="0" fontId="71" fillId="17" borderId="0" xfId="11" applyFont="1" applyFill="1" applyBorder="1"/>
    <xf numFmtId="0" fontId="72" fillId="17" borderId="0" xfId="11" applyFont="1" applyFill="1" applyBorder="1"/>
    <xf numFmtId="0" fontId="71" fillId="0" borderId="0" xfId="11" applyFont="1" applyBorder="1" applyAlignment="1">
      <alignment shrinkToFit="1"/>
    </xf>
    <xf numFmtId="0" fontId="55" fillId="18" borderId="0" xfId="11" applyFill="1" applyBorder="1"/>
    <xf numFmtId="0" fontId="74" fillId="0" borderId="0" xfId="11" applyFont="1" applyBorder="1"/>
    <xf numFmtId="0" fontId="75" fillId="0" borderId="0" xfId="11" applyFont="1" applyBorder="1"/>
    <xf numFmtId="0" fontId="55" fillId="17" borderId="0" xfId="11" applyFill="1" applyBorder="1"/>
    <xf numFmtId="0" fontId="55" fillId="0" borderId="0" xfId="11" applyBorder="1"/>
    <xf numFmtId="0" fontId="87" fillId="20" borderId="5" xfId="11" applyFont="1" applyFill="1" applyBorder="1" applyAlignment="1">
      <alignment horizontal="left" vertical="center"/>
    </xf>
    <xf numFmtId="0" fontId="44" fillId="17" borderId="5" xfId="12" applyFont="1" applyFill="1" applyBorder="1" applyAlignment="1">
      <alignment vertical="center" wrapText="1"/>
    </xf>
    <xf numFmtId="0" fontId="55" fillId="21" borderId="10" xfId="11" applyFill="1" applyBorder="1"/>
    <xf numFmtId="0" fontId="55" fillId="21" borderId="10" xfId="11" applyFill="1" applyBorder="1" applyAlignment="1">
      <alignment wrapText="1"/>
    </xf>
    <xf numFmtId="0" fontId="55" fillId="21" borderId="6" xfId="11" applyFill="1" applyBorder="1"/>
    <xf numFmtId="0" fontId="5" fillId="21" borderId="5" xfId="0" applyFont="1" applyFill="1" applyBorder="1" applyAlignment="1">
      <alignment horizontal="left" vertical="top"/>
    </xf>
    <xf numFmtId="0" fontId="76" fillId="17" borderId="5" xfId="0" applyFont="1" applyFill="1" applyBorder="1" applyAlignment="1">
      <alignment horizontal="left" vertical="top"/>
    </xf>
    <xf numFmtId="0" fontId="4" fillId="3" borderId="5" xfId="0" applyFont="1" applyFill="1" applyBorder="1" applyAlignment="1">
      <alignment vertical="center" wrapText="1"/>
    </xf>
    <xf numFmtId="0" fontId="0" fillId="0" borderId="5" xfId="0" applyBorder="1" applyAlignment="1">
      <alignment vertical="center" wrapText="1"/>
    </xf>
    <xf numFmtId="0" fontId="79" fillId="0" borderId="5" xfId="0" applyFont="1" applyBorder="1" applyAlignment="1">
      <alignment vertical="center" wrapText="1"/>
    </xf>
    <xf numFmtId="0" fontId="88" fillId="0" borderId="5" xfId="0" applyFont="1" applyBorder="1" applyAlignment="1">
      <alignment vertical="center" wrapText="1"/>
    </xf>
    <xf numFmtId="0" fontId="5" fillId="0" borderId="5" xfId="0" applyFont="1" applyFill="1" applyBorder="1" applyAlignment="1">
      <alignment horizontal="center" vertical="top"/>
    </xf>
    <xf numFmtId="0" fontId="5" fillId="0" borderId="5" xfId="0" applyFont="1" applyFill="1" applyBorder="1" applyAlignment="1">
      <alignment horizontal="center"/>
    </xf>
    <xf numFmtId="0" fontId="5" fillId="0" borderId="5" xfId="0" applyFont="1" applyFill="1" applyBorder="1" applyAlignment="1">
      <alignment horizontal="center" wrapText="1"/>
    </xf>
    <xf numFmtId="0" fontId="5" fillId="0" borderId="5" xfId="0" quotePrefix="1" applyFont="1" applyFill="1" applyBorder="1" applyAlignment="1">
      <alignment horizontal="left" vertical="top"/>
    </xf>
    <xf numFmtId="0" fontId="5" fillId="0" borderId="10" xfId="0" applyFont="1" applyFill="1" applyBorder="1" applyAlignment="1">
      <alignment wrapText="1"/>
    </xf>
    <xf numFmtId="0" fontId="5" fillId="0" borderId="5" xfId="0" applyFont="1" applyFill="1" applyBorder="1"/>
    <xf numFmtId="0" fontId="5" fillId="0" borderId="0" xfId="0" applyFont="1" applyFill="1"/>
    <xf numFmtId="0" fontId="12" fillId="0" borderId="5" xfId="0" applyFont="1" applyFill="1" applyBorder="1" applyAlignment="1">
      <alignment horizontal="left" wrapText="1"/>
    </xf>
    <xf numFmtId="0" fontId="11" fillId="0" borderId="5" xfId="0" applyFont="1" applyFill="1" applyBorder="1"/>
    <xf numFmtId="0" fontId="5" fillId="0" borderId="5" xfId="2" applyFont="1" applyFill="1" applyBorder="1" applyAlignment="1">
      <alignment horizontal="left" vertical="top"/>
    </xf>
    <xf numFmtId="0" fontId="6" fillId="0" borderId="5" xfId="2" applyFont="1" applyFill="1" applyBorder="1"/>
    <xf numFmtId="0" fontId="5" fillId="0" borderId="5" xfId="2" applyFont="1" applyFill="1" applyBorder="1" applyAlignment="1">
      <alignment horizontal="center"/>
    </xf>
    <xf numFmtId="0" fontId="7" fillId="0" borderId="5" xfId="2" applyFont="1" applyFill="1" applyBorder="1" applyAlignment="1">
      <alignment horizontal="left" wrapText="1"/>
    </xf>
    <xf numFmtId="0" fontId="5" fillId="0" borderId="5" xfId="2" applyFont="1" applyFill="1" applyBorder="1" applyAlignment="1">
      <alignment horizontal="center" wrapText="1"/>
    </xf>
    <xf numFmtId="0" fontId="5" fillId="0" borderId="5" xfId="2" applyFont="1" applyFill="1" applyBorder="1" applyAlignment="1">
      <alignment horizontal="left"/>
    </xf>
    <xf numFmtId="0" fontId="17" fillId="0" borderId="5" xfId="2" applyFont="1" applyFill="1" applyBorder="1"/>
    <xf numFmtId="0" fontId="16" fillId="0" borderId="5" xfId="2" applyFont="1" applyFill="1" applyBorder="1" applyAlignment="1">
      <alignment horizontal="center"/>
    </xf>
    <xf numFmtId="0" fontId="18" fillId="0" borderId="5" xfId="2" applyFont="1" applyFill="1" applyBorder="1" applyAlignment="1">
      <alignment horizontal="left" wrapText="1"/>
    </xf>
    <xf numFmtId="0" fontId="18" fillId="0" borderId="5" xfId="2" applyFont="1" applyFill="1" applyBorder="1" applyAlignment="1">
      <alignment horizontal="center" wrapText="1"/>
    </xf>
    <xf numFmtId="0" fontId="16" fillId="0" borderId="5" xfId="2" applyFont="1" applyFill="1" applyBorder="1" applyAlignment="1">
      <alignment horizontal="center" wrapText="1"/>
    </xf>
    <xf numFmtId="0" fontId="16" fillId="0" borderId="5" xfId="2" applyFont="1" applyFill="1" applyBorder="1" applyAlignment="1">
      <alignment horizontal="left"/>
    </xf>
    <xf numFmtId="0" fontId="16" fillId="0" borderId="5" xfId="3" applyFont="1" applyFill="1" applyBorder="1" applyAlignment="1">
      <alignment horizontal="center"/>
    </xf>
    <xf numFmtId="49" fontId="16" fillId="0" borderId="5" xfId="2" applyNumberFormat="1" applyFont="1" applyFill="1" applyBorder="1" applyAlignment="1">
      <alignment horizontal="left"/>
    </xf>
    <xf numFmtId="0" fontId="16" fillId="0" borderId="10" xfId="2" applyFont="1" applyFill="1" applyBorder="1" applyAlignment="1">
      <alignment wrapText="1"/>
    </xf>
    <xf numFmtId="0" fontId="16" fillId="0" borderId="5" xfId="2" applyFont="1" applyFill="1" applyBorder="1"/>
    <xf numFmtId="0" fontId="16" fillId="0" borderId="0" xfId="2" applyFont="1" applyFill="1"/>
    <xf numFmtId="0" fontId="5" fillId="22" borderId="4" xfId="2" applyFont="1" applyFill="1" applyBorder="1" applyAlignment="1">
      <alignment vertical="center" wrapText="1"/>
    </xf>
    <xf numFmtId="49" fontId="5" fillId="0" borderId="5" xfId="2" applyNumberFormat="1" applyFont="1" applyFill="1" applyBorder="1" applyAlignment="1">
      <alignment horizontal="left"/>
    </xf>
    <xf numFmtId="0" fontId="5" fillId="0" borderId="5" xfId="2" applyFont="1" applyFill="1" applyBorder="1" applyAlignment="1">
      <alignment wrapText="1"/>
    </xf>
    <xf numFmtId="0" fontId="5" fillId="0" borderId="5" xfId="2" applyFont="1" applyFill="1" applyBorder="1"/>
    <xf numFmtId="0" fontId="5" fillId="0" borderId="0" xfId="2" applyFont="1" applyFill="1"/>
    <xf numFmtId="0" fontId="5" fillId="22" borderId="5" xfId="2" applyFont="1" applyFill="1" applyBorder="1" applyAlignment="1">
      <alignment horizontal="left" vertical="top"/>
    </xf>
    <xf numFmtId="0" fontId="16" fillId="22" borderId="11" xfId="2" applyFont="1" applyFill="1" applyBorder="1" applyAlignment="1">
      <alignment horizontal="left" vertical="top"/>
    </xf>
    <xf numFmtId="0" fontId="60" fillId="17" borderId="5" xfId="12" applyFont="1" applyFill="1" applyBorder="1" applyAlignment="1">
      <alignment vertical="center" wrapText="1"/>
    </xf>
    <xf numFmtId="0" fontId="60" fillId="17" borderId="5" xfId="12" applyFont="1" applyFill="1" applyBorder="1">
      <alignment vertical="center"/>
    </xf>
    <xf numFmtId="0" fontId="2" fillId="17" borderId="5" xfId="11" applyFont="1" applyFill="1" applyBorder="1"/>
    <xf numFmtId="0" fontId="0" fillId="0" borderId="5" xfId="0" applyBorder="1" applyAlignment="1">
      <alignment vertical="center" wrapText="1"/>
    </xf>
    <xf numFmtId="0" fontId="88" fillId="0" borderId="5" xfId="0" applyFont="1" applyBorder="1" applyAlignment="1">
      <alignment vertical="center" wrapText="1"/>
    </xf>
    <xf numFmtId="0" fontId="42" fillId="13" borderId="5" xfId="9" applyFont="1" applyFill="1" applyBorder="1" applyAlignment="1">
      <alignment horizontal="left" vertical="center"/>
    </xf>
    <xf numFmtId="0" fontId="44" fillId="3" borderId="5" xfId="9" applyFont="1" applyFill="1" applyBorder="1" applyAlignment="1">
      <alignment vertical="center" wrapText="1"/>
    </xf>
    <xf numFmtId="0" fontId="3" fillId="0" borderId="5" xfId="9" applyBorder="1" applyAlignment="1">
      <alignment vertical="center" wrapText="1"/>
    </xf>
    <xf numFmtId="0" fontId="45" fillId="14" borderId="5" xfId="9" applyFont="1" applyFill="1" applyBorder="1" applyAlignment="1">
      <alignment vertical="center" wrapText="1"/>
    </xf>
    <xf numFmtId="0" fontId="44" fillId="0" borderId="5" xfId="9" applyFont="1" applyBorder="1">
      <alignment vertical="center"/>
    </xf>
    <xf numFmtId="0" fontId="42" fillId="11" borderId="5" xfId="9" applyFont="1" applyFill="1" applyBorder="1" applyAlignment="1">
      <alignment horizontal="left" vertical="center"/>
    </xf>
    <xf numFmtId="0" fontId="42" fillId="11" borderId="5" xfId="9" applyFont="1" applyFill="1" applyBorder="1" applyAlignment="1">
      <alignment horizontal="left" vertical="center" wrapText="1"/>
    </xf>
    <xf numFmtId="0" fontId="42" fillId="10" borderId="5" xfId="9" applyFont="1" applyFill="1" applyBorder="1" applyAlignment="1">
      <alignment horizontal="center" vertical="center"/>
    </xf>
    <xf numFmtId="0" fontId="42" fillId="10" borderId="5" xfId="9" applyFont="1" applyFill="1" applyBorder="1" applyAlignment="1">
      <alignment horizontal="center" vertical="center" wrapText="1"/>
    </xf>
    <xf numFmtId="0" fontId="0" fillId="0" borderId="5" xfId="0" applyBorder="1"/>
  </cellXfs>
  <cellStyles count="16">
    <cellStyle name="Normal" xfId="0" builtinId="0"/>
    <cellStyle name="Normal 2" xfId="8" xr:uid="{B9B44781-2A12-4CEF-9DEC-AB034DACA855}"/>
    <cellStyle name="Normal 2 2" xfId="12" xr:uid="{60FBC852-0CC1-4948-9A86-107667891FE6}"/>
    <cellStyle name="Normal 3" xfId="9" xr:uid="{062B6509-B619-4F9E-8310-A202A3CD69C2}"/>
    <cellStyle name="Normal 4" xfId="11" xr:uid="{405350F4-4CA1-4B05-86B5-40D5864B8EE9}"/>
    <cellStyle name="Normal 5" xfId="15" xr:uid="{C8E05B22-51A1-45A3-BD87-D255C2B4248C}"/>
    <cellStyle name="Normal_Interface file layout Tandem(sample)" xfId="1" xr:uid="{9AF79667-750B-40B8-8E7A-77481767045B}"/>
    <cellStyle name="一般_CEMS-TW-Online Messages-Consolidated v1.0" xfId="10" xr:uid="{38220A5E-DA51-4265-9161-0DF9AAB00229}"/>
    <cellStyle name="一般_Interface file layout MFS (Batch)" xfId="6" xr:uid="{867BC904-6433-4FDF-A533-ABE523DC7749}"/>
    <cellStyle name="一般_Interface file layout MFS (Online)" xfId="7" xr:uid="{61C4DEE6-93E4-4A2A-8C04-10BD884BC9ED}"/>
    <cellStyle name="一般_Interface file layout Tandem v1 0 -Ivy" xfId="2" xr:uid="{E9EF1D5B-79AC-4835-BEDD-940D006A76C6}"/>
    <cellStyle name="一般_Interface file layout Tandem v1 0 -Retail Casa v0.1" xfId="5" xr:uid="{B8D8F4E0-4E13-4442-8B53-FCCED43BCF09}"/>
    <cellStyle name="一般_Interface file layout Tandem v1 0 -佾芳" xfId="3" xr:uid="{8A83F1AD-9E5C-4264-B988-FB2D28F5B9EC}"/>
    <cellStyle name="一般_Interface file layout Tandem v1 0 -活期" xfId="4" xr:uid="{2BD3AD73-C101-4CFC-BA2D-B35FA90D15D0}"/>
    <cellStyle name="一般_Interface file layout Tandem(FX CM)" xfId="14" xr:uid="{179455FB-7994-412D-B5E6-92C167BB20B2}"/>
    <cellStyle name="一般_Sheet1" xfId="13" xr:uid="{41DE634C-8B60-4A3B-9CC7-F402B75339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ndardcharteredbank-my.sharepoint.com/personal/1249334_zone1_scb_net/Documents/Documents/CEMS/public/CEMS/Interface%20Spec/Interface%20file%20layout%20Tandem_CIS%20v1.8.xls" TargetMode="External"/><Relationship Id="rId1" Type="http://schemas.openxmlformats.org/officeDocument/2006/relationships/externalLinkPath" Target="/personal/1249334_zone1_scb_net/Documents/Documents/CEMS/public/CEMS/Interface%20Spec/Interface%20file%20layout%20Tandem_CIS%20v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TCH-CUSTOM-REC"/>
      <sheetName val="BATCH-CUSTREL-REC"/>
      <sheetName val="BATCH-Contact"/>
      <sheetName val="BATCH-address"/>
      <sheetName val="online-Customer Risk Enquiry"/>
      <sheetName val="Online-Profile Maintenance Log"/>
      <sheetName val="CEMST30"/>
    </sheetNames>
    <sheetDataSet>
      <sheetData sheetId="0">
        <row r="41">
          <cell r="E41">
            <v>280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5751C-53A9-4F1A-B915-64E39625FCDD}">
  <sheetPr codeName="Sheet1"/>
  <dimension ref="A1:N120"/>
  <sheetViews>
    <sheetView zoomScale="115" zoomScaleNormal="115" workbookViewId="0">
      <selection activeCell="A19" sqref="A19"/>
    </sheetView>
  </sheetViews>
  <sheetFormatPr defaultRowHeight="10"/>
  <cols>
    <col min="1" max="1" width="24.7265625" style="318" bestFit="1" customWidth="1"/>
    <col min="2" max="2" width="18.7265625" style="319" bestFit="1" customWidth="1"/>
    <col min="3" max="3" width="8.1796875" style="319" bestFit="1" customWidth="1"/>
    <col min="4" max="5" width="8.26953125" style="319" bestFit="1" customWidth="1"/>
    <col min="6" max="6" width="7.26953125" style="319" bestFit="1" customWidth="1"/>
    <col min="7" max="7" width="23.26953125" style="320" customWidth="1"/>
    <col min="8" max="8" width="17.1796875" style="320" bestFit="1" customWidth="1"/>
    <col min="9" max="9" width="23.26953125" style="320" customWidth="1"/>
    <col min="10" max="10" width="28.7265625" style="319" bestFit="1" customWidth="1"/>
    <col min="11" max="12" width="9.1796875" style="319"/>
    <col min="13" max="13" width="13.26953125" style="294" customWidth="1"/>
    <col min="14" max="256" width="9.1796875" style="294"/>
    <col min="257" max="257" width="24.7265625" style="294" bestFit="1" customWidth="1"/>
    <col min="258" max="258" width="18.7265625" style="294" bestFit="1" customWidth="1"/>
    <col min="259" max="259" width="8.1796875" style="294" bestFit="1" customWidth="1"/>
    <col min="260" max="261" width="8.26953125" style="294" bestFit="1" customWidth="1"/>
    <col min="262" max="262" width="7.26953125" style="294" bestFit="1" customWidth="1"/>
    <col min="263" max="263" width="23.26953125" style="294" customWidth="1"/>
    <col min="264" max="264" width="17.1796875" style="294" bestFit="1" customWidth="1"/>
    <col min="265" max="265" width="23.26953125" style="294" customWidth="1"/>
    <col min="266" max="266" width="28.7265625" style="294" bestFit="1" customWidth="1"/>
    <col min="267" max="268" width="9.1796875" style="294"/>
    <col min="269" max="269" width="13.26953125" style="294" customWidth="1"/>
    <col min="270" max="512" width="9.1796875" style="294"/>
    <col min="513" max="513" width="24.7265625" style="294" bestFit="1" customWidth="1"/>
    <col min="514" max="514" width="18.7265625" style="294" bestFit="1" customWidth="1"/>
    <col min="515" max="515" width="8.1796875" style="294" bestFit="1" customWidth="1"/>
    <col min="516" max="517" width="8.26953125" style="294" bestFit="1" customWidth="1"/>
    <col min="518" max="518" width="7.26953125" style="294" bestFit="1" customWidth="1"/>
    <col min="519" max="519" width="23.26953125" style="294" customWidth="1"/>
    <col min="520" max="520" width="17.1796875" style="294" bestFit="1" customWidth="1"/>
    <col min="521" max="521" width="23.26953125" style="294" customWidth="1"/>
    <col min="522" max="522" width="28.7265625" style="294" bestFit="1" customWidth="1"/>
    <col min="523" max="524" width="9.1796875" style="294"/>
    <col min="525" max="525" width="13.26953125" style="294" customWidth="1"/>
    <col min="526" max="768" width="9.1796875" style="294"/>
    <col min="769" max="769" width="24.7265625" style="294" bestFit="1" customWidth="1"/>
    <col min="770" max="770" width="18.7265625" style="294" bestFit="1" customWidth="1"/>
    <col min="771" max="771" width="8.1796875" style="294" bestFit="1" customWidth="1"/>
    <col min="772" max="773" width="8.26953125" style="294" bestFit="1" customWidth="1"/>
    <col min="774" max="774" width="7.26953125" style="294" bestFit="1" customWidth="1"/>
    <col min="775" max="775" width="23.26953125" style="294" customWidth="1"/>
    <col min="776" max="776" width="17.1796875" style="294" bestFit="1" customWidth="1"/>
    <col min="777" max="777" width="23.26953125" style="294" customWidth="1"/>
    <col min="778" max="778" width="28.7265625" style="294" bestFit="1" customWidth="1"/>
    <col min="779" max="780" width="9.1796875" style="294"/>
    <col min="781" max="781" width="13.26953125" style="294" customWidth="1"/>
    <col min="782" max="1024" width="9.1796875" style="294"/>
    <col min="1025" max="1025" width="24.7265625" style="294" bestFit="1" customWidth="1"/>
    <col min="1026" max="1026" width="18.7265625" style="294" bestFit="1" customWidth="1"/>
    <col min="1027" max="1027" width="8.1796875" style="294" bestFit="1" customWidth="1"/>
    <col min="1028" max="1029" width="8.26953125" style="294" bestFit="1" customWidth="1"/>
    <col min="1030" max="1030" width="7.26953125" style="294" bestFit="1" customWidth="1"/>
    <col min="1031" max="1031" width="23.26953125" style="294" customWidth="1"/>
    <col min="1032" max="1032" width="17.1796875" style="294" bestFit="1" customWidth="1"/>
    <col min="1033" max="1033" width="23.26953125" style="294" customWidth="1"/>
    <col min="1034" max="1034" width="28.7265625" style="294" bestFit="1" customWidth="1"/>
    <col min="1035" max="1036" width="9.1796875" style="294"/>
    <col min="1037" max="1037" width="13.26953125" style="294" customWidth="1"/>
    <col min="1038" max="1280" width="9.1796875" style="294"/>
    <col min="1281" max="1281" width="24.7265625" style="294" bestFit="1" customWidth="1"/>
    <col min="1282" max="1282" width="18.7265625" style="294" bestFit="1" customWidth="1"/>
    <col min="1283" max="1283" width="8.1796875" style="294" bestFit="1" customWidth="1"/>
    <col min="1284" max="1285" width="8.26953125" style="294" bestFit="1" customWidth="1"/>
    <col min="1286" max="1286" width="7.26953125" style="294" bestFit="1" customWidth="1"/>
    <col min="1287" max="1287" width="23.26953125" style="294" customWidth="1"/>
    <col min="1288" max="1288" width="17.1796875" style="294" bestFit="1" customWidth="1"/>
    <col min="1289" max="1289" width="23.26953125" style="294" customWidth="1"/>
    <col min="1290" max="1290" width="28.7265625" style="294" bestFit="1" customWidth="1"/>
    <col min="1291" max="1292" width="9.1796875" style="294"/>
    <col min="1293" max="1293" width="13.26953125" style="294" customWidth="1"/>
    <col min="1294" max="1536" width="9.1796875" style="294"/>
    <col min="1537" max="1537" width="24.7265625" style="294" bestFit="1" customWidth="1"/>
    <col min="1538" max="1538" width="18.7265625" style="294" bestFit="1" customWidth="1"/>
    <col min="1539" max="1539" width="8.1796875" style="294" bestFit="1" customWidth="1"/>
    <col min="1540" max="1541" width="8.26953125" style="294" bestFit="1" customWidth="1"/>
    <col min="1542" max="1542" width="7.26953125" style="294" bestFit="1" customWidth="1"/>
    <col min="1543" max="1543" width="23.26953125" style="294" customWidth="1"/>
    <col min="1544" max="1544" width="17.1796875" style="294" bestFit="1" customWidth="1"/>
    <col min="1545" max="1545" width="23.26953125" style="294" customWidth="1"/>
    <col min="1546" max="1546" width="28.7265625" style="294" bestFit="1" customWidth="1"/>
    <col min="1547" max="1548" width="9.1796875" style="294"/>
    <col min="1549" max="1549" width="13.26953125" style="294" customWidth="1"/>
    <col min="1550" max="1792" width="9.1796875" style="294"/>
    <col min="1793" max="1793" width="24.7265625" style="294" bestFit="1" customWidth="1"/>
    <col min="1794" max="1794" width="18.7265625" style="294" bestFit="1" customWidth="1"/>
    <col min="1795" max="1795" width="8.1796875" style="294" bestFit="1" customWidth="1"/>
    <col min="1796" max="1797" width="8.26953125" style="294" bestFit="1" customWidth="1"/>
    <col min="1798" max="1798" width="7.26953125" style="294" bestFit="1" customWidth="1"/>
    <col min="1799" max="1799" width="23.26953125" style="294" customWidth="1"/>
    <col min="1800" max="1800" width="17.1796875" style="294" bestFit="1" customWidth="1"/>
    <col min="1801" max="1801" width="23.26953125" style="294" customWidth="1"/>
    <col min="1802" max="1802" width="28.7265625" style="294" bestFit="1" customWidth="1"/>
    <col min="1803" max="1804" width="9.1796875" style="294"/>
    <col min="1805" max="1805" width="13.26953125" style="294" customWidth="1"/>
    <col min="1806" max="2048" width="9.1796875" style="294"/>
    <col min="2049" max="2049" width="24.7265625" style="294" bestFit="1" customWidth="1"/>
    <col min="2050" max="2050" width="18.7265625" style="294" bestFit="1" customWidth="1"/>
    <col min="2051" max="2051" width="8.1796875" style="294" bestFit="1" customWidth="1"/>
    <col min="2052" max="2053" width="8.26953125" style="294" bestFit="1" customWidth="1"/>
    <col min="2054" max="2054" width="7.26953125" style="294" bestFit="1" customWidth="1"/>
    <col min="2055" max="2055" width="23.26953125" style="294" customWidth="1"/>
    <col min="2056" max="2056" width="17.1796875" style="294" bestFit="1" customWidth="1"/>
    <col min="2057" max="2057" width="23.26953125" style="294" customWidth="1"/>
    <col min="2058" max="2058" width="28.7265625" style="294" bestFit="1" customWidth="1"/>
    <col min="2059" max="2060" width="9.1796875" style="294"/>
    <col min="2061" max="2061" width="13.26953125" style="294" customWidth="1"/>
    <col min="2062" max="2304" width="9.1796875" style="294"/>
    <col min="2305" max="2305" width="24.7265625" style="294" bestFit="1" customWidth="1"/>
    <col min="2306" max="2306" width="18.7265625" style="294" bestFit="1" customWidth="1"/>
    <col min="2307" max="2307" width="8.1796875" style="294" bestFit="1" customWidth="1"/>
    <col min="2308" max="2309" width="8.26953125" style="294" bestFit="1" customWidth="1"/>
    <col min="2310" max="2310" width="7.26953125" style="294" bestFit="1" customWidth="1"/>
    <col min="2311" max="2311" width="23.26953125" style="294" customWidth="1"/>
    <col min="2312" max="2312" width="17.1796875" style="294" bestFit="1" customWidth="1"/>
    <col min="2313" max="2313" width="23.26953125" style="294" customWidth="1"/>
    <col min="2314" max="2314" width="28.7265625" style="294" bestFit="1" customWidth="1"/>
    <col min="2315" max="2316" width="9.1796875" style="294"/>
    <col min="2317" max="2317" width="13.26953125" style="294" customWidth="1"/>
    <col min="2318" max="2560" width="9.1796875" style="294"/>
    <col min="2561" max="2561" width="24.7265625" style="294" bestFit="1" customWidth="1"/>
    <col min="2562" max="2562" width="18.7265625" style="294" bestFit="1" customWidth="1"/>
    <col min="2563" max="2563" width="8.1796875" style="294" bestFit="1" customWidth="1"/>
    <col min="2564" max="2565" width="8.26953125" style="294" bestFit="1" customWidth="1"/>
    <col min="2566" max="2566" width="7.26953125" style="294" bestFit="1" customWidth="1"/>
    <col min="2567" max="2567" width="23.26953125" style="294" customWidth="1"/>
    <col min="2568" max="2568" width="17.1796875" style="294" bestFit="1" customWidth="1"/>
    <col min="2569" max="2569" width="23.26953125" style="294" customWidth="1"/>
    <col min="2570" max="2570" width="28.7265625" style="294" bestFit="1" customWidth="1"/>
    <col min="2571" max="2572" width="9.1796875" style="294"/>
    <col min="2573" max="2573" width="13.26953125" style="294" customWidth="1"/>
    <col min="2574" max="2816" width="9.1796875" style="294"/>
    <col min="2817" max="2817" width="24.7265625" style="294" bestFit="1" customWidth="1"/>
    <col min="2818" max="2818" width="18.7265625" style="294" bestFit="1" customWidth="1"/>
    <col min="2819" max="2819" width="8.1796875" style="294" bestFit="1" customWidth="1"/>
    <col min="2820" max="2821" width="8.26953125" style="294" bestFit="1" customWidth="1"/>
    <col min="2822" max="2822" width="7.26953125" style="294" bestFit="1" customWidth="1"/>
    <col min="2823" max="2823" width="23.26953125" style="294" customWidth="1"/>
    <col min="2824" max="2824" width="17.1796875" style="294" bestFit="1" customWidth="1"/>
    <col min="2825" max="2825" width="23.26953125" style="294" customWidth="1"/>
    <col min="2826" max="2826" width="28.7265625" style="294" bestFit="1" customWidth="1"/>
    <col min="2827" max="2828" width="9.1796875" style="294"/>
    <col min="2829" max="2829" width="13.26953125" style="294" customWidth="1"/>
    <col min="2830" max="3072" width="9.1796875" style="294"/>
    <col min="3073" max="3073" width="24.7265625" style="294" bestFit="1" customWidth="1"/>
    <col min="3074" max="3074" width="18.7265625" style="294" bestFit="1" customWidth="1"/>
    <col min="3075" max="3075" width="8.1796875" style="294" bestFit="1" customWidth="1"/>
    <col min="3076" max="3077" width="8.26953125" style="294" bestFit="1" customWidth="1"/>
    <col min="3078" max="3078" width="7.26953125" style="294" bestFit="1" customWidth="1"/>
    <col min="3079" max="3079" width="23.26953125" style="294" customWidth="1"/>
    <col min="3080" max="3080" width="17.1796875" style="294" bestFit="1" customWidth="1"/>
    <col min="3081" max="3081" width="23.26953125" style="294" customWidth="1"/>
    <col min="3082" max="3082" width="28.7265625" style="294" bestFit="1" customWidth="1"/>
    <col min="3083" max="3084" width="9.1796875" style="294"/>
    <col min="3085" max="3085" width="13.26953125" style="294" customWidth="1"/>
    <col min="3086" max="3328" width="9.1796875" style="294"/>
    <col min="3329" max="3329" width="24.7265625" style="294" bestFit="1" customWidth="1"/>
    <col min="3330" max="3330" width="18.7265625" style="294" bestFit="1" customWidth="1"/>
    <col min="3331" max="3331" width="8.1796875" style="294" bestFit="1" customWidth="1"/>
    <col min="3332" max="3333" width="8.26953125" style="294" bestFit="1" customWidth="1"/>
    <col min="3334" max="3334" width="7.26953125" style="294" bestFit="1" customWidth="1"/>
    <col min="3335" max="3335" width="23.26953125" style="294" customWidth="1"/>
    <col min="3336" max="3336" width="17.1796875" style="294" bestFit="1" customWidth="1"/>
    <col min="3337" max="3337" width="23.26953125" style="294" customWidth="1"/>
    <col min="3338" max="3338" width="28.7265625" style="294" bestFit="1" customWidth="1"/>
    <col min="3339" max="3340" width="9.1796875" style="294"/>
    <col min="3341" max="3341" width="13.26953125" style="294" customWidth="1"/>
    <col min="3342" max="3584" width="9.1796875" style="294"/>
    <col min="3585" max="3585" width="24.7265625" style="294" bestFit="1" customWidth="1"/>
    <col min="3586" max="3586" width="18.7265625" style="294" bestFit="1" customWidth="1"/>
    <col min="3587" max="3587" width="8.1796875" style="294" bestFit="1" customWidth="1"/>
    <col min="3588" max="3589" width="8.26953125" style="294" bestFit="1" customWidth="1"/>
    <col min="3590" max="3590" width="7.26953125" style="294" bestFit="1" customWidth="1"/>
    <col min="3591" max="3591" width="23.26953125" style="294" customWidth="1"/>
    <col min="3592" max="3592" width="17.1796875" style="294" bestFit="1" customWidth="1"/>
    <col min="3593" max="3593" width="23.26953125" style="294" customWidth="1"/>
    <col min="3594" max="3594" width="28.7265625" style="294" bestFit="1" customWidth="1"/>
    <col min="3595" max="3596" width="9.1796875" style="294"/>
    <col min="3597" max="3597" width="13.26953125" style="294" customWidth="1"/>
    <col min="3598" max="3840" width="9.1796875" style="294"/>
    <col min="3841" max="3841" width="24.7265625" style="294" bestFit="1" customWidth="1"/>
    <col min="3842" max="3842" width="18.7265625" style="294" bestFit="1" customWidth="1"/>
    <col min="3843" max="3843" width="8.1796875" style="294" bestFit="1" customWidth="1"/>
    <col min="3844" max="3845" width="8.26953125" style="294" bestFit="1" customWidth="1"/>
    <col min="3846" max="3846" width="7.26953125" style="294" bestFit="1" customWidth="1"/>
    <col min="3847" max="3847" width="23.26953125" style="294" customWidth="1"/>
    <col min="3848" max="3848" width="17.1796875" style="294" bestFit="1" customWidth="1"/>
    <col min="3849" max="3849" width="23.26953125" style="294" customWidth="1"/>
    <col min="3850" max="3850" width="28.7265625" style="294" bestFit="1" customWidth="1"/>
    <col min="3851" max="3852" width="9.1796875" style="294"/>
    <col min="3853" max="3853" width="13.26953125" style="294" customWidth="1"/>
    <col min="3854" max="4096" width="9.1796875" style="294"/>
    <col min="4097" max="4097" width="24.7265625" style="294" bestFit="1" customWidth="1"/>
    <col min="4098" max="4098" width="18.7265625" style="294" bestFit="1" customWidth="1"/>
    <col min="4099" max="4099" width="8.1796875" style="294" bestFit="1" customWidth="1"/>
    <col min="4100" max="4101" width="8.26953125" style="294" bestFit="1" customWidth="1"/>
    <col min="4102" max="4102" width="7.26953125" style="294" bestFit="1" customWidth="1"/>
    <col min="4103" max="4103" width="23.26953125" style="294" customWidth="1"/>
    <col min="4104" max="4104" width="17.1796875" style="294" bestFit="1" customWidth="1"/>
    <col min="4105" max="4105" width="23.26953125" style="294" customWidth="1"/>
    <col min="4106" max="4106" width="28.7265625" style="294" bestFit="1" customWidth="1"/>
    <col min="4107" max="4108" width="9.1796875" style="294"/>
    <col min="4109" max="4109" width="13.26953125" style="294" customWidth="1"/>
    <col min="4110" max="4352" width="9.1796875" style="294"/>
    <col min="4353" max="4353" width="24.7265625" style="294" bestFit="1" customWidth="1"/>
    <col min="4354" max="4354" width="18.7265625" style="294" bestFit="1" customWidth="1"/>
    <col min="4355" max="4355" width="8.1796875" style="294" bestFit="1" customWidth="1"/>
    <col min="4356" max="4357" width="8.26953125" style="294" bestFit="1" customWidth="1"/>
    <col min="4358" max="4358" width="7.26953125" style="294" bestFit="1" customWidth="1"/>
    <col min="4359" max="4359" width="23.26953125" style="294" customWidth="1"/>
    <col min="4360" max="4360" width="17.1796875" style="294" bestFit="1" customWidth="1"/>
    <col min="4361" max="4361" width="23.26953125" style="294" customWidth="1"/>
    <col min="4362" max="4362" width="28.7265625" style="294" bestFit="1" customWidth="1"/>
    <col min="4363" max="4364" width="9.1796875" style="294"/>
    <col min="4365" max="4365" width="13.26953125" style="294" customWidth="1"/>
    <col min="4366" max="4608" width="9.1796875" style="294"/>
    <col min="4609" max="4609" width="24.7265625" style="294" bestFit="1" customWidth="1"/>
    <col min="4610" max="4610" width="18.7265625" style="294" bestFit="1" customWidth="1"/>
    <col min="4611" max="4611" width="8.1796875" style="294" bestFit="1" customWidth="1"/>
    <col min="4612" max="4613" width="8.26953125" style="294" bestFit="1" customWidth="1"/>
    <col min="4614" max="4614" width="7.26953125" style="294" bestFit="1" customWidth="1"/>
    <col min="4615" max="4615" width="23.26953125" style="294" customWidth="1"/>
    <col min="4616" max="4616" width="17.1796875" style="294" bestFit="1" customWidth="1"/>
    <col min="4617" max="4617" width="23.26953125" style="294" customWidth="1"/>
    <col min="4618" max="4618" width="28.7265625" style="294" bestFit="1" customWidth="1"/>
    <col min="4619" max="4620" width="9.1796875" style="294"/>
    <col min="4621" max="4621" width="13.26953125" style="294" customWidth="1"/>
    <col min="4622" max="4864" width="9.1796875" style="294"/>
    <col min="4865" max="4865" width="24.7265625" style="294" bestFit="1" customWidth="1"/>
    <col min="4866" max="4866" width="18.7265625" style="294" bestFit="1" customWidth="1"/>
    <col min="4867" max="4867" width="8.1796875" style="294" bestFit="1" customWidth="1"/>
    <col min="4868" max="4869" width="8.26953125" style="294" bestFit="1" customWidth="1"/>
    <col min="4870" max="4870" width="7.26953125" style="294" bestFit="1" customWidth="1"/>
    <col min="4871" max="4871" width="23.26953125" style="294" customWidth="1"/>
    <col min="4872" max="4872" width="17.1796875" style="294" bestFit="1" customWidth="1"/>
    <col min="4873" max="4873" width="23.26953125" style="294" customWidth="1"/>
    <col min="4874" max="4874" width="28.7265625" style="294" bestFit="1" customWidth="1"/>
    <col min="4875" max="4876" width="9.1796875" style="294"/>
    <col min="4877" max="4877" width="13.26953125" style="294" customWidth="1"/>
    <col min="4878" max="5120" width="9.1796875" style="294"/>
    <col min="5121" max="5121" width="24.7265625" style="294" bestFit="1" customWidth="1"/>
    <col min="5122" max="5122" width="18.7265625" style="294" bestFit="1" customWidth="1"/>
    <col min="5123" max="5123" width="8.1796875" style="294" bestFit="1" customWidth="1"/>
    <col min="5124" max="5125" width="8.26953125" style="294" bestFit="1" customWidth="1"/>
    <col min="5126" max="5126" width="7.26953125" style="294" bestFit="1" customWidth="1"/>
    <col min="5127" max="5127" width="23.26953125" style="294" customWidth="1"/>
    <col min="5128" max="5128" width="17.1796875" style="294" bestFit="1" customWidth="1"/>
    <col min="5129" max="5129" width="23.26953125" style="294" customWidth="1"/>
    <col min="5130" max="5130" width="28.7265625" style="294" bestFit="1" customWidth="1"/>
    <col min="5131" max="5132" width="9.1796875" style="294"/>
    <col min="5133" max="5133" width="13.26953125" style="294" customWidth="1"/>
    <col min="5134" max="5376" width="9.1796875" style="294"/>
    <col min="5377" max="5377" width="24.7265625" style="294" bestFit="1" customWidth="1"/>
    <col min="5378" max="5378" width="18.7265625" style="294" bestFit="1" customWidth="1"/>
    <col min="5379" max="5379" width="8.1796875" style="294" bestFit="1" customWidth="1"/>
    <col min="5380" max="5381" width="8.26953125" style="294" bestFit="1" customWidth="1"/>
    <col min="5382" max="5382" width="7.26953125" style="294" bestFit="1" customWidth="1"/>
    <col min="5383" max="5383" width="23.26953125" style="294" customWidth="1"/>
    <col min="5384" max="5384" width="17.1796875" style="294" bestFit="1" customWidth="1"/>
    <col min="5385" max="5385" width="23.26953125" style="294" customWidth="1"/>
    <col min="5386" max="5386" width="28.7265625" style="294" bestFit="1" customWidth="1"/>
    <col min="5387" max="5388" width="9.1796875" style="294"/>
    <col min="5389" max="5389" width="13.26953125" style="294" customWidth="1"/>
    <col min="5390" max="5632" width="9.1796875" style="294"/>
    <col min="5633" max="5633" width="24.7265625" style="294" bestFit="1" customWidth="1"/>
    <col min="5634" max="5634" width="18.7265625" style="294" bestFit="1" customWidth="1"/>
    <col min="5635" max="5635" width="8.1796875" style="294" bestFit="1" customWidth="1"/>
    <col min="5636" max="5637" width="8.26953125" style="294" bestFit="1" customWidth="1"/>
    <col min="5638" max="5638" width="7.26953125" style="294" bestFit="1" customWidth="1"/>
    <col min="5639" max="5639" width="23.26953125" style="294" customWidth="1"/>
    <col min="5640" max="5640" width="17.1796875" style="294" bestFit="1" customWidth="1"/>
    <col min="5641" max="5641" width="23.26953125" style="294" customWidth="1"/>
    <col min="5642" max="5642" width="28.7265625" style="294" bestFit="1" customWidth="1"/>
    <col min="5643" max="5644" width="9.1796875" style="294"/>
    <col min="5645" max="5645" width="13.26953125" style="294" customWidth="1"/>
    <col min="5646" max="5888" width="9.1796875" style="294"/>
    <col min="5889" max="5889" width="24.7265625" style="294" bestFit="1" customWidth="1"/>
    <col min="5890" max="5890" width="18.7265625" style="294" bestFit="1" customWidth="1"/>
    <col min="5891" max="5891" width="8.1796875" style="294" bestFit="1" customWidth="1"/>
    <col min="5892" max="5893" width="8.26953125" style="294" bestFit="1" customWidth="1"/>
    <col min="5894" max="5894" width="7.26953125" style="294" bestFit="1" customWidth="1"/>
    <col min="5895" max="5895" width="23.26953125" style="294" customWidth="1"/>
    <col min="5896" max="5896" width="17.1796875" style="294" bestFit="1" customWidth="1"/>
    <col min="5897" max="5897" width="23.26953125" style="294" customWidth="1"/>
    <col min="5898" max="5898" width="28.7265625" style="294" bestFit="1" customWidth="1"/>
    <col min="5899" max="5900" width="9.1796875" style="294"/>
    <col min="5901" max="5901" width="13.26953125" style="294" customWidth="1"/>
    <col min="5902" max="6144" width="9.1796875" style="294"/>
    <col min="6145" max="6145" width="24.7265625" style="294" bestFit="1" customWidth="1"/>
    <col min="6146" max="6146" width="18.7265625" style="294" bestFit="1" customWidth="1"/>
    <col min="6147" max="6147" width="8.1796875" style="294" bestFit="1" customWidth="1"/>
    <col min="6148" max="6149" width="8.26953125" style="294" bestFit="1" customWidth="1"/>
    <col min="6150" max="6150" width="7.26953125" style="294" bestFit="1" customWidth="1"/>
    <col min="6151" max="6151" width="23.26953125" style="294" customWidth="1"/>
    <col min="6152" max="6152" width="17.1796875" style="294" bestFit="1" customWidth="1"/>
    <col min="6153" max="6153" width="23.26953125" style="294" customWidth="1"/>
    <col min="6154" max="6154" width="28.7265625" style="294" bestFit="1" customWidth="1"/>
    <col min="6155" max="6156" width="9.1796875" style="294"/>
    <col min="6157" max="6157" width="13.26953125" style="294" customWidth="1"/>
    <col min="6158" max="6400" width="9.1796875" style="294"/>
    <col min="6401" max="6401" width="24.7265625" style="294" bestFit="1" customWidth="1"/>
    <col min="6402" max="6402" width="18.7265625" style="294" bestFit="1" customWidth="1"/>
    <col min="6403" max="6403" width="8.1796875" style="294" bestFit="1" customWidth="1"/>
    <col min="6404" max="6405" width="8.26953125" style="294" bestFit="1" customWidth="1"/>
    <col min="6406" max="6406" width="7.26953125" style="294" bestFit="1" customWidth="1"/>
    <col min="6407" max="6407" width="23.26953125" style="294" customWidth="1"/>
    <col min="6408" max="6408" width="17.1796875" style="294" bestFit="1" customWidth="1"/>
    <col min="6409" max="6409" width="23.26953125" style="294" customWidth="1"/>
    <col min="6410" max="6410" width="28.7265625" style="294" bestFit="1" customWidth="1"/>
    <col min="6411" max="6412" width="9.1796875" style="294"/>
    <col min="6413" max="6413" width="13.26953125" style="294" customWidth="1"/>
    <col min="6414" max="6656" width="9.1796875" style="294"/>
    <col min="6657" max="6657" width="24.7265625" style="294" bestFit="1" customWidth="1"/>
    <col min="6658" max="6658" width="18.7265625" style="294" bestFit="1" customWidth="1"/>
    <col min="6659" max="6659" width="8.1796875" style="294" bestFit="1" customWidth="1"/>
    <col min="6660" max="6661" width="8.26953125" style="294" bestFit="1" customWidth="1"/>
    <col min="6662" max="6662" width="7.26953125" style="294" bestFit="1" customWidth="1"/>
    <col min="6663" max="6663" width="23.26953125" style="294" customWidth="1"/>
    <col min="6664" max="6664" width="17.1796875" style="294" bestFit="1" customWidth="1"/>
    <col min="6665" max="6665" width="23.26953125" style="294" customWidth="1"/>
    <col min="6666" max="6666" width="28.7265625" style="294" bestFit="1" customWidth="1"/>
    <col min="6667" max="6668" width="9.1796875" style="294"/>
    <col min="6669" max="6669" width="13.26953125" style="294" customWidth="1"/>
    <col min="6670" max="6912" width="9.1796875" style="294"/>
    <col min="6913" max="6913" width="24.7265625" style="294" bestFit="1" customWidth="1"/>
    <col min="6914" max="6914" width="18.7265625" style="294" bestFit="1" customWidth="1"/>
    <col min="6915" max="6915" width="8.1796875" style="294" bestFit="1" customWidth="1"/>
    <col min="6916" max="6917" width="8.26953125" style="294" bestFit="1" customWidth="1"/>
    <col min="6918" max="6918" width="7.26953125" style="294" bestFit="1" customWidth="1"/>
    <col min="6919" max="6919" width="23.26953125" style="294" customWidth="1"/>
    <col min="6920" max="6920" width="17.1796875" style="294" bestFit="1" customWidth="1"/>
    <col min="6921" max="6921" width="23.26953125" style="294" customWidth="1"/>
    <col min="6922" max="6922" width="28.7265625" style="294" bestFit="1" customWidth="1"/>
    <col min="6923" max="6924" width="9.1796875" style="294"/>
    <col min="6925" max="6925" width="13.26953125" style="294" customWidth="1"/>
    <col min="6926" max="7168" width="9.1796875" style="294"/>
    <col min="7169" max="7169" width="24.7265625" style="294" bestFit="1" customWidth="1"/>
    <col min="7170" max="7170" width="18.7265625" style="294" bestFit="1" customWidth="1"/>
    <col min="7171" max="7171" width="8.1796875" style="294" bestFit="1" customWidth="1"/>
    <col min="7172" max="7173" width="8.26953125" style="294" bestFit="1" customWidth="1"/>
    <col min="7174" max="7174" width="7.26953125" style="294" bestFit="1" customWidth="1"/>
    <col min="7175" max="7175" width="23.26953125" style="294" customWidth="1"/>
    <col min="7176" max="7176" width="17.1796875" style="294" bestFit="1" customWidth="1"/>
    <col min="7177" max="7177" width="23.26953125" style="294" customWidth="1"/>
    <col min="7178" max="7178" width="28.7265625" style="294" bestFit="1" customWidth="1"/>
    <col min="7179" max="7180" width="9.1796875" style="294"/>
    <col min="7181" max="7181" width="13.26953125" style="294" customWidth="1"/>
    <col min="7182" max="7424" width="9.1796875" style="294"/>
    <col min="7425" max="7425" width="24.7265625" style="294" bestFit="1" customWidth="1"/>
    <col min="7426" max="7426" width="18.7265625" style="294" bestFit="1" customWidth="1"/>
    <col min="7427" max="7427" width="8.1796875" style="294" bestFit="1" customWidth="1"/>
    <col min="7428" max="7429" width="8.26953125" style="294" bestFit="1" customWidth="1"/>
    <col min="7430" max="7430" width="7.26953125" style="294" bestFit="1" customWidth="1"/>
    <col min="7431" max="7431" width="23.26953125" style="294" customWidth="1"/>
    <col min="7432" max="7432" width="17.1796875" style="294" bestFit="1" customWidth="1"/>
    <col min="7433" max="7433" width="23.26953125" style="294" customWidth="1"/>
    <col min="7434" max="7434" width="28.7265625" style="294" bestFit="1" customWidth="1"/>
    <col min="7435" max="7436" width="9.1796875" style="294"/>
    <col min="7437" max="7437" width="13.26953125" style="294" customWidth="1"/>
    <col min="7438" max="7680" width="9.1796875" style="294"/>
    <col min="7681" max="7681" width="24.7265625" style="294" bestFit="1" customWidth="1"/>
    <col min="7682" max="7682" width="18.7265625" style="294" bestFit="1" customWidth="1"/>
    <col min="7683" max="7683" width="8.1796875" style="294" bestFit="1" customWidth="1"/>
    <col min="7684" max="7685" width="8.26953125" style="294" bestFit="1" customWidth="1"/>
    <col min="7686" max="7686" width="7.26953125" style="294" bestFit="1" customWidth="1"/>
    <col min="7687" max="7687" width="23.26953125" style="294" customWidth="1"/>
    <col min="7688" max="7688" width="17.1796875" style="294" bestFit="1" customWidth="1"/>
    <col min="7689" max="7689" width="23.26953125" style="294" customWidth="1"/>
    <col min="7690" max="7690" width="28.7265625" style="294" bestFit="1" customWidth="1"/>
    <col min="7691" max="7692" width="9.1796875" style="294"/>
    <col min="7693" max="7693" width="13.26953125" style="294" customWidth="1"/>
    <col min="7694" max="7936" width="9.1796875" style="294"/>
    <col min="7937" max="7937" width="24.7265625" style="294" bestFit="1" customWidth="1"/>
    <col min="7938" max="7938" width="18.7265625" style="294" bestFit="1" customWidth="1"/>
    <col min="7939" max="7939" width="8.1796875" style="294" bestFit="1" customWidth="1"/>
    <col min="7940" max="7941" width="8.26953125" style="294" bestFit="1" customWidth="1"/>
    <col min="7942" max="7942" width="7.26953125" style="294" bestFit="1" customWidth="1"/>
    <col min="7943" max="7943" width="23.26953125" style="294" customWidth="1"/>
    <col min="7944" max="7944" width="17.1796875" style="294" bestFit="1" customWidth="1"/>
    <col min="7945" max="7945" width="23.26953125" style="294" customWidth="1"/>
    <col min="7946" max="7946" width="28.7265625" style="294" bestFit="1" customWidth="1"/>
    <col min="7947" max="7948" width="9.1796875" style="294"/>
    <col min="7949" max="7949" width="13.26953125" style="294" customWidth="1"/>
    <col min="7950" max="8192" width="9.1796875" style="294"/>
    <col min="8193" max="8193" width="24.7265625" style="294" bestFit="1" customWidth="1"/>
    <col min="8194" max="8194" width="18.7265625" style="294" bestFit="1" customWidth="1"/>
    <col min="8195" max="8195" width="8.1796875" style="294" bestFit="1" customWidth="1"/>
    <col min="8196" max="8197" width="8.26953125" style="294" bestFit="1" customWidth="1"/>
    <col min="8198" max="8198" width="7.26953125" style="294" bestFit="1" customWidth="1"/>
    <col min="8199" max="8199" width="23.26953125" style="294" customWidth="1"/>
    <col min="8200" max="8200" width="17.1796875" style="294" bestFit="1" customWidth="1"/>
    <col min="8201" max="8201" width="23.26953125" style="294" customWidth="1"/>
    <col min="8202" max="8202" width="28.7265625" style="294" bestFit="1" customWidth="1"/>
    <col min="8203" max="8204" width="9.1796875" style="294"/>
    <col min="8205" max="8205" width="13.26953125" style="294" customWidth="1"/>
    <col min="8206" max="8448" width="9.1796875" style="294"/>
    <col min="8449" max="8449" width="24.7265625" style="294" bestFit="1" customWidth="1"/>
    <col min="8450" max="8450" width="18.7265625" style="294" bestFit="1" customWidth="1"/>
    <col min="8451" max="8451" width="8.1796875" style="294" bestFit="1" customWidth="1"/>
    <col min="8452" max="8453" width="8.26953125" style="294" bestFit="1" customWidth="1"/>
    <col min="8454" max="8454" width="7.26953125" style="294" bestFit="1" customWidth="1"/>
    <col min="8455" max="8455" width="23.26953125" style="294" customWidth="1"/>
    <col min="8456" max="8456" width="17.1796875" style="294" bestFit="1" customWidth="1"/>
    <col min="8457" max="8457" width="23.26953125" style="294" customWidth="1"/>
    <col min="8458" max="8458" width="28.7265625" style="294" bestFit="1" customWidth="1"/>
    <col min="8459" max="8460" width="9.1796875" style="294"/>
    <col min="8461" max="8461" width="13.26953125" style="294" customWidth="1"/>
    <col min="8462" max="8704" width="9.1796875" style="294"/>
    <col min="8705" max="8705" width="24.7265625" style="294" bestFit="1" customWidth="1"/>
    <col min="8706" max="8706" width="18.7265625" style="294" bestFit="1" customWidth="1"/>
    <col min="8707" max="8707" width="8.1796875" style="294" bestFit="1" customWidth="1"/>
    <col min="8708" max="8709" width="8.26953125" style="294" bestFit="1" customWidth="1"/>
    <col min="8710" max="8710" width="7.26953125" style="294" bestFit="1" customWidth="1"/>
    <col min="8711" max="8711" width="23.26953125" style="294" customWidth="1"/>
    <col min="8712" max="8712" width="17.1796875" style="294" bestFit="1" customWidth="1"/>
    <col min="8713" max="8713" width="23.26953125" style="294" customWidth="1"/>
    <col min="8714" max="8714" width="28.7265625" style="294" bestFit="1" customWidth="1"/>
    <col min="8715" max="8716" width="9.1796875" style="294"/>
    <col min="8717" max="8717" width="13.26953125" style="294" customWidth="1"/>
    <col min="8718" max="8960" width="9.1796875" style="294"/>
    <col min="8961" max="8961" width="24.7265625" style="294" bestFit="1" customWidth="1"/>
    <col min="8962" max="8962" width="18.7265625" style="294" bestFit="1" customWidth="1"/>
    <col min="8963" max="8963" width="8.1796875" style="294" bestFit="1" customWidth="1"/>
    <col min="8964" max="8965" width="8.26953125" style="294" bestFit="1" customWidth="1"/>
    <col min="8966" max="8966" width="7.26953125" style="294" bestFit="1" customWidth="1"/>
    <col min="8967" max="8967" width="23.26953125" style="294" customWidth="1"/>
    <col min="8968" max="8968" width="17.1796875" style="294" bestFit="1" customWidth="1"/>
    <col min="8969" max="8969" width="23.26953125" style="294" customWidth="1"/>
    <col min="8970" max="8970" width="28.7265625" style="294" bestFit="1" customWidth="1"/>
    <col min="8971" max="8972" width="9.1796875" style="294"/>
    <col min="8973" max="8973" width="13.26953125" style="294" customWidth="1"/>
    <col min="8974" max="9216" width="9.1796875" style="294"/>
    <col min="9217" max="9217" width="24.7265625" style="294" bestFit="1" customWidth="1"/>
    <col min="9218" max="9218" width="18.7265625" style="294" bestFit="1" customWidth="1"/>
    <col min="9219" max="9219" width="8.1796875" style="294" bestFit="1" customWidth="1"/>
    <col min="9220" max="9221" width="8.26953125" style="294" bestFit="1" customWidth="1"/>
    <col min="9222" max="9222" width="7.26953125" style="294" bestFit="1" customWidth="1"/>
    <col min="9223" max="9223" width="23.26953125" style="294" customWidth="1"/>
    <col min="9224" max="9224" width="17.1796875" style="294" bestFit="1" customWidth="1"/>
    <col min="9225" max="9225" width="23.26953125" style="294" customWidth="1"/>
    <col min="9226" max="9226" width="28.7265625" style="294" bestFit="1" customWidth="1"/>
    <col min="9227" max="9228" width="9.1796875" style="294"/>
    <col min="9229" max="9229" width="13.26953125" style="294" customWidth="1"/>
    <col min="9230" max="9472" width="9.1796875" style="294"/>
    <col min="9473" max="9473" width="24.7265625" style="294" bestFit="1" customWidth="1"/>
    <col min="9474" max="9474" width="18.7265625" style="294" bestFit="1" customWidth="1"/>
    <col min="9475" max="9475" width="8.1796875" style="294" bestFit="1" customWidth="1"/>
    <col min="9476" max="9477" width="8.26953125" style="294" bestFit="1" customWidth="1"/>
    <col min="9478" max="9478" width="7.26953125" style="294" bestFit="1" customWidth="1"/>
    <col min="9479" max="9479" width="23.26953125" style="294" customWidth="1"/>
    <col min="9480" max="9480" width="17.1796875" style="294" bestFit="1" customWidth="1"/>
    <col min="9481" max="9481" width="23.26953125" style="294" customWidth="1"/>
    <col min="9482" max="9482" width="28.7265625" style="294" bestFit="1" customWidth="1"/>
    <col min="9483" max="9484" width="9.1796875" style="294"/>
    <col min="9485" max="9485" width="13.26953125" style="294" customWidth="1"/>
    <col min="9486" max="9728" width="9.1796875" style="294"/>
    <col min="9729" max="9729" width="24.7265625" style="294" bestFit="1" customWidth="1"/>
    <col min="9730" max="9730" width="18.7265625" style="294" bestFit="1" customWidth="1"/>
    <col min="9731" max="9731" width="8.1796875" style="294" bestFit="1" customWidth="1"/>
    <col min="9732" max="9733" width="8.26953125" style="294" bestFit="1" customWidth="1"/>
    <col min="9734" max="9734" width="7.26953125" style="294" bestFit="1" customWidth="1"/>
    <col min="9735" max="9735" width="23.26953125" style="294" customWidth="1"/>
    <col min="9736" max="9736" width="17.1796875" style="294" bestFit="1" customWidth="1"/>
    <col min="9737" max="9737" width="23.26953125" style="294" customWidth="1"/>
    <col min="9738" max="9738" width="28.7265625" style="294" bestFit="1" customWidth="1"/>
    <col min="9739" max="9740" width="9.1796875" style="294"/>
    <col min="9741" max="9741" width="13.26953125" style="294" customWidth="1"/>
    <col min="9742" max="9984" width="9.1796875" style="294"/>
    <col min="9985" max="9985" width="24.7265625" style="294" bestFit="1" customWidth="1"/>
    <col min="9986" max="9986" width="18.7265625" style="294" bestFit="1" customWidth="1"/>
    <col min="9987" max="9987" width="8.1796875" style="294" bestFit="1" customWidth="1"/>
    <col min="9988" max="9989" width="8.26953125" style="294" bestFit="1" customWidth="1"/>
    <col min="9990" max="9990" width="7.26953125" style="294" bestFit="1" customWidth="1"/>
    <col min="9991" max="9991" width="23.26953125" style="294" customWidth="1"/>
    <col min="9992" max="9992" width="17.1796875" style="294" bestFit="1" customWidth="1"/>
    <col min="9993" max="9993" width="23.26953125" style="294" customWidth="1"/>
    <col min="9994" max="9994" width="28.7265625" style="294" bestFit="1" customWidth="1"/>
    <col min="9995" max="9996" width="9.1796875" style="294"/>
    <col min="9997" max="9997" width="13.26953125" style="294" customWidth="1"/>
    <col min="9998" max="10240" width="9.1796875" style="294"/>
    <col min="10241" max="10241" width="24.7265625" style="294" bestFit="1" customWidth="1"/>
    <col min="10242" max="10242" width="18.7265625" style="294" bestFit="1" customWidth="1"/>
    <col min="10243" max="10243" width="8.1796875" style="294" bestFit="1" customWidth="1"/>
    <col min="10244" max="10245" width="8.26953125" style="294" bestFit="1" customWidth="1"/>
    <col min="10246" max="10246" width="7.26953125" style="294" bestFit="1" customWidth="1"/>
    <col min="10247" max="10247" width="23.26953125" style="294" customWidth="1"/>
    <col min="10248" max="10248" width="17.1796875" style="294" bestFit="1" customWidth="1"/>
    <col min="10249" max="10249" width="23.26953125" style="294" customWidth="1"/>
    <col min="10250" max="10250" width="28.7265625" style="294" bestFit="1" customWidth="1"/>
    <col min="10251" max="10252" width="9.1796875" style="294"/>
    <col min="10253" max="10253" width="13.26953125" style="294" customWidth="1"/>
    <col min="10254" max="10496" width="9.1796875" style="294"/>
    <col min="10497" max="10497" width="24.7265625" style="294" bestFit="1" customWidth="1"/>
    <col min="10498" max="10498" width="18.7265625" style="294" bestFit="1" customWidth="1"/>
    <col min="10499" max="10499" width="8.1796875" style="294" bestFit="1" customWidth="1"/>
    <col min="10500" max="10501" width="8.26953125" style="294" bestFit="1" customWidth="1"/>
    <col min="10502" max="10502" width="7.26953125" style="294" bestFit="1" customWidth="1"/>
    <col min="10503" max="10503" width="23.26953125" style="294" customWidth="1"/>
    <col min="10504" max="10504" width="17.1796875" style="294" bestFit="1" customWidth="1"/>
    <col min="10505" max="10505" width="23.26953125" style="294" customWidth="1"/>
    <col min="10506" max="10506" width="28.7265625" style="294" bestFit="1" customWidth="1"/>
    <col min="10507" max="10508" width="9.1796875" style="294"/>
    <col min="10509" max="10509" width="13.26953125" style="294" customWidth="1"/>
    <col min="10510" max="10752" width="9.1796875" style="294"/>
    <col min="10753" max="10753" width="24.7265625" style="294" bestFit="1" customWidth="1"/>
    <col min="10754" max="10754" width="18.7265625" style="294" bestFit="1" customWidth="1"/>
    <col min="10755" max="10755" width="8.1796875" style="294" bestFit="1" customWidth="1"/>
    <col min="10756" max="10757" width="8.26953125" style="294" bestFit="1" customWidth="1"/>
    <col min="10758" max="10758" width="7.26953125" style="294" bestFit="1" customWidth="1"/>
    <col min="10759" max="10759" width="23.26953125" style="294" customWidth="1"/>
    <col min="10760" max="10760" width="17.1796875" style="294" bestFit="1" customWidth="1"/>
    <col min="10761" max="10761" width="23.26953125" style="294" customWidth="1"/>
    <col min="10762" max="10762" width="28.7265625" style="294" bestFit="1" customWidth="1"/>
    <col min="10763" max="10764" width="9.1796875" style="294"/>
    <col min="10765" max="10765" width="13.26953125" style="294" customWidth="1"/>
    <col min="10766" max="11008" width="9.1796875" style="294"/>
    <col min="11009" max="11009" width="24.7265625" style="294" bestFit="1" customWidth="1"/>
    <col min="11010" max="11010" width="18.7265625" style="294" bestFit="1" customWidth="1"/>
    <col min="11011" max="11011" width="8.1796875" style="294" bestFit="1" customWidth="1"/>
    <col min="11012" max="11013" width="8.26953125" style="294" bestFit="1" customWidth="1"/>
    <col min="11014" max="11014" width="7.26953125" style="294" bestFit="1" customWidth="1"/>
    <col min="11015" max="11015" width="23.26953125" style="294" customWidth="1"/>
    <col min="11016" max="11016" width="17.1796875" style="294" bestFit="1" customWidth="1"/>
    <col min="11017" max="11017" width="23.26953125" style="294" customWidth="1"/>
    <col min="11018" max="11018" width="28.7265625" style="294" bestFit="1" customWidth="1"/>
    <col min="11019" max="11020" width="9.1796875" style="294"/>
    <col min="11021" max="11021" width="13.26953125" style="294" customWidth="1"/>
    <col min="11022" max="11264" width="9.1796875" style="294"/>
    <col min="11265" max="11265" width="24.7265625" style="294" bestFit="1" customWidth="1"/>
    <col min="11266" max="11266" width="18.7265625" style="294" bestFit="1" customWidth="1"/>
    <col min="11267" max="11267" width="8.1796875" style="294" bestFit="1" customWidth="1"/>
    <col min="11268" max="11269" width="8.26953125" style="294" bestFit="1" customWidth="1"/>
    <col min="11270" max="11270" width="7.26953125" style="294" bestFit="1" customWidth="1"/>
    <col min="11271" max="11271" width="23.26953125" style="294" customWidth="1"/>
    <col min="11272" max="11272" width="17.1796875" style="294" bestFit="1" customWidth="1"/>
    <col min="11273" max="11273" width="23.26953125" style="294" customWidth="1"/>
    <col min="11274" max="11274" width="28.7265625" style="294" bestFit="1" customWidth="1"/>
    <col min="11275" max="11276" width="9.1796875" style="294"/>
    <col min="11277" max="11277" width="13.26953125" style="294" customWidth="1"/>
    <col min="11278" max="11520" width="9.1796875" style="294"/>
    <col min="11521" max="11521" width="24.7265625" style="294" bestFit="1" customWidth="1"/>
    <col min="11522" max="11522" width="18.7265625" style="294" bestFit="1" customWidth="1"/>
    <col min="11523" max="11523" width="8.1796875" style="294" bestFit="1" customWidth="1"/>
    <col min="11524" max="11525" width="8.26953125" style="294" bestFit="1" customWidth="1"/>
    <col min="11526" max="11526" width="7.26953125" style="294" bestFit="1" customWidth="1"/>
    <col min="11527" max="11527" width="23.26953125" style="294" customWidth="1"/>
    <col min="11528" max="11528" width="17.1796875" style="294" bestFit="1" customWidth="1"/>
    <col min="11529" max="11529" width="23.26953125" style="294" customWidth="1"/>
    <col min="11530" max="11530" width="28.7265625" style="294" bestFit="1" customWidth="1"/>
    <col min="11531" max="11532" width="9.1796875" style="294"/>
    <col min="11533" max="11533" width="13.26953125" style="294" customWidth="1"/>
    <col min="11534" max="11776" width="9.1796875" style="294"/>
    <col min="11777" max="11777" width="24.7265625" style="294" bestFit="1" customWidth="1"/>
    <col min="11778" max="11778" width="18.7265625" style="294" bestFit="1" customWidth="1"/>
    <col min="11779" max="11779" width="8.1796875" style="294" bestFit="1" customWidth="1"/>
    <col min="11780" max="11781" width="8.26953125" style="294" bestFit="1" customWidth="1"/>
    <col min="11782" max="11782" width="7.26953125" style="294" bestFit="1" customWidth="1"/>
    <col min="11783" max="11783" width="23.26953125" style="294" customWidth="1"/>
    <col min="11784" max="11784" width="17.1796875" style="294" bestFit="1" customWidth="1"/>
    <col min="11785" max="11785" width="23.26953125" style="294" customWidth="1"/>
    <col min="11786" max="11786" width="28.7265625" style="294" bestFit="1" customWidth="1"/>
    <col min="11787" max="11788" width="9.1796875" style="294"/>
    <col min="11789" max="11789" width="13.26953125" style="294" customWidth="1"/>
    <col min="11790" max="12032" width="9.1796875" style="294"/>
    <col min="12033" max="12033" width="24.7265625" style="294" bestFit="1" customWidth="1"/>
    <col min="12034" max="12034" width="18.7265625" style="294" bestFit="1" customWidth="1"/>
    <col min="12035" max="12035" width="8.1796875" style="294" bestFit="1" customWidth="1"/>
    <col min="12036" max="12037" width="8.26953125" style="294" bestFit="1" customWidth="1"/>
    <col min="12038" max="12038" width="7.26953125" style="294" bestFit="1" customWidth="1"/>
    <col min="12039" max="12039" width="23.26953125" style="294" customWidth="1"/>
    <col min="12040" max="12040" width="17.1796875" style="294" bestFit="1" customWidth="1"/>
    <col min="12041" max="12041" width="23.26953125" style="294" customWidth="1"/>
    <col min="12042" max="12042" width="28.7265625" style="294" bestFit="1" customWidth="1"/>
    <col min="12043" max="12044" width="9.1796875" style="294"/>
    <col min="12045" max="12045" width="13.26953125" style="294" customWidth="1"/>
    <col min="12046" max="12288" width="9.1796875" style="294"/>
    <col min="12289" max="12289" width="24.7265625" style="294" bestFit="1" customWidth="1"/>
    <col min="12290" max="12290" width="18.7265625" style="294" bestFit="1" customWidth="1"/>
    <col min="12291" max="12291" width="8.1796875" style="294" bestFit="1" customWidth="1"/>
    <col min="12292" max="12293" width="8.26953125" style="294" bestFit="1" customWidth="1"/>
    <col min="12294" max="12294" width="7.26953125" style="294" bestFit="1" customWidth="1"/>
    <col min="12295" max="12295" width="23.26953125" style="294" customWidth="1"/>
    <col min="12296" max="12296" width="17.1796875" style="294" bestFit="1" customWidth="1"/>
    <col min="12297" max="12297" width="23.26953125" style="294" customWidth="1"/>
    <col min="12298" max="12298" width="28.7265625" style="294" bestFit="1" customWidth="1"/>
    <col min="12299" max="12300" width="9.1796875" style="294"/>
    <col min="12301" max="12301" width="13.26953125" style="294" customWidth="1"/>
    <col min="12302" max="12544" width="9.1796875" style="294"/>
    <col min="12545" max="12545" width="24.7265625" style="294" bestFit="1" customWidth="1"/>
    <col min="12546" max="12546" width="18.7265625" style="294" bestFit="1" customWidth="1"/>
    <col min="12547" max="12547" width="8.1796875" style="294" bestFit="1" customWidth="1"/>
    <col min="12548" max="12549" width="8.26953125" style="294" bestFit="1" customWidth="1"/>
    <col min="12550" max="12550" width="7.26953125" style="294" bestFit="1" customWidth="1"/>
    <col min="12551" max="12551" width="23.26953125" style="294" customWidth="1"/>
    <col min="12552" max="12552" width="17.1796875" style="294" bestFit="1" customWidth="1"/>
    <col min="12553" max="12553" width="23.26953125" style="294" customWidth="1"/>
    <col min="12554" max="12554" width="28.7265625" style="294" bestFit="1" customWidth="1"/>
    <col min="12555" max="12556" width="9.1796875" style="294"/>
    <col min="12557" max="12557" width="13.26953125" style="294" customWidth="1"/>
    <col min="12558" max="12800" width="9.1796875" style="294"/>
    <col min="12801" max="12801" width="24.7265625" style="294" bestFit="1" customWidth="1"/>
    <col min="12802" max="12802" width="18.7265625" style="294" bestFit="1" customWidth="1"/>
    <col min="12803" max="12803" width="8.1796875" style="294" bestFit="1" customWidth="1"/>
    <col min="12804" max="12805" width="8.26953125" style="294" bestFit="1" customWidth="1"/>
    <col min="12806" max="12806" width="7.26953125" style="294" bestFit="1" customWidth="1"/>
    <col min="12807" max="12807" width="23.26953125" style="294" customWidth="1"/>
    <col min="12808" max="12808" width="17.1796875" style="294" bestFit="1" customWidth="1"/>
    <col min="12809" max="12809" width="23.26953125" style="294" customWidth="1"/>
    <col min="12810" max="12810" width="28.7265625" style="294" bestFit="1" customWidth="1"/>
    <col min="12811" max="12812" width="9.1796875" style="294"/>
    <col min="12813" max="12813" width="13.26953125" style="294" customWidth="1"/>
    <col min="12814" max="13056" width="9.1796875" style="294"/>
    <col min="13057" max="13057" width="24.7265625" style="294" bestFit="1" customWidth="1"/>
    <col min="13058" max="13058" width="18.7265625" style="294" bestFit="1" customWidth="1"/>
    <col min="13059" max="13059" width="8.1796875" style="294" bestFit="1" customWidth="1"/>
    <col min="13060" max="13061" width="8.26953125" style="294" bestFit="1" customWidth="1"/>
    <col min="13062" max="13062" width="7.26953125" style="294" bestFit="1" customWidth="1"/>
    <col min="13063" max="13063" width="23.26953125" style="294" customWidth="1"/>
    <col min="13064" max="13064" width="17.1796875" style="294" bestFit="1" customWidth="1"/>
    <col min="13065" max="13065" width="23.26953125" style="294" customWidth="1"/>
    <col min="13066" max="13066" width="28.7265625" style="294" bestFit="1" customWidth="1"/>
    <col min="13067" max="13068" width="9.1796875" style="294"/>
    <col min="13069" max="13069" width="13.26953125" style="294" customWidth="1"/>
    <col min="13070" max="13312" width="9.1796875" style="294"/>
    <col min="13313" max="13313" width="24.7265625" style="294" bestFit="1" customWidth="1"/>
    <col min="13314" max="13314" width="18.7265625" style="294" bestFit="1" customWidth="1"/>
    <col min="13315" max="13315" width="8.1796875" style="294" bestFit="1" customWidth="1"/>
    <col min="13316" max="13317" width="8.26953125" style="294" bestFit="1" customWidth="1"/>
    <col min="13318" max="13318" width="7.26953125" style="294" bestFit="1" customWidth="1"/>
    <col min="13319" max="13319" width="23.26953125" style="294" customWidth="1"/>
    <col min="13320" max="13320" width="17.1796875" style="294" bestFit="1" customWidth="1"/>
    <col min="13321" max="13321" width="23.26953125" style="294" customWidth="1"/>
    <col min="13322" max="13322" width="28.7265625" style="294" bestFit="1" customWidth="1"/>
    <col min="13323" max="13324" width="9.1796875" style="294"/>
    <col min="13325" max="13325" width="13.26953125" style="294" customWidth="1"/>
    <col min="13326" max="13568" width="9.1796875" style="294"/>
    <col min="13569" max="13569" width="24.7265625" style="294" bestFit="1" customWidth="1"/>
    <col min="13570" max="13570" width="18.7265625" style="294" bestFit="1" customWidth="1"/>
    <col min="13571" max="13571" width="8.1796875" style="294" bestFit="1" customWidth="1"/>
    <col min="13572" max="13573" width="8.26953125" style="294" bestFit="1" customWidth="1"/>
    <col min="13574" max="13574" width="7.26953125" style="294" bestFit="1" customWidth="1"/>
    <col min="13575" max="13575" width="23.26953125" style="294" customWidth="1"/>
    <col min="13576" max="13576" width="17.1796875" style="294" bestFit="1" customWidth="1"/>
    <col min="13577" max="13577" width="23.26953125" style="294" customWidth="1"/>
    <col min="13578" max="13578" width="28.7265625" style="294" bestFit="1" customWidth="1"/>
    <col min="13579" max="13580" width="9.1796875" style="294"/>
    <col min="13581" max="13581" width="13.26953125" style="294" customWidth="1"/>
    <col min="13582" max="13824" width="9.1796875" style="294"/>
    <col min="13825" max="13825" width="24.7265625" style="294" bestFit="1" customWidth="1"/>
    <col min="13826" max="13826" width="18.7265625" style="294" bestFit="1" customWidth="1"/>
    <col min="13827" max="13827" width="8.1796875" style="294" bestFit="1" customWidth="1"/>
    <col min="13828" max="13829" width="8.26953125" style="294" bestFit="1" customWidth="1"/>
    <col min="13830" max="13830" width="7.26953125" style="294" bestFit="1" customWidth="1"/>
    <col min="13831" max="13831" width="23.26953125" style="294" customWidth="1"/>
    <col min="13832" max="13832" width="17.1796875" style="294" bestFit="1" customWidth="1"/>
    <col min="13833" max="13833" width="23.26953125" style="294" customWidth="1"/>
    <col min="13834" max="13834" width="28.7265625" style="294" bestFit="1" customWidth="1"/>
    <col min="13835" max="13836" width="9.1796875" style="294"/>
    <col min="13837" max="13837" width="13.26953125" style="294" customWidth="1"/>
    <col min="13838" max="14080" width="9.1796875" style="294"/>
    <col min="14081" max="14081" width="24.7265625" style="294" bestFit="1" customWidth="1"/>
    <col min="14082" max="14082" width="18.7265625" style="294" bestFit="1" customWidth="1"/>
    <col min="14083" max="14083" width="8.1796875" style="294" bestFit="1" customWidth="1"/>
    <col min="14084" max="14085" width="8.26953125" style="294" bestFit="1" customWidth="1"/>
    <col min="14086" max="14086" width="7.26953125" style="294" bestFit="1" customWidth="1"/>
    <col min="14087" max="14087" width="23.26953125" style="294" customWidth="1"/>
    <col min="14088" max="14088" width="17.1796875" style="294" bestFit="1" customWidth="1"/>
    <col min="14089" max="14089" width="23.26953125" style="294" customWidth="1"/>
    <col min="14090" max="14090" width="28.7265625" style="294" bestFit="1" customWidth="1"/>
    <col min="14091" max="14092" width="9.1796875" style="294"/>
    <col min="14093" max="14093" width="13.26953125" style="294" customWidth="1"/>
    <col min="14094" max="14336" width="9.1796875" style="294"/>
    <col min="14337" max="14337" width="24.7265625" style="294" bestFit="1" customWidth="1"/>
    <col min="14338" max="14338" width="18.7265625" style="294" bestFit="1" customWidth="1"/>
    <col min="14339" max="14339" width="8.1796875" style="294" bestFit="1" customWidth="1"/>
    <col min="14340" max="14341" width="8.26953125" style="294" bestFit="1" customWidth="1"/>
    <col min="14342" max="14342" width="7.26953125" style="294" bestFit="1" customWidth="1"/>
    <col min="14343" max="14343" width="23.26953125" style="294" customWidth="1"/>
    <col min="14344" max="14344" width="17.1796875" style="294" bestFit="1" customWidth="1"/>
    <col min="14345" max="14345" width="23.26953125" style="294" customWidth="1"/>
    <col min="14346" max="14346" width="28.7265625" style="294" bestFit="1" customWidth="1"/>
    <col min="14347" max="14348" width="9.1796875" style="294"/>
    <col min="14349" max="14349" width="13.26953125" style="294" customWidth="1"/>
    <col min="14350" max="14592" width="9.1796875" style="294"/>
    <col min="14593" max="14593" width="24.7265625" style="294" bestFit="1" customWidth="1"/>
    <col min="14594" max="14594" width="18.7265625" style="294" bestFit="1" customWidth="1"/>
    <col min="14595" max="14595" width="8.1796875" style="294" bestFit="1" customWidth="1"/>
    <col min="14596" max="14597" width="8.26953125" style="294" bestFit="1" customWidth="1"/>
    <col min="14598" max="14598" width="7.26953125" style="294" bestFit="1" customWidth="1"/>
    <col min="14599" max="14599" width="23.26953125" style="294" customWidth="1"/>
    <col min="14600" max="14600" width="17.1796875" style="294" bestFit="1" customWidth="1"/>
    <col min="14601" max="14601" width="23.26953125" style="294" customWidth="1"/>
    <col min="14602" max="14602" width="28.7265625" style="294" bestFit="1" customWidth="1"/>
    <col min="14603" max="14604" width="9.1796875" style="294"/>
    <col min="14605" max="14605" width="13.26953125" style="294" customWidth="1"/>
    <col min="14606" max="14848" width="9.1796875" style="294"/>
    <col min="14849" max="14849" width="24.7265625" style="294" bestFit="1" customWidth="1"/>
    <col min="14850" max="14850" width="18.7265625" style="294" bestFit="1" customWidth="1"/>
    <col min="14851" max="14851" width="8.1796875" style="294" bestFit="1" customWidth="1"/>
    <col min="14852" max="14853" width="8.26953125" style="294" bestFit="1" customWidth="1"/>
    <col min="14854" max="14854" width="7.26953125" style="294" bestFit="1" customWidth="1"/>
    <col min="14855" max="14855" width="23.26953125" style="294" customWidth="1"/>
    <col min="14856" max="14856" width="17.1796875" style="294" bestFit="1" customWidth="1"/>
    <col min="14857" max="14857" width="23.26953125" style="294" customWidth="1"/>
    <col min="14858" max="14858" width="28.7265625" style="294" bestFit="1" customWidth="1"/>
    <col min="14859" max="14860" width="9.1796875" style="294"/>
    <col min="14861" max="14861" width="13.26953125" style="294" customWidth="1"/>
    <col min="14862" max="15104" width="9.1796875" style="294"/>
    <col min="15105" max="15105" width="24.7265625" style="294" bestFit="1" customWidth="1"/>
    <col min="15106" max="15106" width="18.7265625" style="294" bestFit="1" customWidth="1"/>
    <col min="15107" max="15107" width="8.1796875" style="294" bestFit="1" customWidth="1"/>
    <col min="15108" max="15109" width="8.26953125" style="294" bestFit="1" customWidth="1"/>
    <col min="15110" max="15110" width="7.26953125" style="294" bestFit="1" customWidth="1"/>
    <col min="15111" max="15111" width="23.26953125" style="294" customWidth="1"/>
    <col min="15112" max="15112" width="17.1796875" style="294" bestFit="1" customWidth="1"/>
    <col min="15113" max="15113" width="23.26953125" style="294" customWidth="1"/>
    <col min="15114" max="15114" width="28.7265625" style="294" bestFit="1" customWidth="1"/>
    <col min="15115" max="15116" width="9.1796875" style="294"/>
    <col min="15117" max="15117" width="13.26953125" style="294" customWidth="1"/>
    <col min="15118" max="15360" width="9.1796875" style="294"/>
    <col min="15361" max="15361" width="24.7265625" style="294" bestFit="1" customWidth="1"/>
    <col min="15362" max="15362" width="18.7265625" style="294" bestFit="1" customWidth="1"/>
    <col min="15363" max="15363" width="8.1796875" style="294" bestFit="1" customWidth="1"/>
    <col min="15364" max="15365" width="8.26953125" style="294" bestFit="1" customWidth="1"/>
    <col min="15366" max="15366" width="7.26953125" style="294" bestFit="1" customWidth="1"/>
    <col min="15367" max="15367" width="23.26953125" style="294" customWidth="1"/>
    <col min="15368" max="15368" width="17.1796875" style="294" bestFit="1" customWidth="1"/>
    <col min="15369" max="15369" width="23.26953125" style="294" customWidth="1"/>
    <col min="15370" max="15370" width="28.7265625" style="294" bestFit="1" customWidth="1"/>
    <col min="15371" max="15372" width="9.1796875" style="294"/>
    <col min="15373" max="15373" width="13.26953125" style="294" customWidth="1"/>
    <col min="15374" max="15616" width="9.1796875" style="294"/>
    <col min="15617" max="15617" width="24.7265625" style="294" bestFit="1" customWidth="1"/>
    <col min="15618" max="15618" width="18.7265625" style="294" bestFit="1" customWidth="1"/>
    <col min="15619" max="15619" width="8.1796875" style="294" bestFit="1" customWidth="1"/>
    <col min="15620" max="15621" width="8.26953125" style="294" bestFit="1" customWidth="1"/>
    <col min="15622" max="15622" width="7.26953125" style="294" bestFit="1" customWidth="1"/>
    <col min="15623" max="15623" width="23.26953125" style="294" customWidth="1"/>
    <col min="15624" max="15624" width="17.1796875" style="294" bestFit="1" customWidth="1"/>
    <col min="15625" max="15625" width="23.26953125" style="294" customWidth="1"/>
    <col min="15626" max="15626" width="28.7265625" style="294" bestFit="1" customWidth="1"/>
    <col min="15627" max="15628" width="9.1796875" style="294"/>
    <col min="15629" max="15629" width="13.26953125" style="294" customWidth="1"/>
    <col min="15630" max="15872" width="9.1796875" style="294"/>
    <col min="15873" max="15873" width="24.7265625" style="294" bestFit="1" customWidth="1"/>
    <col min="15874" max="15874" width="18.7265625" style="294" bestFit="1" customWidth="1"/>
    <col min="15875" max="15875" width="8.1796875" style="294" bestFit="1" customWidth="1"/>
    <col min="15876" max="15877" width="8.26953125" style="294" bestFit="1" customWidth="1"/>
    <col min="15878" max="15878" width="7.26953125" style="294" bestFit="1" customWidth="1"/>
    <col min="15879" max="15879" width="23.26953125" style="294" customWidth="1"/>
    <col min="15880" max="15880" width="17.1796875" style="294" bestFit="1" customWidth="1"/>
    <col min="15881" max="15881" width="23.26953125" style="294" customWidth="1"/>
    <col min="15882" max="15882" width="28.7265625" style="294" bestFit="1" customWidth="1"/>
    <col min="15883" max="15884" width="9.1796875" style="294"/>
    <col min="15885" max="15885" width="13.26953125" style="294" customWidth="1"/>
    <col min="15886" max="16128" width="9.1796875" style="294"/>
    <col min="16129" max="16129" width="24.7265625" style="294" bestFit="1" customWidth="1"/>
    <col min="16130" max="16130" width="18.7265625" style="294" bestFit="1" customWidth="1"/>
    <col min="16131" max="16131" width="8.1796875" style="294" bestFit="1" customWidth="1"/>
    <col min="16132" max="16133" width="8.26953125" style="294" bestFit="1" customWidth="1"/>
    <col min="16134" max="16134" width="7.26953125" style="294" bestFit="1" customWidth="1"/>
    <col min="16135" max="16135" width="23.26953125" style="294" customWidth="1"/>
    <col min="16136" max="16136" width="17.1796875" style="294" bestFit="1" customWidth="1"/>
    <col min="16137" max="16137" width="23.26953125" style="294" customWidth="1"/>
    <col min="16138" max="16138" width="28.7265625" style="294" bestFit="1" customWidth="1"/>
    <col min="16139" max="16140" width="9.1796875" style="294"/>
    <col min="16141" max="16141" width="13.26953125" style="294" customWidth="1"/>
    <col min="16142" max="16384" width="9.1796875" style="294"/>
  </cols>
  <sheetData>
    <row r="1" spans="1:14" s="289" customFormat="1" ht="57.75" customHeight="1">
      <c r="A1" s="286" t="s">
        <v>0</v>
      </c>
      <c r="B1" s="287" t="s">
        <v>1</v>
      </c>
      <c r="C1" s="287" t="s">
        <v>2</v>
      </c>
      <c r="D1" s="287" t="s">
        <v>3</v>
      </c>
      <c r="E1" s="287" t="s">
        <v>4</v>
      </c>
      <c r="F1" s="287" t="s">
        <v>5</v>
      </c>
      <c r="G1" s="287" t="s">
        <v>6</v>
      </c>
      <c r="H1" s="287" t="s">
        <v>703</v>
      </c>
      <c r="I1" s="287" t="s">
        <v>704</v>
      </c>
      <c r="J1" s="287" t="s">
        <v>705</v>
      </c>
      <c r="K1" s="287" t="s">
        <v>10</v>
      </c>
      <c r="L1" s="287" t="s">
        <v>706</v>
      </c>
      <c r="M1" s="288" t="s">
        <v>12</v>
      </c>
    </row>
    <row r="2" spans="1:14" ht="10.5">
      <c r="A2" s="290" t="s">
        <v>998</v>
      </c>
      <c r="B2" s="291" t="s">
        <v>14</v>
      </c>
      <c r="C2" s="291" t="s">
        <v>879</v>
      </c>
      <c r="D2" s="291">
        <v>1</v>
      </c>
      <c r="E2" s="291">
        <f>E8</f>
        <v>50</v>
      </c>
      <c r="F2" s="291">
        <f>SUM(F3:F8)</f>
        <v>50</v>
      </c>
      <c r="G2" s="292"/>
      <c r="H2" s="292"/>
      <c r="I2" s="292"/>
      <c r="J2" s="291"/>
      <c r="K2" s="291"/>
      <c r="L2" s="291"/>
      <c r="M2" s="293" t="s">
        <v>16</v>
      </c>
    </row>
    <row r="3" spans="1:14" ht="21">
      <c r="A3" s="295" t="s">
        <v>17</v>
      </c>
      <c r="B3" s="296" t="s">
        <v>18</v>
      </c>
      <c r="C3" s="297">
        <v>1</v>
      </c>
      <c r="D3" s="297">
        <v>1</v>
      </c>
      <c r="E3" s="297">
        <f t="shared" ref="E3:E8" si="0">D3+F3-1</f>
        <v>1</v>
      </c>
      <c r="F3" s="297">
        <v>1</v>
      </c>
      <c r="G3" s="298" t="s">
        <v>19</v>
      </c>
      <c r="H3" s="299" t="s">
        <v>999</v>
      </c>
      <c r="I3" s="298"/>
      <c r="J3" s="297"/>
      <c r="K3" s="297"/>
      <c r="L3" s="297"/>
      <c r="M3" s="293" t="s">
        <v>16</v>
      </c>
    </row>
    <row r="4" spans="1:14" s="23" customFormat="1">
      <c r="A4" s="18" t="s">
        <v>710</v>
      </c>
      <c r="B4" s="18" t="s">
        <v>711</v>
      </c>
      <c r="C4" s="19">
        <v>2</v>
      </c>
      <c r="D4" s="19">
        <f>E3+1</f>
        <v>2</v>
      </c>
      <c r="E4" s="19">
        <f t="shared" si="0"/>
        <v>16</v>
      </c>
      <c r="F4" s="19">
        <v>15</v>
      </c>
      <c r="G4" s="18" t="s">
        <v>1000</v>
      </c>
      <c r="H4" s="20"/>
      <c r="I4" s="20"/>
      <c r="J4" s="18"/>
      <c r="K4" s="19"/>
      <c r="L4" s="19"/>
      <c r="M4" s="21"/>
      <c r="N4" s="22"/>
    </row>
    <row r="5" spans="1:14" s="23" customFormat="1">
      <c r="A5" s="18" t="s">
        <v>713</v>
      </c>
      <c r="B5" s="18" t="s">
        <v>714</v>
      </c>
      <c r="C5" s="19">
        <v>3</v>
      </c>
      <c r="D5" s="19">
        <f>E4+1</f>
        <v>17</v>
      </c>
      <c r="E5" s="19">
        <f t="shared" si="0"/>
        <v>26</v>
      </c>
      <c r="F5" s="19">
        <v>10</v>
      </c>
      <c r="G5" s="18" t="s">
        <v>715</v>
      </c>
      <c r="H5" s="20"/>
      <c r="I5" s="20"/>
      <c r="J5" s="18"/>
      <c r="K5" s="19"/>
      <c r="L5" s="19"/>
      <c r="M5" s="21"/>
      <c r="N5" s="22"/>
    </row>
    <row r="6" spans="1:14" s="23" customFormat="1" ht="10.5">
      <c r="A6" s="18" t="s">
        <v>1001</v>
      </c>
      <c r="B6" s="18" t="s">
        <v>1002</v>
      </c>
      <c r="C6" s="19">
        <v>4</v>
      </c>
      <c r="D6" s="19">
        <f>E5+1</f>
        <v>27</v>
      </c>
      <c r="E6" s="19">
        <f t="shared" si="0"/>
        <v>34</v>
      </c>
      <c r="F6" s="19">
        <v>8</v>
      </c>
      <c r="G6" s="18" t="s">
        <v>1003</v>
      </c>
      <c r="H6" s="24"/>
      <c r="I6" s="24"/>
      <c r="J6" s="18"/>
      <c r="K6" s="19"/>
      <c r="L6" s="19"/>
      <c r="M6" s="21"/>
      <c r="N6" s="22"/>
    </row>
    <row r="7" spans="1:14" ht="12.5">
      <c r="A7" s="12" t="s">
        <v>717</v>
      </c>
      <c r="B7" s="13" t="s">
        <v>1004</v>
      </c>
      <c r="C7" s="297">
        <v>5</v>
      </c>
      <c r="D7" s="19">
        <f>E6+1</f>
        <v>35</v>
      </c>
      <c r="E7" s="14">
        <f t="shared" si="0"/>
        <v>49</v>
      </c>
      <c r="F7" s="14">
        <v>15</v>
      </c>
      <c r="G7" s="300" t="s">
        <v>1005</v>
      </c>
      <c r="H7" s="299" t="s">
        <v>999</v>
      </c>
      <c r="I7" s="301"/>
      <c r="J7" s="297"/>
      <c r="K7" s="297"/>
      <c r="L7" s="297"/>
      <c r="M7" s="293" t="s">
        <v>16</v>
      </c>
    </row>
    <row r="8" spans="1:14" s="23" customFormat="1">
      <c r="A8" s="18" t="s">
        <v>719</v>
      </c>
      <c r="B8" s="18" t="s">
        <v>720</v>
      </c>
      <c r="C8" s="19">
        <v>6</v>
      </c>
      <c r="D8" s="19">
        <f>E7+1</f>
        <v>50</v>
      </c>
      <c r="E8" s="14">
        <f t="shared" si="0"/>
        <v>50</v>
      </c>
      <c r="F8" s="19">
        <v>1</v>
      </c>
      <c r="G8" s="18" t="s">
        <v>721</v>
      </c>
      <c r="H8" s="20"/>
      <c r="I8" s="20"/>
      <c r="J8" s="18"/>
      <c r="K8" s="19"/>
      <c r="L8" s="19"/>
      <c r="M8" s="21"/>
      <c r="N8" s="22"/>
    </row>
    <row r="9" spans="1:14" ht="10.5">
      <c r="A9" s="290" t="s">
        <v>1006</v>
      </c>
      <c r="B9" s="291" t="s">
        <v>14</v>
      </c>
      <c r="C9" s="302" t="s">
        <v>879</v>
      </c>
      <c r="D9" s="291">
        <v>1</v>
      </c>
      <c r="E9" s="291">
        <f>E30</f>
        <v>1684</v>
      </c>
      <c r="F9" s="291">
        <f>SUM(F10:F30)</f>
        <v>1684</v>
      </c>
      <c r="G9" s="303"/>
      <c r="H9" s="303"/>
      <c r="I9" s="303"/>
      <c r="J9" s="291"/>
      <c r="K9" s="291"/>
      <c r="L9" s="291"/>
      <c r="M9" s="293" t="s">
        <v>16</v>
      </c>
    </row>
    <row r="10" spans="1:14" ht="21">
      <c r="A10" s="304" t="s">
        <v>723</v>
      </c>
      <c r="B10" s="296" t="s">
        <v>18</v>
      </c>
      <c r="C10" s="297">
        <v>7</v>
      </c>
      <c r="D10" s="305">
        <v>1</v>
      </c>
      <c r="E10" s="297">
        <f t="shared" ref="E10:E29" si="1">D10+F10-1</f>
        <v>1</v>
      </c>
      <c r="F10" s="305">
        <v>1</v>
      </c>
      <c r="G10" s="298" t="s">
        <v>38</v>
      </c>
      <c r="H10" s="299" t="s">
        <v>999</v>
      </c>
      <c r="I10" s="298"/>
      <c r="J10" s="305"/>
      <c r="K10" s="305"/>
      <c r="L10" s="305"/>
      <c r="M10" s="293" t="s">
        <v>16</v>
      </c>
    </row>
    <row r="11" spans="1:14" ht="12.5">
      <c r="A11" s="306" t="s">
        <v>1007</v>
      </c>
      <c r="B11" s="296" t="s">
        <v>1008</v>
      </c>
      <c r="C11" s="297">
        <v>8</v>
      </c>
      <c r="D11" s="307">
        <f>E10+1</f>
        <v>2</v>
      </c>
      <c r="E11" s="307">
        <f t="shared" si="1"/>
        <v>12</v>
      </c>
      <c r="F11" s="297">
        <v>11</v>
      </c>
      <c r="G11" s="308" t="s">
        <v>1009</v>
      </c>
      <c r="H11" s="299" t="s">
        <v>999</v>
      </c>
      <c r="I11" s="298" t="s">
        <v>1010</v>
      </c>
      <c r="J11" s="309" t="s">
        <v>1011</v>
      </c>
      <c r="K11" s="310" t="s">
        <v>1012</v>
      </c>
      <c r="L11" s="305"/>
      <c r="M11" s="293" t="s">
        <v>16</v>
      </c>
    </row>
    <row r="12" spans="1:14" ht="12.5">
      <c r="A12" s="61" t="s">
        <v>1013</v>
      </c>
      <c r="B12" s="296" t="s">
        <v>1014</v>
      </c>
      <c r="C12" s="297">
        <v>9</v>
      </c>
      <c r="D12" s="307">
        <f t="shared" ref="D12:D30" si="2">E11+1</f>
        <v>13</v>
      </c>
      <c r="E12" s="297">
        <f t="shared" si="1"/>
        <v>32</v>
      </c>
      <c r="F12" s="297">
        <v>20</v>
      </c>
      <c r="G12" s="311" t="s">
        <v>1015</v>
      </c>
      <c r="H12" s="298" t="s">
        <v>20</v>
      </c>
      <c r="I12" s="298" t="s">
        <v>1010</v>
      </c>
      <c r="J12" s="312" t="s">
        <v>1016</v>
      </c>
      <c r="K12" s="310" t="s">
        <v>1012</v>
      </c>
      <c r="L12" s="36" t="s">
        <v>1017</v>
      </c>
      <c r="M12" s="293" t="s">
        <v>16</v>
      </c>
    </row>
    <row r="13" spans="1:14" ht="12.5">
      <c r="A13" s="61" t="s">
        <v>1018</v>
      </c>
      <c r="B13" s="296" t="s">
        <v>714</v>
      </c>
      <c r="C13" s="297">
        <v>10</v>
      </c>
      <c r="D13" s="307">
        <f t="shared" si="2"/>
        <v>33</v>
      </c>
      <c r="E13" s="297">
        <f t="shared" si="1"/>
        <v>42</v>
      </c>
      <c r="F13" s="297">
        <v>10</v>
      </c>
      <c r="G13" s="313" t="s">
        <v>1019</v>
      </c>
      <c r="H13" s="298" t="s">
        <v>20</v>
      </c>
      <c r="I13" s="298" t="s">
        <v>1010</v>
      </c>
      <c r="J13" s="312" t="s">
        <v>1020</v>
      </c>
      <c r="K13" s="310" t="s">
        <v>1012</v>
      </c>
      <c r="L13" s="36" t="s">
        <v>1021</v>
      </c>
      <c r="M13" s="293" t="s">
        <v>16</v>
      </c>
      <c r="N13" s="294" t="s">
        <v>1022</v>
      </c>
    </row>
    <row r="14" spans="1:14" ht="12.5">
      <c r="A14" s="61" t="s">
        <v>1023</v>
      </c>
      <c r="B14" s="296" t="s">
        <v>1024</v>
      </c>
      <c r="C14" s="297">
        <v>11</v>
      </c>
      <c r="D14" s="307">
        <f t="shared" si="2"/>
        <v>43</v>
      </c>
      <c r="E14" s="297">
        <f t="shared" si="1"/>
        <v>72</v>
      </c>
      <c r="F14" s="297">
        <v>30</v>
      </c>
      <c r="G14" s="313" t="s">
        <v>1025</v>
      </c>
      <c r="H14" s="298" t="s">
        <v>20</v>
      </c>
      <c r="I14" s="298" t="s">
        <v>1010</v>
      </c>
      <c r="J14" s="295" t="s">
        <v>1026</v>
      </c>
      <c r="K14" s="310" t="s">
        <v>1012</v>
      </c>
      <c r="L14" s="36" t="s">
        <v>1027</v>
      </c>
      <c r="M14" s="293" t="s">
        <v>16</v>
      </c>
      <c r="N14" s="294" t="s">
        <v>1028</v>
      </c>
    </row>
    <row r="15" spans="1:14" ht="12.5">
      <c r="A15" s="61" t="s">
        <v>1029</v>
      </c>
      <c r="B15" s="296" t="s">
        <v>1030</v>
      </c>
      <c r="C15" s="297">
        <v>12</v>
      </c>
      <c r="D15" s="307">
        <f t="shared" si="2"/>
        <v>73</v>
      </c>
      <c r="E15" s="297">
        <f t="shared" si="1"/>
        <v>88</v>
      </c>
      <c r="F15" s="297">
        <v>16</v>
      </c>
      <c r="G15" s="313" t="s">
        <v>1031</v>
      </c>
      <c r="H15" s="298" t="s">
        <v>20</v>
      </c>
      <c r="I15" s="298" t="s">
        <v>1010</v>
      </c>
      <c r="J15" s="295" t="s">
        <v>1032</v>
      </c>
      <c r="K15" s="310" t="s">
        <v>1012</v>
      </c>
      <c r="L15" s="36" t="s">
        <v>1033</v>
      </c>
      <c r="M15" s="293" t="s">
        <v>16</v>
      </c>
      <c r="N15" s="294" t="s">
        <v>1028</v>
      </c>
    </row>
    <row r="16" spans="1:14" ht="12.5">
      <c r="A16" s="61" t="s">
        <v>1034</v>
      </c>
      <c r="B16" s="296" t="s">
        <v>1014</v>
      </c>
      <c r="C16" s="297">
        <v>13</v>
      </c>
      <c r="D16" s="307">
        <f t="shared" si="2"/>
        <v>89</v>
      </c>
      <c r="E16" s="297">
        <f t="shared" si="1"/>
        <v>108</v>
      </c>
      <c r="F16" s="297">
        <v>20</v>
      </c>
      <c r="G16" s="313" t="s">
        <v>1035</v>
      </c>
      <c r="H16" s="298" t="s">
        <v>20</v>
      </c>
      <c r="I16" s="298" t="s">
        <v>2205</v>
      </c>
      <c r="J16" s="295" t="s">
        <v>1036</v>
      </c>
      <c r="K16" s="310" t="s">
        <v>2204</v>
      </c>
      <c r="L16" s="36" t="s">
        <v>1037</v>
      </c>
      <c r="M16" s="293" t="s">
        <v>16</v>
      </c>
      <c r="N16" s="294" t="s">
        <v>1028</v>
      </c>
    </row>
    <row r="17" spans="1:14" ht="12.5">
      <c r="A17" s="61" t="s">
        <v>1038</v>
      </c>
      <c r="B17" s="296" t="s">
        <v>1039</v>
      </c>
      <c r="C17" s="297">
        <v>14</v>
      </c>
      <c r="D17" s="307">
        <f t="shared" si="2"/>
        <v>109</v>
      </c>
      <c r="E17" s="297">
        <f t="shared" si="1"/>
        <v>208</v>
      </c>
      <c r="F17" s="297">
        <v>100</v>
      </c>
      <c r="G17" s="311" t="s">
        <v>1040</v>
      </c>
      <c r="H17" s="298" t="s">
        <v>20</v>
      </c>
      <c r="I17" s="298" t="s">
        <v>1010</v>
      </c>
      <c r="J17" s="295" t="s">
        <v>1041</v>
      </c>
      <c r="K17" s="310" t="s">
        <v>1012</v>
      </c>
      <c r="L17" s="36" t="s">
        <v>1042</v>
      </c>
      <c r="M17" s="293" t="s">
        <v>16</v>
      </c>
    </row>
    <row r="18" spans="1:14" ht="12.5">
      <c r="A18" s="61" t="s">
        <v>764</v>
      </c>
      <c r="B18" s="296" t="s">
        <v>714</v>
      </c>
      <c r="C18" s="297">
        <v>15</v>
      </c>
      <c r="D18" s="307">
        <f t="shared" si="2"/>
        <v>209</v>
      </c>
      <c r="E18" s="297">
        <f t="shared" si="1"/>
        <v>218</v>
      </c>
      <c r="F18" s="297">
        <v>10</v>
      </c>
      <c r="G18" s="313" t="s">
        <v>1043</v>
      </c>
      <c r="H18" s="298" t="s">
        <v>20</v>
      </c>
      <c r="I18" s="298" t="s">
        <v>1010</v>
      </c>
      <c r="J18" s="295" t="s">
        <v>1044</v>
      </c>
      <c r="K18" s="310" t="s">
        <v>1012</v>
      </c>
      <c r="L18" s="36" t="s">
        <v>1045</v>
      </c>
      <c r="M18" s="293" t="s">
        <v>16</v>
      </c>
      <c r="N18" s="294" t="s">
        <v>1046</v>
      </c>
    </row>
    <row r="19" spans="1:14" ht="12.5">
      <c r="A19" s="61" t="s">
        <v>1047</v>
      </c>
      <c r="B19" s="296" t="s">
        <v>1048</v>
      </c>
      <c r="C19" s="297">
        <v>16</v>
      </c>
      <c r="D19" s="307">
        <f t="shared" si="2"/>
        <v>219</v>
      </c>
      <c r="E19" s="297">
        <f t="shared" si="1"/>
        <v>278</v>
      </c>
      <c r="F19" s="297">
        <v>60</v>
      </c>
      <c r="G19" s="311" t="s">
        <v>1049</v>
      </c>
      <c r="H19" s="298" t="s">
        <v>20</v>
      </c>
      <c r="I19" s="298" t="s">
        <v>1010</v>
      </c>
      <c r="J19" s="295" t="s">
        <v>1050</v>
      </c>
      <c r="K19" s="310" t="s">
        <v>1012</v>
      </c>
      <c r="L19" s="36" t="s">
        <v>1051</v>
      </c>
      <c r="M19" s="293" t="s">
        <v>16</v>
      </c>
    </row>
    <row r="20" spans="1:14" ht="12.5">
      <c r="A20" s="61" t="s">
        <v>1052</v>
      </c>
      <c r="B20" s="296" t="s">
        <v>1053</v>
      </c>
      <c r="C20" s="297">
        <v>17</v>
      </c>
      <c r="D20" s="307">
        <f t="shared" si="2"/>
        <v>279</v>
      </c>
      <c r="E20" s="297">
        <f t="shared" si="1"/>
        <v>328</v>
      </c>
      <c r="F20" s="297">
        <v>50</v>
      </c>
      <c r="G20" s="311" t="s">
        <v>1054</v>
      </c>
      <c r="H20" s="298" t="s">
        <v>20</v>
      </c>
      <c r="I20" s="298" t="s">
        <v>1010</v>
      </c>
      <c r="J20" s="295" t="s">
        <v>1055</v>
      </c>
      <c r="K20" s="310" t="s">
        <v>1012</v>
      </c>
      <c r="L20" s="36" t="s">
        <v>1056</v>
      </c>
      <c r="M20" s="293" t="s">
        <v>16</v>
      </c>
    </row>
    <row r="21" spans="1:14" ht="12.5">
      <c r="A21" s="61" t="s">
        <v>1057</v>
      </c>
      <c r="B21" s="296" t="s">
        <v>1014</v>
      </c>
      <c r="C21" s="297">
        <v>18</v>
      </c>
      <c r="D21" s="307">
        <f t="shared" si="2"/>
        <v>329</v>
      </c>
      <c r="E21" s="297">
        <f t="shared" si="1"/>
        <v>348</v>
      </c>
      <c r="F21" s="297">
        <v>20</v>
      </c>
      <c r="G21" s="311" t="s">
        <v>1058</v>
      </c>
      <c r="H21" s="298" t="s">
        <v>20</v>
      </c>
      <c r="I21" s="298" t="s">
        <v>1010</v>
      </c>
      <c r="J21" s="295" t="s">
        <v>1059</v>
      </c>
      <c r="K21" s="310" t="s">
        <v>1012</v>
      </c>
      <c r="L21" s="36" t="s">
        <v>1060</v>
      </c>
      <c r="M21" s="293" t="s">
        <v>16</v>
      </c>
    </row>
    <row r="22" spans="1:14" ht="12.5">
      <c r="A22" s="61" t="s">
        <v>1061</v>
      </c>
      <c r="B22" s="296" t="s">
        <v>1039</v>
      </c>
      <c r="C22" s="297">
        <v>19</v>
      </c>
      <c r="D22" s="307">
        <f t="shared" si="2"/>
        <v>349</v>
      </c>
      <c r="E22" s="297">
        <f t="shared" si="1"/>
        <v>448</v>
      </c>
      <c r="F22" s="297">
        <v>100</v>
      </c>
      <c r="G22" s="311" t="s">
        <v>1062</v>
      </c>
      <c r="H22" s="298" t="s">
        <v>20</v>
      </c>
      <c r="I22" s="298" t="s">
        <v>1010</v>
      </c>
      <c r="J22" s="295" t="s">
        <v>1063</v>
      </c>
      <c r="K22" s="310" t="s">
        <v>1012</v>
      </c>
      <c r="L22" s="36" t="s">
        <v>1064</v>
      </c>
      <c r="M22" s="293" t="s">
        <v>16</v>
      </c>
    </row>
    <row r="23" spans="1:14" ht="12.5">
      <c r="A23" s="61" t="s">
        <v>1065</v>
      </c>
      <c r="B23" s="296" t="s">
        <v>714</v>
      </c>
      <c r="C23" s="297">
        <v>20</v>
      </c>
      <c r="D23" s="307">
        <f t="shared" si="2"/>
        <v>449</v>
      </c>
      <c r="E23" s="297">
        <f t="shared" si="1"/>
        <v>458</v>
      </c>
      <c r="F23" s="297">
        <v>10</v>
      </c>
      <c r="G23" s="311" t="s">
        <v>1066</v>
      </c>
      <c r="H23" s="298" t="s">
        <v>20</v>
      </c>
      <c r="I23" s="298" t="s">
        <v>1010</v>
      </c>
      <c r="J23" s="295" t="s">
        <v>1067</v>
      </c>
      <c r="K23" s="310" t="s">
        <v>1012</v>
      </c>
      <c r="L23" s="36" t="s">
        <v>1068</v>
      </c>
      <c r="M23" s="293" t="s">
        <v>16</v>
      </c>
    </row>
    <row r="24" spans="1:14" ht="12.5">
      <c r="A24" s="61" t="s">
        <v>1069</v>
      </c>
      <c r="B24" s="296" t="s">
        <v>1070</v>
      </c>
      <c r="C24" s="297">
        <v>21</v>
      </c>
      <c r="D24" s="307">
        <f t="shared" si="2"/>
        <v>459</v>
      </c>
      <c r="E24" s="297">
        <f t="shared" si="1"/>
        <v>459</v>
      </c>
      <c r="F24" s="297">
        <v>1</v>
      </c>
      <c r="G24" s="311" t="s">
        <v>1071</v>
      </c>
      <c r="H24" s="298" t="s">
        <v>20</v>
      </c>
      <c r="I24" s="298" t="s">
        <v>1010</v>
      </c>
      <c r="J24" s="295" t="s">
        <v>1072</v>
      </c>
      <c r="K24" s="310" t="s">
        <v>1012</v>
      </c>
      <c r="L24" s="36" t="s">
        <v>1073</v>
      </c>
      <c r="M24" s="293" t="s">
        <v>16</v>
      </c>
    </row>
    <row r="25" spans="1:14">
      <c r="A25" s="61" t="s">
        <v>1074</v>
      </c>
      <c r="B25" s="314" t="s">
        <v>1075</v>
      </c>
      <c r="C25" s="297">
        <v>22</v>
      </c>
      <c r="D25" s="307">
        <f t="shared" si="2"/>
        <v>460</v>
      </c>
      <c r="E25" s="297">
        <f t="shared" si="1"/>
        <v>467</v>
      </c>
      <c r="F25" s="297">
        <v>8</v>
      </c>
      <c r="G25" s="33" t="s">
        <v>1076</v>
      </c>
      <c r="H25" s="298" t="s">
        <v>20</v>
      </c>
      <c r="I25" s="298" t="s">
        <v>1010</v>
      </c>
      <c r="J25" s="315" t="s">
        <v>1077</v>
      </c>
      <c r="K25" s="310" t="s">
        <v>1012</v>
      </c>
      <c r="L25" s="36" t="s">
        <v>1078</v>
      </c>
      <c r="M25" s="293" t="s">
        <v>16</v>
      </c>
    </row>
    <row r="26" spans="1:14">
      <c r="A26" s="61" t="s">
        <v>1079</v>
      </c>
      <c r="B26" s="314" t="s">
        <v>1075</v>
      </c>
      <c r="C26" s="297">
        <v>23</v>
      </c>
      <c r="D26" s="307">
        <f t="shared" si="2"/>
        <v>468</v>
      </c>
      <c r="E26" s="297">
        <f t="shared" si="1"/>
        <v>475</v>
      </c>
      <c r="F26" s="297">
        <v>8</v>
      </c>
      <c r="G26" s="33" t="s">
        <v>1080</v>
      </c>
      <c r="H26" s="298" t="s">
        <v>20</v>
      </c>
      <c r="I26" s="298" t="s">
        <v>1010</v>
      </c>
      <c r="J26" s="315" t="s">
        <v>1081</v>
      </c>
      <c r="K26" s="310" t="s">
        <v>1012</v>
      </c>
      <c r="L26" s="36" t="s">
        <v>1082</v>
      </c>
      <c r="M26" s="293" t="s">
        <v>16</v>
      </c>
    </row>
    <row r="27" spans="1:14">
      <c r="A27" s="61" t="s">
        <v>1083</v>
      </c>
      <c r="B27" s="314" t="s">
        <v>1075</v>
      </c>
      <c r="C27" s="297">
        <v>24</v>
      </c>
      <c r="D27" s="307">
        <f t="shared" si="2"/>
        <v>476</v>
      </c>
      <c r="E27" s="297">
        <f t="shared" si="1"/>
        <v>483</v>
      </c>
      <c r="F27" s="297">
        <v>8</v>
      </c>
      <c r="G27" s="311" t="s">
        <v>1084</v>
      </c>
      <c r="H27" s="298" t="s">
        <v>20</v>
      </c>
      <c r="I27" s="298" t="s">
        <v>1010</v>
      </c>
      <c r="J27" s="315" t="s">
        <v>1085</v>
      </c>
      <c r="K27" s="310" t="s">
        <v>1012</v>
      </c>
      <c r="L27" s="36" t="s">
        <v>1086</v>
      </c>
      <c r="M27" s="293" t="s">
        <v>16</v>
      </c>
    </row>
    <row r="28" spans="1:14">
      <c r="A28" s="33" t="s">
        <v>1087</v>
      </c>
      <c r="B28" s="314" t="s">
        <v>1088</v>
      </c>
      <c r="C28" s="297">
        <v>25</v>
      </c>
      <c r="D28" s="307">
        <f t="shared" si="2"/>
        <v>484</v>
      </c>
      <c r="E28" s="297">
        <f t="shared" si="1"/>
        <v>1283</v>
      </c>
      <c r="F28" s="297">
        <v>800</v>
      </c>
      <c r="G28" s="311" t="s">
        <v>1089</v>
      </c>
      <c r="H28" s="298" t="s">
        <v>20</v>
      </c>
      <c r="I28" s="298" t="s">
        <v>1010</v>
      </c>
      <c r="J28" s="315" t="s">
        <v>1090</v>
      </c>
      <c r="K28" s="310" t="s">
        <v>1012</v>
      </c>
      <c r="L28" s="36" t="s">
        <v>1091</v>
      </c>
      <c r="M28" s="293" t="s">
        <v>16</v>
      </c>
    </row>
    <row r="29" spans="1:14">
      <c r="A29" s="33" t="s">
        <v>1092</v>
      </c>
      <c r="B29" s="314" t="s">
        <v>1093</v>
      </c>
      <c r="C29" s="297">
        <v>26</v>
      </c>
      <c r="D29" s="307">
        <f t="shared" si="2"/>
        <v>1284</v>
      </c>
      <c r="E29" s="297">
        <f t="shared" si="1"/>
        <v>1683</v>
      </c>
      <c r="F29" s="297">
        <v>400</v>
      </c>
      <c r="G29" s="311" t="s">
        <v>1094</v>
      </c>
      <c r="H29" s="298" t="s">
        <v>20</v>
      </c>
      <c r="I29" s="298" t="s">
        <v>1010</v>
      </c>
      <c r="J29" s="315" t="s">
        <v>1095</v>
      </c>
      <c r="K29" s="310" t="s">
        <v>1012</v>
      </c>
      <c r="L29" s="36" t="s">
        <v>1096</v>
      </c>
      <c r="M29" s="293" t="s">
        <v>16</v>
      </c>
    </row>
    <row r="30" spans="1:14" s="23" customFormat="1">
      <c r="A30" s="18" t="s">
        <v>719</v>
      </c>
      <c r="B30" s="18" t="s">
        <v>720</v>
      </c>
      <c r="C30" s="297">
        <v>27</v>
      </c>
      <c r="D30" s="307">
        <f t="shared" si="2"/>
        <v>1684</v>
      </c>
      <c r="E30" s="14">
        <f>D30+F30-1</f>
        <v>1684</v>
      </c>
      <c r="F30" s="19">
        <v>1</v>
      </c>
      <c r="G30" s="18" t="s">
        <v>721</v>
      </c>
      <c r="H30" s="20"/>
      <c r="I30" s="20"/>
      <c r="J30" s="18"/>
      <c r="K30" s="19"/>
      <c r="L30" s="19"/>
      <c r="M30" s="21"/>
      <c r="N30" s="22"/>
    </row>
    <row r="31" spans="1:14" ht="10.5">
      <c r="A31" s="290" t="s">
        <v>1097</v>
      </c>
      <c r="B31" s="291" t="s">
        <v>14</v>
      </c>
      <c r="C31" s="302" t="s">
        <v>879</v>
      </c>
      <c r="D31" s="291">
        <v>1</v>
      </c>
      <c r="E31" s="291">
        <f>E34</f>
        <v>11</v>
      </c>
      <c r="F31" s="291">
        <f>SUM(F32:F34)</f>
        <v>11</v>
      </c>
      <c r="G31" s="303"/>
      <c r="H31" s="303"/>
      <c r="I31" s="303"/>
      <c r="J31" s="291"/>
      <c r="K31" s="316" t="s">
        <v>204</v>
      </c>
      <c r="L31" s="316"/>
      <c r="M31" s="316"/>
    </row>
    <row r="32" spans="1:14" ht="21">
      <c r="A32" s="304" t="s">
        <v>723</v>
      </c>
      <c r="B32" s="296" t="s">
        <v>18</v>
      </c>
      <c r="C32" s="297">
        <v>28</v>
      </c>
      <c r="D32" s="297">
        <v>1</v>
      </c>
      <c r="E32" s="297">
        <v>1</v>
      </c>
      <c r="F32" s="297">
        <v>1</v>
      </c>
      <c r="G32" s="298" t="s">
        <v>205</v>
      </c>
      <c r="H32" s="299" t="s">
        <v>999</v>
      </c>
      <c r="I32" s="298"/>
      <c r="J32" s="297"/>
      <c r="K32" s="297"/>
      <c r="L32" s="297"/>
      <c r="M32" s="293"/>
    </row>
    <row r="33" spans="1:14" ht="12.5">
      <c r="A33" s="317" t="s">
        <v>206</v>
      </c>
      <c r="B33" s="296" t="s">
        <v>207</v>
      </c>
      <c r="C33" s="297">
        <v>29</v>
      </c>
      <c r="D33" s="297">
        <v>2</v>
      </c>
      <c r="E33" s="297">
        <f>D33+F33-1</f>
        <v>10</v>
      </c>
      <c r="F33" s="297">
        <v>9</v>
      </c>
      <c r="G33" s="298" t="s">
        <v>1098</v>
      </c>
      <c r="H33" s="299" t="s">
        <v>999</v>
      </c>
      <c r="I33" s="298"/>
      <c r="J33" s="297"/>
      <c r="K33" s="297"/>
      <c r="L33" s="297"/>
      <c r="M33" s="293"/>
    </row>
    <row r="34" spans="1:14" s="23" customFormat="1">
      <c r="A34" s="18" t="s">
        <v>719</v>
      </c>
      <c r="B34" s="18" t="s">
        <v>720</v>
      </c>
      <c r="C34" s="19">
        <v>30</v>
      </c>
      <c r="D34" s="19">
        <f>E33+1</f>
        <v>11</v>
      </c>
      <c r="E34" s="14">
        <f>D34+F34-1</f>
        <v>11</v>
      </c>
      <c r="F34" s="19">
        <v>1</v>
      </c>
      <c r="G34" s="18" t="s">
        <v>721</v>
      </c>
      <c r="H34" s="20"/>
      <c r="I34" s="20"/>
      <c r="J34" s="18"/>
      <c r="K34" s="19"/>
      <c r="L34" s="19"/>
      <c r="M34" s="21"/>
      <c r="N34" s="22"/>
    </row>
    <row r="35" spans="1:14">
      <c r="M35" s="321"/>
    </row>
    <row r="36" spans="1:14">
      <c r="M36" s="321"/>
    </row>
    <row r="37" spans="1:14" s="289" customFormat="1" ht="57.75" hidden="1" customHeight="1">
      <c r="A37" s="286" t="s">
        <v>0</v>
      </c>
      <c r="B37" s="287" t="s">
        <v>1</v>
      </c>
      <c r="C37" s="287" t="s">
        <v>2</v>
      </c>
      <c r="D37" s="287" t="s">
        <v>3</v>
      </c>
      <c r="E37" s="287" t="s">
        <v>4</v>
      </c>
      <c r="F37" s="287" t="s">
        <v>5</v>
      </c>
      <c r="G37" s="287" t="s">
        <v>6</v>
      </c>
      <c r="H37" s="287" t="s">
        <v>703</v>
      </c>
      <c r="I37" s="287" t="s">
        <v>704</v>
      </c>
      <c r="J37" s="287" t="s">
        <v>705</v>
      </c>
      <c r="K37" s="287" t="s">
        <v>10</v>
      </c>
      <c r="L37" s="287" t="s">
        <v>706</v>
      </c>
      <c r="M37" s="288" t="s">
        <v>12</v>
      </c>
    </row>
    <row r="38" spans="1:14" ht="11.5" hidden="1">
      <c r="A38" s="322" t="s">
        <v>1099</v>
      </c>
      <c r="B38" s="297"/>
      <c r="C38" s="297"/>
      <c r="D38" s="297">
        <v>1</v>
      </c>
      <c r="E38" s="297">
        <v>20</v>
      </c>
      <c r="F38" s="297">
        <v>20</v>
      </c>
      <c r="G38" s="298" t="s">
        <v>210</v>
      </c>
      <c r="H38" s="298"/>
      <c r="I38" s="298"/>
      <c r="J38" s="297"/>
      <c r="K38" s="297"/>
      <c r="L38" s="297"/>
      <c r="M38" s="293" t="s">
        <v>16</v>
      </c>
    </row>
    <row r="39" spans="1:14" ht="10.5" hidden="1">
      <c r="A39" s="290" t="s">
        <v>1100</v>
      </c>
      <c r="B39" s="291" t="s">
        <v>14</v>
      </c>
      <c r="C39" s="291">
        <v>1</v>
      </c>
      <c r="D39" s="291">
        <v>1</v>
      </c>
      <c r="E39" s="291">
        <v>20</v>
      </c>
      <c r="F39" s="291">
        <v>20</v>
      </c>
      <c r="G39" s="292"/>
      <c r="H39" s="292"/>
      <c r="I39" s="292"/>
      <c r="J39" s="291"/>
      <c r="K39" s="291"/>
      <c r="L39" s="291"/>
      <c r="M39" s="293" t="s">
        <v>16</v>
      </c>
    </row>
    <row r="40" spans="1:14" ht="21" hidden="1">
      <c r="A40" s="295" t="s">
        <v>17</v>
      </c>
      <c r="B40" s="296" t="s">
        <v>18</v>
      </c>
      <c r="C40" s="297">
        <v>2</v>
      </c>
      <c r="D40" s="297">
        <v>1</v>
      </c>
      <c r="E40" s="297">
        <f>D40+F40-1</f>
        <v>1</v>
      </c>
      <c r="F40" s="297">
        <v>1</v>
      </c>
      <c r="G40" s="298" t="s">
        <v>19</v>
      </c>
      <c r="H40" s="298"/>
      <c r="I40" s="298"/>
      <c r="J40" s="297"/>
      <c r="K40" s="297"/>
      <c r="L40" s="297"/>
      <c r="M40" s="293" t="s">
        <v>16</v>
      </c>
    </row>
    <row r="41" spans="1:14" ht="12.5" hidden="1">
      <c r="A41" s="295" t="s">
        <v>212</v>
      </c>
      <c r="B41" s="296" t="s">
        <v>213</v>
      </c>
      <c r="C41" s="297">
        <v>3</v>
      </c>
      <c r="D41" s="297">
        <f>E40+1</f>
        <v>2</v>
      </c>
      <c r="E41" s="297">
        <f>D41+F41-1</f>
        <v>9</v>
      </c>
      <c r="F41" s="297">
        <v>8</v>
      </c>
      <c r="G41" s="301" t="s">
        <v>1101</v>
      </c>
      <c r="H41" s="301"/>
      <c r="I41" s="301"/>
      <c r="J41" s="297"/>
      <c r="K41" s="297"/>
      <c r="L41" s="297"/>
      <c r="M41" s="293" t="s">
        <v>16</v>
      </c>
    </row>
    <row r="42" spans="1:14" ht="12.5" hidden="1">
      <c r="A42" s="295" t="s">
        <v>215</v>
      </c>
      <c r="B42" s="296" t="s">
        <v>216</v>
      </c>
      <c r="C42" s="297">
        <v>4</v>
      </c>
      <c r="D42" s="297">
        <f>E41+1</f>
        <v>10</v>
      </c>
      <c r="E42" s="297">
        <f>D42+F42-1</f>
        <v>17</v>
      </c>
      <c r="F42" s="297">
        <v>8</v>
      </c>
      <c r="G42" s="301" t="s">
        <v>1003</v>
      </c>
      <c r="H42" s="301"/>
      <c r="I42" s="301"/>
      <c r="J42" s="297"/>
      <c r="K42" s="297"/>
      <c r="L42" s="297"/>
      <c r="M42" s="293" t="s">
        <v>16</v>
      </c>
    </row>
    <row r="43" spans="1:14" hidden="1">
      <c r="A43" s="317" t="s">
        <v>217</v>
      </c>
      <c r="B43" s="314" t="s">
        <v>218</v>
      </c>
      <c r="C43" s="297">
        <v>5</v>
      </c>
      <c r="D43" s="297">
        <f>E42+1</f>
        <v>18</v>
      </c>
      <c r="E43" s="297">
        <f>D43+F43-1</f>
        <v>20</v>
      </c>
      <c r="F43" s="297">
        <v>3</v>
      </c>
      <c r="G43" s="298" t="s">
        <v>219</v>
      </c>
      <c r="H43" s="298"/>
      <c r="I43" s="298"/>
      <c r="J43" s="297"/>
      <c r="K43" s="297"/>
      <c r="L43" s="297"/>
      <c r="M43" s="293" t="s">
        <v>16</v>
      </c>
    </row>
    <row r="44" spans="1:14" ht="10.5" hidden="1">
      <c r="A44" s="290" t="s">
        <v>1102</v>
      </c>
      <c r="B44" s="291" t="s">
        <v>14</v>
      </c>
      <c r="C44" s="302">
        <v>6</v>
      </c>
      <c r="D44" s="291">
        <v>1</v>
      </c>
      <c r="E44" s="291">
        <v>20</v>
      </c>
      <c r="F44" s="291">
        <v>20</v>
      </c>
      <c r="G44" s="303"/>
      <c r="H44" s="303"/>
      <c r="I44" s="303"/>
      <c r="J44" s="291"/>
      <c r="K44" s="291"/>
      <c r="L44" s="291"/>
      <c r="M44" s="293" t="s">
        <v>16</v>
      </c>
    </row>
    <row r="45" spans="1:14" ht="21" hidden="1">
      <c r="A45" s="304" t="s">
        <v>723</v>
      </c>
      <c r="B45" s="296" t="s">
        <v>18</v>
      </c>
      <c r="C45" s="297">
        <v>7</v>
      </c>
      <c r="D45" s="305">
        <v>1</v>
      </c>
      <c r="E45" s="297">
        <f>D45+F45-1</f>
        <v>1</v>
      </c>
      <c r="F45" s="305">
        <v>1</v>
      </c>
      <c r="G45" s="298" t="s">
        <v>38</v>
      </c>
      <c r="H45" s="298"/>
      <c r="I45" s="298"/>
      <c r="J45" s="305"/>
      <c r="K45" s="305"/>
      <c r="L45" s="305"/>
      <c r="M45" s="293" t="s">
        <v>16</v>
      </c>
    </row>
    <row r="46" spans="1:14" ht="24" hidden="1" customHeight="1">
      <c r="A46" s="312" t="s">
        <v>1103</v>
      </c>
      <c r="B46" s="296" t="s">
        <v>1104</v>
      </c>
      <c r="C46" s="297">
        <v>8</v>
      </c>
      <c r="D46" s="297">
        <f>E45+1</f>
        <v>2</v>
      </c>
      <c r="E46" s="297">
        <f>D46+F46-1</f>
        <v>5</v>
      </c>
      <c r="F46" s="297">
        <v>4</v>
      </c>
      <c r="G46" s="323" t="s">
        <v>1105</v>
      </c>
      <c r="H46" s="298" t="s">
        <v>20</v>
      </c>
      <c r="I46" s="298" t="s">
        <v>224</v>
      </c>
      <c r="J46" s="324" t="s">
        <v>1106</v>
      </c>
      <c r="K46" s="314" t="s">
        <v>1107</v>
      </c>
      <c r="L46" s="325">
        <v>611</v>
      </c>
      <c r="M46" s="293" t="s">
        <v>16</v>
      </c>
    </row>
    <row r="47" spans="1:14" ht="24" hidden="1" customHeight="1">
      <c r="A47" s="312" t="s">
        <v>226</v>
      </c>
      <c r="B47" s="296" t="s">
        <v>1108</v>
      </c>
      <c r="C47" s="297">
        <v>8</v>
      </c>
      <c r="D47" s="297">
        <f>E46+1</f>
        <v>6</v>
      </c>
      <c r="E47" s="297">
        <f>D47+F47-1</f>
        <v>17</v>
      </c>
      <c r="F47" s="297">
        <v>12</v>
      </c>
      <c r="G47" s="323" t="s">
        <v>1109</v>
      </c>
      <c r="H47" s="298" t="s">
        <v>20</v>
      </c>
      <c r="I47" s="298" t="s">
        <v>224</v>
      </c>
      <c r="J47" s="324" t="s">
        <v>1110</v>
      </c>
      <c r="K47" s="314" t="s">
        <v>1107</v>
      </c>
      <c r="L47" s="325">
        <v>611</v>
      </c>
      <c r="M47" s="293" t="s">
        <v>16</v>
      </c>
    </row>
    <row r="48" spans="1:14" ht="12.5" hidden="1">
      <c r="A48" s="295" t="s">
        <v>229</v>
      </c>
      <c r="B48" s="296" t="s">
        <v>1111</v>
      </c>
      <c r="C48" s="297">
        <v>9</v>
      </c>
      <c r="D48" s="297">
        <f>E47+1</f>
        <v>18</v>
      </c>
      <c r="E48" s="297">
        <f>D48+F48-1</f>
        <v>20</v>
      </c>
      <c r="F48" s="297">
        <v>3</v>
      </c>
      <c r="G48" s="323" t="s">
        <v>1112</v>
      </c>
      <c r="H48" s="298" t="s">
        <v>20</v>
      </c>
      <c r="I48" s="298" t="s">
        <v>224</v>
      </c>
      <c r="J48" s="324" t="s">
        <v>1113</v>
      </c>
      <c r="K48" s="314" t="s">
        <v>1107</v>
      </c>
      <c r="L48" s="325"/>
      <c r="M48" s="293" t="s">
        <v>16</v>
      </c>
    </row>
    <row r="49" spans="1:13" ht="31.5" hidden="1">
      <c r="A49" s="290" t="s">
        <v>1114</v>
      </c>
      <c r="B49" s="291" t="s">
        <v>14</v>
      </c>
      <c r="C49" s="302">
        <v>35</v>
      </c>
      <c r="D49" s="291">
        <v>1</v>
      </c>
      <c r="E49" s="291">
        <v>20</v>
      </c>
      <c r="F49" s="291">
        <v>20</v>
      </c>
      <c r="G49" s="303"/>
      <c r="H49" s="303"/>
      <c r="I49" s="303"/>
      <c r="J49" s="291"/>
      <c r="K49" s="316" t="s">
        <v>204</v>
      </c>
      <c r="L49" s="316"/>
      <c r="M49" s="316"/>
    </row>
    <row r="50" spans="1:13" ht="21" hidden="1">
      <c r="A50" s="304" t="s">
        <v>723</v>
      </c>
      <c r="B50" s="296" t="s">
        <v>18</v>
      </c>
      <c r="C50" s="297">
        <v>36</v>
      </c>
      <c r="D50" s="297">
        <v>1</v>
      </c>
      <c r="E50" s="297">
        <v>1</v>
      </c>
      <c r="F50" s="297">
        <v>1</v>
      </c>
      <c r="G50" s="298" t="s">
        <v>205</v>
      </c>
      <c r="H50" s="298"/>
      <c r="I50" s="298"/>
      <c r="J50" s="297"/>
      <c r="K50" s="297"/>
      <c r="L50" s="297"/>
      <c r="M50" s="293"/>
    </row>
    <row r="51" spans="1:13" ht="12.5" hidden="1">
      <c r="A51" s="317" t="s">
        <v>206</v>
      </c>
      <c r="B51" s="296" t="s">
        <v>207</v>
      </c>
      <c r="C51" s="297">
        <v>37</v>
      </c>
      <c r="D51" s="297">
        <v>2</v>
      </c>
      <c r="E51" s="297">
        <f>D51+F51-1</f>
        <v>10</v>
      </c>
      <c r="F51" s="297">
        <v>9</v>
      </c>
      <c r="G51" s="298" t="s">
        <v>233</v>
      </c>
      <c r="H51" s="298"/>
      <c r="I51" s="298"/>
      <c r="J51" s="297"/>
      <c r="K51" s="297"/>
      <c r="L51" s="297"/>
      <c r="M51" s="293"/>
    </row>
    <row r="52" spans="1:13" ht="13" hidden="1" thickBot="1">
      <c r="A52" s="326" t="s">
        <v>217</v>
      </c>
      <c r="B52" s="327" t="s">
        <v>714</v>
      </c>
      <c r="C52" s="328">
        <v>38</v>
      </c>
      <c r="D52" s="328">
        <v>11</v>
      </c>
      <c r="E52" s="328">
        <f>D52+F52-1</f>
        <v>20</v>
      </c>
      <c r="F52" s="328">
        <v>10</v>
      </c>
      <c r="G52" s="329" t="s">
        <v>219</v>
      </c>
      <c r="H52" s="329"/>
      <c r="I52" s="329"/>
      <c r="J52" s="328"/>
      <c r="K52" s="328"/>
      <c r="L52" s="328"/>
      <c r="M52" s="293"/>
    </row>
    <row r="53" spans="1:13" hidden="1">
      <c r="M53" s="321"/>
    </row>
    <row r="54" spans="1:13" s="289" customFormat="1" ht="57.75" hidden="1" customHeight="1">
      <c r="A54" s="286" t="s">
        <v>0</v>
      </c>
      <c r="B54" s="287" t="s">
        <v>1</v>
      </c>
      <c r="C54" s="287" t="s">
        <v>2</v>
      </c>
      <c r="D54" s="287" t="s">
        <v>3</v>
      </c>
      <c r="E54" s="287" t="s">
        <v>4</v>
      </c>
      <c r="F54" s="287" t="s">
        <v>5</v>
      </c>
      <c r="G54" s="287" t="s">
        <v>6</v>
      </c>
      <c r="H54" s="287" t="s">
        <v>703</v>
      </c>
      <c r="I54" s="287" t="s">
        <v>704</v>
      </c>
      <c r="J54" s="287" t="s">
        <v>705</v>
      </c>
      <c r="K54" s="287" t="s">
        <v>10</v>
      </c>
      <c r="L54" s="287" t="s">
        <v>706</v>
      </c>
      <c r="M54" s="288" t="s">
        <v>12</v>
      </c>
    </row>
    <row r="55" spans="1:13" ht="11.5" hidden="1">
      <c r="A55" s="322" t="s">
        <v>1115</v>
      </c>
      <c r="B55" s="297"/>
      <c r="C55" s="297"/>
      <c r="D55" s="297">
        <v>1</v>
      </c>
      <c r="E55" s="297">
        <v>103</v>
      </c>
      <c r="F55" s="297">
        <v>103</v>
      </c>
      <c r="G55" s="298" t="s">
        <v>210</v>
      </c>
      <c r="H55" s="298"/>
      <c r="I55" s="298"/>
      <c r="J55" s="297"/>
      <c r="K55" s="297"/>
      <c r="L55" s="297"/>
      <c r="M55" s="293" t="s">
        <v>16</v>
      </c>
    </row>
    <row r="56" spans="1:13" ht="10.5" hidden="1">
      <c r="A56" s="290" t="s">
        <v>1116</v>
      </c>
      <c r="B56" s="291" t="s">
        <v>14</v>
      </c>
      <c r="C56" s="291">
        <v>1</v>
      </c>
      <c r="D56" s="291">
        <v>1</v>
      </c>
      <c r="E56" s="291">
        <v>103</v>
      </c>
      <c r="F56" s="291">
        <v>103</v>
      </c>
      <c r="G56" s="292"/>
      <c r="H56" s="292"/>
      <c r="I56" s="292"/>
      <c r="J56" s="291"/>
      <c r="K56" s="291"/>
      <c r="L56" s="291"/>
      <c r="M56" s="293" t="s">
        <v>16</v>
      </c>
    </row>
    <row r="57" spans="1:13" ht="21" hidden="1">
      <c r="A57" s="295" t="s">
        <v>17</v>
      </c>
      <c r="B57" s="296" t="s">
        <v>18</v>
      </c>
      <c r="C57" s="297">
        <v>2</v>
      </c>
      <c r="D57" s="297">
        <v>1</v>
      </c>
      <c r="E57" s="297">
        <f>D57+F57-1</f>
        <v>1</v>
      </c>
      <c r="F57" s="297">
        <v>1</v>
      </c>
      <c r="G57" s="298" t="s">
        <v>19</v>
      </c>
      <c r="H57" s="298"/>
      <c r="I57" s="298"/>
      <c r="J57" s="297"/>
      <c r="K57" s="297"/>
      <c r="L57" s="297"/>
      <c r="M57" s="293" t="s">
        <v>16</v>
      </c>
    </row>
    <row r="58" spans="1:13" ht="12.5" hidden="1">
      <c r="A58" s="295" t="s">
        <v>212</v>
      </c>
      <c r="B58" s="296" t="s">
        <v>213</v>
      </c>
      <c r="C58" s="297">
        <v>3</v>
      </c>
      <c r="D58" s="297">
        <f>E57+1</f>
        <v>2</v>
      </c>
      <c r="E58" s="297">
        <f>D58+F58-1</f>
        <v>9</v>
      </c>
      <c r="F58" s="297">
        <v>8</v>
      </c>
      <c r="G58" s="301" t="s">
        <v>1101</v>
      </c>
      <c r="H58" s="301"/>
      <c r="I58" s="301"/>
      <c r="J58" s="297"/>
      <c r="K58" s="297"/>
      <c r="L58" s="297"/>
      <c r="M58" s="293" t="s">
        <v>16</v>
      </c>
    </row>
    <row r="59" spans="1:13" ht="12.5" hidden="1">
      <c r="A59" s="295" t="s">
        <v>215</v>
      </c>
      <c r="B59" s="296" t="s">
        <v>216</v>
      </c>
      <c r="C59" s="297">
        <v>4</v>
      </c>
      <c r="D59" s="297">
        <f>E58+1</f>
        <v>10</v>
      </c>
      <c r="E59" s="297">
        <f>D59+F59-1</f>
        <v>17</v>
      </c>
      <c r="F59" s="297">
        <v>8</v>
      </c>
      <c r="G59" s="301" t="s">
        <v>1003</v>
      </c>
      <c r="H59" s="301"/>
      <c r="I59" s="301"/>
      <c r="J59" s="297"/>
      <c r="K59" s="297"/>
      <c r="L59" s="297"/>
      <c r="M59" s="293" t="s">
        <v>16</v>
      </c>
    </row>
    <row r="60" spans="1:13" hidden="1">
      <c r="A60" s="317" t="s">
        <v>217</v>
      </c>
      <c r="B60" s="314" t="s">
        <v>236</v>
      </c>
      <c r="C60" s="297">
        <v>5</v>
      </c>
      <c r="D60" s="297">
        <f>E59+1</f>
        <v>18</v>
      </c>
      <c r="E60" s="297">
        <f>D60+F60-1</f>
        <v>103</v>
      </c>
      <c r="F60" s="297">
        <v>86</v>
      </c>
      <c r="G60" s="298" t="s">
        <v>219</v>
      </c>
      <c r="H60" s="298"/>
      <c r="I60" s="298"/>
      <c r="J60" s="297"/>
      <c r="K60" s="297"/>
      <c r="L60" s="297"/>
      <c r="M60" s="293" t="s">
        <v>16</v>
      </c>
    </row>
    <row r="61" spans="1:13" ht="10.5" hidden="1">
      <c r="A61" s="290" t="s">
        <v>1117</v>
      </c>
      <c r="B61" s="291" t="s">
        <v>14</v>
      </c>
      <c r="C61" s="302">
        <v>6</v>
      </c>
      <c r="D61" s="291">
        <v>1</v>
      </c>
      <c r="E61" s="291">
        <v>103</v>
      </c>
      <c r="F61" s="291">
        <v>103</v>
      </c>
      <c r="G61" s="303"/>
      <c r="H61" s="303"/>
      <c r="I61" s="303"/>
      <c r="J61" s="291"/>
      <c r="K61" s="291"/>
      <c r="L61" s="291"/>
      <c r="M61" s="293" t="s">
        <v>16</v>
      </c>
    </row>
    <row r="62" spans="1:13" ht="21" hidden="1">
      <c r="A62" s="304" t="s">
        <v>723</v>
      </c>
      <c r="B62" s="296" t="s">
        <v>18</v>
      </c>
      <c r="C62" s="297">
        <v>7</v>
      </c>
      <c r="D62" s="305">
        <v>1</v>
      </c>
      <c r="E62" s="297">
        <f>D62+F62-1</f>
        <v>1</v>
      </c>
      <c r="F62" s="305">
        <v>1</v>
      </c>
      <c r="G62" s="298" t="s">
        <v>38</v>
      </c>
      <c r="H62" s="298"/>
      <c r="I62" s="298"/>
      <c r="J62" s="305"/>
      <c r="K62" s="305"/>
      <c r="L62" s="305"/>
      <c r="M62" s="293" t="s">
        <v>16</v>
      </c>
    </row>
    <row r="63" spans="1:13" ht="24" hidden="1" customHeight="1">
      <c r="A63" s="312" t="s">
        <v>238</v>
      </c>
      <c r="B63" s="296" t="s">
        <v>854</v>
      </c>
      <c r="C63" s="297">
        <v>8</v>
      </c>
      <c r="D63" s="297">
        <f>E62+1</f>
        <v>2</v>
      </c>
      <c r="E63" s="297">
        <f>D63+F63-1</f>
        <v>3</v>
      </c>
      <c r="F63" s="297">
        <v>2</v>
      </c>
      <c r="G63" s="323" t="s">
        <v>1118</v>
      </c>
      <c r="H63" s="298" t="s">
        <v>20</v>
      </c>
      <c r="I63" s="298" t="s">
        <v>1119</v>
      </c>
      <c r="J63" s="324" t="s">
        <v>1120</v>
      </c>
      <c r="K63" s="314" t="s">
        <v>1107</v>
      </c>
      <c r="L63" s="325">
        <v>611</v>
      </c>
      <c r="M63" s="293" t="s">
        <v>16</v>
      </c>
    </row>
    <row r="64" spans="1:13" ht="24" hidden="1" customHeight="1">
      <c r="A64" s="312" t="s">
        <v>243</v>
      </c>
      <c r="B64" s="296" t="s">
        <v>1039</v>
      </c>
      <c r="C64" s="297">
        <v>8</v>
      </c>
      <c r="D64" s="297">
        <f>E63+1</f>
        <v>4</v>
      </c>
      <c r="E64" s="297">
        <f>D64+F64-1</f>
        <v>103</v>
      </c>
      <c r="F64" s="297">
        <v>100</v>
      </c>
      <c r="G64" s="323" t="s">
        <v>1121</v>
      </c>
      <c r="H64" s="298" t="s">
        <v>20</v>
      </c>
      <c r="I64" s="298" t="s">
        <v>1119</v>
      </c>
      <c r="J64" s="324" t="s">
        <v>1122</v>
      </c>
      <c r="K64" s="314" t="s">
        <v>1107</v>
      </c>
      <c r="L64" s="325">
        <v>611</v>
      </c>
      <c r="M64" s="293" t="s">
        <v>16</v>
      </c>
    </row>
    <row r="65" spans="1:13" ht="31.5" hidden="1">
      <c r="A65" s="290" t="s">
        <v>1123</v>
      </c>
      <c r="B65" s="291" t="s">
        <v>14</v>
      </c>
      <c r="C65" s="302">
        <v>35</v>
      </c>
      <c r="D65" s="291">
        <v>1</v>
      </c>
      <c r="E65" s="291">
        <v>103</v>
      </c>
      <c r="F65" s="291">
        <v>103</v>
      </c>
      <c r="G65" s="303"/>
      <c r="H65" s="303"/>
      <c r="I65" s="303"/>
      <c r="J65" s="291"/>
      <c r="K65" s="316" t="s">
        <v>204</v>
      </c>
      <c r="L65" s="316"/>
      <c r="M65" s="316"/>
    </row>
    <row r="66" spans="1:13" ht="21" hidden="1">
      <c r="A66" s="304" t="s">
        <v>723</v>
      </c>
      <c r="B66" s="296" t="s">
        <v>18</v>
      </c>
      <c r="C66" s="297">
        <v>36</v>
      </c>
      <c r="D66" s="297">
        <v>1</v>
      </c>
      <c r="E66" s="297">
        <v>1</v>
      </c>
      <c r="F66" s="297">
        <v>1</v>
      </c>
      <c r="G66" s="298" t="s">
        <v>205</v>
      </c>
      <c r="H66" s="298"/>
      <c r="I66" s="298"/>
      <c r="J66" s="297"/>
      <c r="K66" s="297"/>
      <c r="L66" s="297"/>
      <c r="M66" s="293"/>
    </row>
    <row r="67" spans="1:13" ht="12.5" hidden="1">
      <c r="A67" s="317" t="s">
        <v>206</v>
      </c>
      <c r="B67" s="296" t="s">
        <v>207</v>
      </c>
      <c r="C67" s="297">
        <v>37</v>
      </c>
      <c r="D67" s="297">
        <v>2</v>
      </c>
      <c r="E67" s="297">
        <f>D67+F67-1</f>
        <v>10</v>
      </c>
      <c r="F67" s="297">
        <v>9</v>
      </c>
      <c r="G67" s="298" t="s">
        <v>233</v>
      </c>
      <c r="H67" s="298"/>
      <c r="I67" s="298"/>
      <c r="J67" s="297"/>
      <c r="K67" s="297"/>
      <c r="L67" s="297"/>
      <c r="M67" s="293"/>
    </row>
    <row r="68" spans="1:13" ht="13" hidden="1" thickBot="1">
      <c r="A68" s="326" t="s">
        <v>217</v>
      </c>
      <c r="B68" s="327" t="s">
        <v>1124</v>
      </c>
      <c r="C68" s="328">
        <v>38</v>
      </c>
      <c r="D68" s="328">
        <v>11</v>
      </c>
      <c r="E68" s="328">
        <f>D68+F68-1</f>
        <v>103</v>
      </c>
      <c r="F68" s="328">
        <v>93</v>
      </c>
      <c r="G68" s="329" t="s">
        <v>219</v>
      </c>
      <c r="H68" s="329"/>
      <c r="I68" s="329"/>
      <c r="J68" s="328"/>
      <c r="K68" s="328"/>
      <c r="L68" s="328"/>
      <c r="M68" s="293"/>
    </row>
    <row r="69" spans="1:13" hidden="1"/>
    <row r="70" spans="1:13" hidden="1"/>
    <row r="71" spans="1:13" s="289" customFormat="1" ht="57.75" hidden="1" customHeight="1">
      <c r="A71" s="286" t="s">
        <v>0</v>
      </c>
      <c r="B71" s="287" t="s">
        <v>1</v>
      </c>
      <c r="C71" s="287" t="s">
        <v>2</v>
      </c>
      <c r="D71" s="287" t="s">
        <v>3</v>
      </c>
      <c r="E71" s="287" t="s">
        <v>4</v>
      </c>
      <c r="F71" s="287" t="s">
        <v>5</v>
      </c>
      <c r="G71" s="287" t="s">
        <v>6</v>
      </c>
      <c r="H71" s="287" t="s">
        <v>703</v>
      </c>
      <c r="I71" s="287" t="s">
        <v>704</v>
      </c>
      <c r="J71" s="287" t="s">
        <v>705</v>
      </c>
      <c r="K71" s="287" t="s">
        <v>10</v>
      </c>
      <c r="L71" s="287" t="s">
        <v>706</v>
      </c>
      <c r="M71" s="288" t="s">
        <v>12</v>
      </c>
    </row>
    <row r="72" spans="1:13" ht="11.5" hidden="1">
      <c r="A72" s="322" t="s">
        <v>1125</v>
      </c>
      <c r="B72" s="297"/>
      <c r="C72" s="297"/>
      <c r="D72" s="297">
        <v>1</v>
      </c>
      <c r="E72" s="297">
        <v>33</v>
      </c>
      <c r="F72" s="297">
        <v>33</v>
      </c>
      <c r="G72" s="298" t="s">
        <v>210</v>
      </c>
      <c r="H72" s="298"/>
      <c r="I72" s="298"/>
      <c r="J72" s="297"/>
      <c r="K72" s="297"/>
      <c r="L72" s="297"/>
      <c r="M72" s="293" t="s">
        <v>16</v>
      </c>
    </row>
    <row r="73" spans="1:13" ht="10.5" hidden="1">
      <c r="A73" s="290" t="s">
        <v>1126</v>
      </c>
      <c r="B73" s="291" t="s">
        <v>14</v>
      </c>
      <c r="C73" s="291">
        <v>1</v>
      </c>
      <c r="D73" s="291">
        <v>1</v>
      </c>
      <c r="E73" s="291">
        <v>33</v>
      </c>
      <c r="F73" s="291">
        <v>33</v>
      </c>
      <c r="G73" s="292"/>
      <c r="H73" s="292"/>
      <c r="I73" s="292"/>
      <c r="J73" s="291"/>
      <c r="K73" s="291"/>
      <c r="L73" s="291"/>
      <c r="M73" s="293" t="s">
        <v>16</v>
      </c>
    </row>
    <row r="74" spans="1:13" ht="21" hidden="1">
      <c r="A74" s="295" t="s">
        <v>17</v>
      </c>
      <c r="B74" s="296" t="s">
        <v>18</v>
      </c>
      <c r="C74" s="297">
        <v>2</v>
      </c>
      <c r="D74" s="297">
        <v>1</v>
      </c>
      <c r="E74" s="297">
        <f>D74+F74-1</f>
        <v>1</v>
      </c>
      <c r="F74" s="297">
        <v>1</v>
      </c>
      <c r="G74" s="298" t="s">
        <v>19</v>
      </c>
      <c r="H74" s="298"/>
      <c r="I74" s="298"/>
      <c r="J74" s="297"/>
      <c r="K74" s="297"/>
      <c r="L74" s="297"/>
      <c r="M74" s="293" t="s">
        <v>16</v>
      </c>
    </row>
    <row r="75" spans="1:13" ht="12.5" hidden="1">
      <c r="A75" s="295" t="s">
        <v>212</v>
      </c>
      <c r="B75" s="296" t="s">
        <v>213</v>
      </c>
      <c r="C75" s="297">
        <v>3</v>
      </c>
      <c r="D75" s="297">
        <f>E74+1</f>
        <v>2</v>
      </c>
      <c r="E75" s="297">
        <f>D75+F75-1</f>
        <v>9</v>
      </c>
      <c r="F75" s="297">
        <v>8</v>
      </c>
      <c r="G75" s="301" t="s">
        <v>1101</v>
      </c>
      <c r="H75" s="301"/>
      <c r="I75" s="301"/>
      <c r="J75" s="297"/>
      <c r="K75" s="297"/>
      <c r="L75" s="297"/>
      <c r="M75" s="293" t="s">
        <v>16</v>
      </c>
    </row>
    <row r="76" spans="1:13" ht="12.5" hidden="1">
      <c r="A76" s="295" t="s">
        <v>215</v>
      </c>
      <c r="B76" s="296" t="s">
        <v>216</v>
      </c>
      <c r="C76" s="297">
        <v>4</v>
      </c>
      <c r="D76" s="297">
        <f>E75+1</f>
        <v>10</v>
      </c>
      <c r="E76" s="297">
        <f>D76+F76-1</f>
        <v>17</v>
      </c>
      <c r="F76" s="297">
        <v>8</v>
      </c>
      <c r="G76" s="301" t="s">
        <v>1003</v>
      </c>
      <c r="H76" s="301"/>
      <c r="I76" s="301"/>
      <c r="J76" s="297"/>
      <c r="K76" s="297"/>
      <c r="L76" s="297"/>
      <c r="M76" s="293" t="s">
        <v>16</v>
      </c>
    </row>
    <row r="77" spans="1:13" hidden="1">
      <c r="A77" s="317" t="s">
        <v>217</v>
      </c>
      <c r="B77" s="314" t="s">
        <v>250</v>
      </c>
      <c r="C77" s="297">
        <v>5</v>
      </c>
      <c r="D77" s="297">
        <f>E76+1</f>
        <v>18</v>
      </c>
      <c r="E77" s="297">
        <f>D77+F77-1</f>
        <v>33</v>
      </c>
      <c r="F77" s="297">
        <v>16</v>
      </c>
      <c r="G77" s="298" t="s">
        <v>219</v>
      </c>
      <c r="H77" s="298"/>
      <c r="I77" s="298"/>
      <c r="J77" s="297"/>
      <c r="K77" s="297"/>
      <c r="L77" s="297"/>
      <c r="M77" s="293" t="s">
        <v>16</v>
      </c>
    </row>
    <row r="78" spans="1:13" ht="10.5" hidden="1">
      <c r="A78" s="290" t="s">
        <v>1127</v>
      </c>
      <c r="B78" s="291" t="s">
        <v>14</v>
      </c>
      <c r="C78" s="302">
        <v>6</v>
      </c>
      <c r="D78" s="291">
        <v>1</v>
      </c>
      <c r="E78" s="291">
        <v>33</v>
      </c>
      <c r="F78" s="291">
        <v>33</v>
      </c>
      <c r="G78" s="303"/>
      <c r="H78" s="303"/>
      <c r="I78" s="303"/>
      <c r="J78" s="291"/>
      <c r="K78" s="291"/>
      <c r="L78" s="291"/>
      <c r="M78" s="293" t="s">
        <v>16</v>
      </c>
    </row>
    <row r="79" spans="1:13" ht="21" hidden="1">
      <c r="A79" s="304" t="s">
        <v>723</v>
      </c>
      <c r="B79" s="296" t="s">
        <v>18</v>
      </c>
      <c r="C79" s="297">
        <v>7</v>
      </c>
      <c r="D79" s="305">
        <v>1</v>
      </c>
      <c r="E79" s="297">
        <f>D79+F79-1</f>
        <v>1</v>
      </c>
      <c r="F79" s="305">
        <v>1</v>
      </c>
      <c r="G79" s="298" t="s">
        <v>38</v>
      </c>
      <c r="H79" s="298"/>
      <c r="I79" s="298"/>
      <c r="J79" s="305"/>
      <c r="K79" s="305"/>
      <c r="L79" s="305"/>
      <c r="M79" s="293" t="s">
        <v>16</v>
      </c>
    </row>
    <row r="80" spans="1:13" ht="24" hidden="1" customHeight="1">
      <c r="A80" s="312" t="s">
        <v>252</v>
      </c>
      <c r="B80" s="296" t="s">
        <v>1128</v>
      </c>
      <c r="C80" s="297">
        <v>8</v>
      </c>
      <c r="D80" s="297">
        <f>E79+1</f>
        <v>2</v>
      </c>
      <c r="E80" s="297">
        <f>D80+F80-1</f>
        <v>3</v>
      </c>
      <c r="F80" s="297">
        <v>2</v>
      </c>
      <c r="G80" s="323" t="s">
        <v>1129</v>
      </c>
      <c r="H80" s="298" t="s">
        <v>20</v>
      </c>
      <c r="I80" s="298" t="s">
        <v>255</v>
      </c>
      <c r="J80" s="324" t="s">
        <v>1130</v>
      </c>
      <c r="K80" s="314" t="s">
        <v>1107</v>
      </c>
      <c r="L80" s="325">
        <v>611</v>
      </c>
      <c r="M80" s="293" t="s">
        <v>16</v>
      </c>
    </row>
    <row r="81" spans="1:13" ht="24" hidden="1" customHeight="1">
      <c r="A81" s="312" t="s">
        <v>257</v>
      </c>
      <c r="B81" s="296" t="s">
        <v>1128</v>
      </c>
      <c r="C81" s="297">
        <v>8</v>
      </c>
      <c r="D81" s="297">
        <f>E80+1</f>
        <v>4</v>
      </c>
      <c r="E81" s="297">
        <f>D81+F81-1</f>
        <v>33</v>
      </c>
      <c r="F81" s="297">
        <v>30</v>
      </c>
      <c r="G81" s="323" t="s">
        <v>1131</v>
      </c>
      <c r="H81" s="298" t="s">
        <v>20</v>
      </c>
      <c r="I81" s="298" t="s">
        <v>255</v>
      </c>
      <c r="J81" s="324" t="s">
        <v>1132</v>
      </c>
      <c r="K81" s="314" t="s">
        <v>1107</v>
      </c>
      <c r="L81" s="325">
        <v>611</v>
      </c>
      <c r="M81" s="293" t="s">
        <v>16</v>
      </c>
    </row>
    <row r="82" spans="1:13" ht="31.5" hidden="1">
      <c r="A82" s="290" t="s">
        <v>1133</v>
      </c>
      <c r="B82" s="291" t="s">
        <v>14</v>
      </c>
      <c r="C82" s="302">
        <v>35</v>
      </c>
      <c r="D82" s="291">
        <v>1</v>
      </c>
      <c r="E82" s="291">
        <v>33</v>
      </c>
      <c r="F82" s="291">
        <v>33</v>
      </c>
      <c r="G82" s="303"/>
      <c r="H82" s="303"/>
      <c r="I82" s="303"/>
      <c r="J82" s="291"/>
      <c r="K82" s="316" t="s">
        <v>204</v>
      </c>
      <c r="L82" s="316"/>
      <c r="M82" s="316"/>
    </row>
    <row r="83" spans="1:13" ht="21" hidden="1">
      <c r="A83" s="304" t="s">
        <v>723</v>
      </c>
      <c r="B83" s="296" t="s">
        <v>18</v>
      </c>
      <c r="C83" s="297">
        <v>36</v>
      </c>
      <c r="D83" s="297">
        <v>1</v>
      </c>
      <c r="E83" s="297">
        <v>1</v>
      </c>
      <c r="F83" s="297">
        <v>1</v>
      </c>
      <c r="G83" s="298" t="s">
        <v>205</v>
      </c>
      <c r="H83" s="298"/>
      <c r="I83" s="298"/>
      <c r="J83" s="297"/>
      <c r="K83" s="297"/>
      <c r="L83" s="297"/>
      <c r="M83" s="293"/>
    </row>
    <row r="84" spans="1:13" ht="12.5" hidden="1">
      <c r="A84" s="317" t="s">
        <v>206</v>
      </c>
      <c r="B84" s="296" t="s">
        <v>207</v>
      </c>
      <c r="C84" s="297">
        <v>37</v>
      </c>
      <c r="D84" s="297">
        <v>2</v>
      </c>
      <c r="E84" s="297">
        <f>D84+F84-1</f>
        <v>10</v>
      </c>
      <c r="F84" s="297">
        <v>9</v>
      </c>
      <c r="G84" s="298" t="s">
        <v>233</v>
      </c>
      <c r="H84" s="298"/>
      <c r="I84" s="298"/>
      <c r="J84" s="297"/>
      <c r="K84" s="297"/>
      <c r="L84" s="297"/>
      <c r="M84" s="293"/>
    </row>
    <row r="85" spans="1:13" ht="13" hidden="1" thickBot="1">
      <c r="A85" s="326" t="s">
        <v>217</v>
      </c>
      <c r="B85" s="327" t="s">
        <v>1134</v>
      </c>
      <c r="C85" s="328">
        <v>38</v>
      </c>
      <c r="D85" s="328">
        <v>11</v>
      </c>
      <c r="E85" s="328">
        <f>D85+F85-1</f>
        <v>33</v>
      </c>
      <c r="F85" s="328">
        <v>23</v>
      </c>
      <c r="G85" s="329" t="s">
        <v>219</v>
      </c>
      <c r="H85" s="329"/>
      <c r="I85" s="329"/>
      <c r="J85" s="328"/>
      <c r="K85" s="328"/>
      <c r="L85" s="328"/>
      <c r="M85" s="293"/>
    </row>
    <row r="86" spans="1:13" hidden="1"/>
    <row r="87" spans="1:13" hidden="1"/>
    <row r="88" spans="1:13" s="289" customFormat="1" ht="57.75" hidden="1" customHeight="1">
      <c r="A88" s="286" t="s">
        <v>0</v>
      </c>
      <c r="B88" s="287" t="s">
        <v>1</v>
      </c>
      <c r="C88" s="287" t="s">
        <v>2</v>
      </c>
      <c r="D88" s="287" t="s">
        <v>3</v>
      </c>
      <c r="E88" s="287" t="s">
        <v>4</v>
      </c>
      <c r="F88" s="287" t="s">
        <v>5</v>
      </c>
      <c r="G88" s="287" t="s">
        <v>6</v>
      </c>
      <c r="H88" s="287" t="s">
        <v>703</v>
      </c>
      <c r="I88" s="287" t="s">
        <v>704</v>
      </c>
      <c r="J88" s="287" t="s">
        <v>705</v>
      </c>
      <c r="K88" s="287" t="s">
        <v>10</v>
      </c>
      <c r="L88" s="287" t="s">
        <v>706</v>
      </c>
      <c r="M88" s="288" t="s">
        <v>12</v>
      </c>
    </row>
    <row r="89" spans="1:13" ht="11.5" hidden="1">
      <c r="A89" s="322" t="s">
        <v>1135</v>
      </c>
      <c r="B89" s="297"/>
      <c r="C89" s="297"/>
      <c r="D89" s="297">
        <v>1</v>
      </c>
      <c r="E89" s="297">
        <v>33</v>
      </c>
      <c r="F89" s="297">
        <v>33</v>
      </c>
      <c r="G89" s="298" t="s">
        <v>210</v>
      </c>
      <c r="H89" s="298"/>
      <c r="I89" s="298"/>
      <c r="J89" s="297"/>
      <c r="K89" s="297"/>
      <c r="L89" s="297"/>
      <c r="M89" s="293" t="s">
        <v>16</v>
      </c>
    </row>
    <row r="90" spans="1:13" ht="10.5" hidden="1">
      <c r="A90" s="290" t="s">
        <v>1136</v>
      </c>
      <c r="B90" s="291" t="s">
        <v>14</v>
      </c>
      <c r="C90" s="291">
        <v>1</v>
      </c>
      <c r="D90" s="291">
        <v>1</v>
      </c>
      <c r="E90" s="291">
        <v>33</v>
      </c>
      <c r="F90" s="291">
        <v>33</v>
      </c>
      <c r="G90" s="292"/>
      <c r="H90" s="292"/>
      <c r="I90" s="292"/>
      <c r="J90" s="291"/>
      <c r="K90" s="291"/>
      <c r="L90" s="291"/>
      <c r="M90" s="293" t="s">
        <v>16</v>
      </c>
    </row>
    <row r="91" spans="1:13" ht="21" hidden="1">
      <c r="A91" s="295" t="s">
        <v>17</v>
      </c>
      <c r="B91" s="296" t="s">
        <v>18</v>
      </c>
      <c r="C91" s="297">
        <v>2</v>
      </c>
      <c r="D91" s="297">
        <v>1</v>
      </c>
      <c r="E91" s="297">
        <f>D91+F91-1</f>
        <v>1</v>
      </c>
      <c r="F91" s="297">
        <v>1</v>
      </c>
      <c r="G91" s="298" t="s">
        <v>19</v>
      </c>
      <c r="H91" s="298"/>
      <c r="I91" s="298"/>
      <c r="J91" s="297"/>
      <c r="K91" s="297"/>
      <c r="L91" s="297"/>
      <c r="M91" s="293" t="s">
        <v>16</v>
      </c>
    </row>
    <row r="92" spans="1:13" ht="12.5" hidden="1">
      <c r="A92" s="295" t="s">
        <v>212</v>
      </c>
      <c r="B92" s="296" t="s">
        <v>213</v>
      </c>
      <c r="C92" s="297">
        <v>3</v>
      </c>
      <c r="D92" s="297">
        <f>E91+1</f>
        <v>2</v>
      </c>
      <c r="E92" s="297">
        <f>D92+F92-1</f>
        <v>9</v>
      </c>
      <c r="F92" s="297">
        <v>8</v>
      </c>
      <c r="G92" s="301" t="s">
        <v>1101</v>
      </c>
      <c r="H92" s="301"/>
      <c r="I92" s="301"/>
      <c r="J92" s="297"/>
      <c r="K92" s="297"/>
      <c r="L92" s="297"/>
      <c r="M92" s="293" t="s">
        <v>16</v>
      </c>
    </row>
    <row r="93" spans="1:13" ht="12.5" hidden="1">
      <c r="A93" s="295" t="s">
        <v>215</v>
      </c>
      <c r="B93" s="296" t="s">
        <v>216</v>
      </c>
      <c r="C93" s="297">
        <v>4</v>
      </c>
      <c r="D93" s="297">
        <f>E92+1</f>
        <v>10</v>
      </c>
      <c r="E93" s="297">
        <f>D93+F93-1</f>
        <v>17</v>
      </c>
      <c r="F93" s="297">
        <v>8</v>
      </c>
      <c r="G93" s="301" t="s">
        <v>1003</v>
      </c>
      <c r="H93" s="301"/>
      <c r="I93" s="301"/>
      <c r="J93" s="297"/>
      <c r="K93" s="297"/>
      <c r="L93" s="297"/>
      <c r="M93" s="293" t="s">
        <v>16</v>
      </c>
    </row>
    <row r="94" spans="1:13" hidden="1">
      <c r="A94" s="317" t="s">
        <v>217</v>
      </c>
      <c r="B94" s="314" t="s">
        <v>250</v>
      </c>
      <c r="C94" s="297">
        <v>5</v>
      </c>
      <c r="D94" s="297">
        <f>E93+1</f>
        <v>18</v>
      </c>
      <c r="E94" s="297">
        <f>D94+F94-1</f>
        <v>33</v>
      </c>
      <c r="F94" s="297">
        <v>16</v>
      </c>
      <c r="G94" s="298" t="s">
        <v>219</v>
      </c>
      <c r="H94" s="298"/>
      <c r="I94" s="298"/>
      <c r="J94" s="297"/>
      <c r="K94" s="297"/>
      <c r="L94" s="297"/>
      <c r="M94" s="293" t="s">
        <v>16</v>
      </c>
    </row>
    <row r="95" spans="1:13" ht="10.5" hidden="1">
      <c r="A95" s="290" t="s">
        <v>1137</v>
      </c>
      <c r="B95" s="291" t="s">
        <v>14</v>
      </c>
      <c r="C95" s="302">
        <v>6</v>
      </c>
      <c r="D95" s="291">
        <v>1</v>
      </c>
      <c r="E95" s="291">
        <v>33</v>
      </c>
      <c r="F95" s="291">
        <v>33</v>
      </c>
      <c r="G95" s="303"/>
      <c r="H95" s="303"/>
      <c r="I95" s="303"/>
      <c r="J95" s="291"/>
      <c r="K95" s="291"/>
      <c r="L95" s="291"/>
      <c r="M95" s="293" t="s">
        <v>16</v>
      </c>
    </row>
    <row r="96" spans="1:13" ht="21" hidden="1">
      <c r="A96" s="304" t="s">
        <v>723</v>
      </c>
      <c r="B96" s="296" t="s">
        <v>18</v>
      </c>
      <c r="C96" s="297">
        <v>7</v>
      </c>
      <c r="D96" s="305">
        <v>1</v>
      </c>
      <c r="E96" s="297">
        <f>D96+F96-1</f>
        <v>1</v>
      </c>
      <c r="F96" s="305">
        <v>1</v>
      </c>
      <c r="G96" s="298" t="s">
        <v>38</v>
      </c>
      <c r="H96" s="298"/>
      <c r="I96" s="298"/>
      <c r="J96" s="305"/>
      <c r="K96" s="305"/>
      <c r="L96" s="305"/>
      <c r="M96" s="293" t="s">
        <v>16</v>
      </c>
    </row>
    <row r="97" spans="1:13" ht="24" hidden="1" customHeight="1">
      <c r="A97" s="312" t="s">
        <v>265</v>
      </c>
      <c r="B97" s="296" t="s">
        <v>1128</v>
      </c>
      <c r="C97" s="297">
        <v>8</v>
      </c>
      <c r="D97" s="297">
        <f>E96+1</f>
        <v>2</v>
      </c>
      <c r="E97" s="297">
        <f>D97+F97-1</f>
        <v>3</v>
      </c>
      <c r="F97" s="297">
        <v>2</v>
      </c>
      <c r="G97" s="323" t="s">
        <v>1138</v>
      </c>
      <c r="H97" s="298" t="s">
        <v>20</v>
      </c>
      <c r="I97" s="298" t="s">
        <v>1139</v>
      </c>
      <c r="J97" s="324" t="s">
        <v>1140</v>
      </c>
      <c r="K97" s="314" t="s">
        <v>1107</v>
      </c>
      <c r="L97" s="325">
        <v>611</v>
      </c>
      <c r="M97" s="293" t="s">
        <v>16</v>
      </c>
    </row>
    <row r="98" spans="1:13" ht="24" hidden="1" customHeight="1">
      <c r="A98" s="312" t="s">
        <v>269</v>
      </c>
      <c r="B98" s="296" t="s">
        <v>1128</v>
      </c>
      <c r="C98" s="297">
        <v>8</v>
      </c>
      <c r="D98" s="297">
        <f>E97+1</f>
        <v>4</v>
      </c>
      <c r="E98" s="297">
        <f>D98+F98-1</f>
        <v>33</v>
      </c>
      <c r="F98" s="297">
        <v>30</v>
      </c>
      <c r="G98" s="323" t="s">
        <v>1141</v>
      </c>
      <c r="H98" s="298" t="s">
        <v>20</v>
      </c>
      <c r="I98" s="298" t="s">
        <v>271</v>
      </c>
      <c r="J98" s="324" t="s">
        <v>1142</v>
      </c>
      <c r="K98" s="314" t="s">
        <v>1107</v>
      </c>
      <c r="L98" s="325">
        <v>611</v>
      </c>
      <c r="M98" s="293" t="s">
        <v>16</v>
      </c>
    </row>
    <row r="99" spans="1:13" ht="31.5" hidden="1">
      <c r="A99" s="290" t="s">
        <v>1143</v>
      </c>
      <c r="B99" s="291" t="s">
        <v>14</v>
      </c>
      <c r="C99" s="302">
        <v>35</v>
      </c>
      <c r="D99" s="291">
        <v>1</v>
      </c>
      <c r="E99" s="291">
        <v>33</v>
      </c>
      <c r="F99" s="291">
        <v>33</v>
      </c>
      <c r="G99" s="303"/>
      <c r="H99" s="303"/>
      <c r="I99" s="303"/>
      <c r="J99" s="291"/>
      <c r="K99" s="316" t="s">
        <v>204</v>
      </c>
      <c r="L99" s="316"/>
      <c r="M99" s="316"/>
    </row>
    <row r="100" spans="1:13" ht="21" hidden="1">
      <c r="A100" s="304" t="s">
        <v>723</v>
      </c>
      <c r="B100" s="296" t="s">
        <v>18</v>
      </c>
      <c r="C100" s="297">
        <v>36</v>
      </c>
      <c r="D100" s="297">
        <v>1</v>
      </c>
      <c r="E100" s="297">
        <v>1</v>
      </c>
      <c r="F100" s="297">
        <v>1</v>
      </c>
      <c r="G100" s="298" t="s">
        <v>205</v>
      </c>
      <c r="H100" s="298"/>
      <c r="I100" s="298"/>
      <c r="J100" s="297"/>
      <c r="K100" s="297"/>
      <c r="L100" s="297"/>
      <c r="M100" s="293"/>
    </row>
    <row r="101" spans="1:13" ht="12.5" hidden="1">
      <c r="A101" s="317" t="s">
        <v>206</v>
      </c>
      <c r="B101" s="296" t="s">
        <v>207</v>
      </c>
      <c r="C101" s="297">
        <v>37</v>
      </c>
      <c r="D101" s="297">
        <v>2</v>
      </c>
      <c r="E101" s="297">
        <f>D101+F101-1</f>
        <v>10</v>
      </c>
      <c r="F101" s="297">
        <v>9</v>
      </c>
      <c r="G101" s="298" t="s">
        <v>233</v>
      </c>
      <c r="H101" s="298"/>
      <c r="I101" s="298"/>
      <c r="J101" s="297"/>
      <c r="K101" s="297"/>
      <c r="L101" s="297"/>
      <c r="M101" s="293"/>
    </row>
    <row r="102" spans="1:13" ht="13" hidden="1" thickBot="1">
      <c r="A102" s="326" t="s">
        <v>217</v>
      </c>
      <c r="B102" s="327" t="s">
        <v>1134</v>
      </c>
      <c r="C102" s="328">
        <v>38</v>
      </c>
      <c r="D102" s="328">
        <v>11</v>
      </c>
      <c r="E102" s="328">
        <f>D102+F102-1</f>
        <v>33</v>
      </c>
      <c r="F102" s="328">
        <v>23</v>
      </c>
      <c r="G102" s="329" t="s">
        <v>219</v>
      </c>
      <c r="H102" s="329"/>
      <c r="I102" s="329"/>
      <c r="J102" s="328"/>
      <c r="K102" s="328"/>
      <c r="L102" s="328"/>
      <c r="M102" s="293"/>
    </row>
    <row r="103" spans="1:13" hidden="1"/>
    <row r="104" spans="1:13" hidden="1"/>
    <row r="105" spans="1:13" s="289" customFormat="1" ht="57.75" hidden="1" customHeight="1">
      <c r="A105" s="286" t="s">
        <v>0</v>
      </c>
      <c r="B105" s="287" t="s">
        <v>1</v>
      </c>
      <c r="C105" s="287" t="s">
        <v>2</v>
      </c>
      <c r="D105" s="287" t="s">
        <v>3</v>
      </c>
      <c r="E105" s="287" t="s">
        <v>4</v>
      </c>
      <c r="F105" s="287" t="s">
        <v>5</v>
      </c>
      <c r="G105" s="287" t="s">
        <v>6</v>
      </c>
      <c r="H105" s="287" t="s">
        <v>703</v>
      </c>
      <c r="I105" s="287" t="s">
        <v>704</v>
      </c>
      <c r="J105" s="287" t="s">
        <v>705</v>
      </c>
      <c r="K105" s="287" t="s">
        <v>10</v>
      </c>
      <c r="L105" s="287" t="s">
        <v>706</v>
      </c>
      <c r="M105" s="288" t="s">
        <v>12</v>
      </c>
    </row>
    <row r="106" spans="1:13" ht="11.5" hidden="1">
      <c r="A106" s="322" t="s">
        <v>1144</v>
      </c>
      <c r="B106" s="297"/>
      <c r="C106" s="297"/>
      <c r="D106" s="297">
        <v>1</v>
      </c>
      <c r="E106" s="297">
        <v>24</v>
      </c>
      <c r="F106" s="297">
        <v>24</v>
      </c>
      <c r="G106" s="298" t="s">
        <v>210</v>
      </c>
      <c r="H106" s="298"/>
      <c r="I106" s="298"/>
      <c r="J106" s="297"/>
      <c r="K106" s="297"/>
      <c r="L106" s="297"/>
      <c r="M106" s="293" t="s">
        <v>16</v>
      </c>
    </row>
    <row r="107" spans="1:13" ht="10.5" hidden="1">
      <c r="A107" s="290" t="s">
        <v>1145</v>
      </c>
      <c r="B107" s="291" t="s">
        <v>14</v>
      </c>
      <c r="C107" s="291">
        <v>1</v>
      </c>
      <c r="D107" s="291">
        <v>1</v>
      </c>
      <c r="E107" s="291">
        <v>24</v>
      </c>
      <c r="F107" s="291">
        <v>24</v>
      </c>
      <c r="G107" s="292"/>
      <c r="H107" s="292"/>
      <c r="I107" s="292"/>
      <c r="J107" s="291"/>
      <c r="K107" s="291"/>
      <c r="L107" s="291"/>
      <c r="M107" s="293" t="s">
        <v>16</v>
      </c>
    </row>
    <row r="108" spans="1:13" ht="21" hidden="1">
      <c r="A108" s="295" t="s">
        <v>17</v>
      </c>
      <c r="B108" s="296" t="s">
        <v>18</v>
      </c>
      <c r="C108" s="297">
        <v>2</v>
      </c>
      <c r="D108" s="297">
        <v>1</v>
      </c>
      <c r="E108" s="297">
        <f>D108+F108-1</f>
        <v>1</v>
      </c>
      <c r="F108" s="297">
        <v>1</v>
      </c>
      <c r="G108" s="298" t="s">
        <v>19</v>
      </c>
      <c r="H108" s="298"/>
      <c r="I108" s="298"/>
      <c r="J108" s="297"/>
      <c r="K108" s="297"/>
      <c r="L108" s="297"/>
      <c r="M108" s="293" t="s">
        <v>16</v>
      </c>
    </row>
    <row r="109" spans="1:13" ht="12.5" hidden="1">
      <c r="A109" s="295" t="s">
        <v>212</v>
      </c>
      <c r="B109" s="296" t="s">
        <v>213</v>
      </c>
      <c r="C109" s="297">
        <v>3</v>
      </c>
      <c r="D109" s="297">
        <f>E108+1</f>
        <v>2</v>
      </c>
      <c r="E109" s="297">
        <f>D109+F109-1</f>
        <v>9</v>
      </c>
      <c r="F109" s="297">
        <v>8</v>
      </c>
      <c r="G109" s="301" t="s">
        <v>1101</v>
      </c>
      <c r="H109" s="301"/>
      <c r="I109" s="301"/>
      <c r="J109" s="297"/>
      <c r="K109" s="297"/>
      <c r="L109" s="297"/>
      <c r="M109" s="293" t="s">
        <v>16</v>
      </c>
    </row>
    <row r="110" spans="1:13" ht="12.5" hidden="1">
      <c r="A110" s="295" t="s">
        <v>215</v>
      </c>
      <c r="B110" s="296" t="s">
        <v>216</v>
      </c>
      <c r="C110" s="297">
        <v>4</v>
      </c>
      <c r="D110" s="297">
        <f>E109+1</f>
        <v>10</v>
      </c>
      <c r="E110" s="297">
        <f>D110+F110-1</f>
        <v>17</v>
      </c>
      <c r="F110" s="297">
        <v>8</v>
      </c>
      <c r="G110" s="301" t="s">
        <v>1003</v>
      </c>
      <c r="H110" s="301"/>
      <c r="I110" s="301"/>
      <c r="J110" s="297"/>
      <c r="K110" s="297"/>
      <c r="L110" s="297"/>
      <c r="M110" s="293" t="s">
        <v>16</v>
      </c>
    </row>
    <row r="111" spans="1:13" hidden="1">
      <c r="A111" s="317" t="s">
        <v>217</v>
      </c>
      <c r="B111" s="314" t="s">
        <v>236</v>
      </c>
      <c r="C111" s="297">
        <v>5</v>
      </c>
      <c r="D111" s="297">
        <f>E110+1</f>
        <v>18</v>
      </c>
      <c r="E111" s="297">
        <f>D111+F111-1</f>
        <v>24</v>
      </c>
      <c r="F111" s="297">
        <v>7</v>
      </c>
      <c r="G111" s="298" t="s">
        <v>219</v>
      </c>
      <c r="H111" s="298"/>
      <c r="I111" s="298"/>
      <c r="J111" s="297"/>
      <c r="K111" s="297"/>
      <c r="L111" s="297"/>
      <c r="M111" s="293" t="s">
        <v>16</v>
      </c>
    </row>
    <row r="112" spans="1:13" ht="10.5" hidden="1">
      <c r="A112" s="290" t="s">
        <v>1146</v>
      </c>
      <c r="B112" s="291" t="s">
        <v>14</v>
      </c>
      <c r="C112" s="302">
        <v>6</v>
      </c>
      <c r="D112" s="291">
        <v>1</v>
      </c>
      <c r="E112" s="291">
        <v>24</v>
      </c>
      <c r="F112" s="291">
        <v>24</v>
      </c>
      <c r="G112" s="303"/>
      <c r="H112" s="303"/>
      <c r="I112" s="303"/>
      <c r="J112" s="291"/>
      <c r="K112" s="291"/>
      <c r="L112" s="291"/>
      <c r="M112" s="293" t="s">
        <v>16</v>
      </c>
    </row>
    <row r="113" spans="1:13" ht="21" hidden="1">
      <c r="A113" s="304" t="s">
        <v>723</v>
      </c>
      <c r="B113" s="296" t="s">
        <v>18</v>
      </c>
      <c r="C113" s="297">
        <v>7</v>
      </c>
      <c r="D113" s="305">
        <v>1</v>
      </c>
      <c r="E113" s="297">
        <f>D113+F113-1</f>
        <v>1</v>
      </c>
      <c r="F113" s="305">
        <v>1</v>
      </c>
      <c r="G113" s="298" t="s">
        <v>38</v>
      </c>
      <c r="H113" s="298"/>
      <c r="I113" s="298"/>
      <c r="J113" s="305"/>
      <c r="K113" s="305"/>
      <c r="L113" s="305"/>
      <c r="M113" s="293" t="s">
        <v>16</v>
      </c>
    </row>
    <row r="114" spans="1:13" ht="24" hidden="1" customHeight="1">
      <c r="A114" s="312" t="s">
        <v>277</v>
      </c>
      <c r="B114" s="296" t="s">
        <v>1111</v>
      </c>
      <c r="C114" s="297">
        <v>8</v>
      </c>
      <c r="D114" s="297">
        <f>E113+1</f>
        <v>2</v>
      </c>
      <c r="E114" s="297">
        <f>D114+F114-1</f>
        <v>4</v>
      </c>
      <c r="F114" s="297">
        <v>3</v>
      </c>
      <c r="G114" s="323" t="s">
        <v>1147</v>
      </c>
      <c r="H114" s="298" t="s">
        <v>20</v>
      </c>
      <c r="I114" s="298" t="s">
        <v>1148</v>
      </c>
      <c r="J114" s="324" t="s">
        <v>1149</v>
      </c>
      <c r="K114" s="314" t="s">
        <v>1107</v>
      </c>
      <c r="L114" s="325">
        <v>611</v>
      </c>
      <c r="M114" s="293" t="s">
        <v>16</v>
      </c>
    </row>
    <row r="115" spans="1:13" ht="24" hidden="1" customHeight="1">
      <c r="A115" s="312" t="s">
        <v>281</v>
      </c>
      <c r="B115" s="296" t="s">
        <v>1014</v>
      </c>
      <c r="C115" s="297">
        <v>8</v>
      </c>
      <c r="D115" s="297">
        <f>E114+1</f>
        <v>5</v>
      </c>
      <c r="E115" s="297">
        <f>D115+F115-1</f>
        <v>24</v>
      </c>
      <c r="F115" s="297">
        <v>20</v>
      </c>
      <c r="G115" s="323" t="s">
        <v>1150</v>
      </c>
      <c r="H115" s="298" t="s">
        <v>20</v>
      </c>
      <c r="I115" s="298" t="s">
        <v>283</v>
      </c>
      <c r="J115" s="324" t="s">
        <v>1151</v>
      </c>
      <c r="K115" s="314" t="s">
        <v>1107</v>
      </c>
      <c r="L115" s="325">
        <v>611</v>
      </c>
      <c r="M115" s="293" t="s">
        <v>16</v>
      </c>
    </row>
    <row r="116" spans="1:13" ht="31.5" hidden="1">
      <c r="A116" s="290" t="s">
        <v>1152</v>
      </c>
      <c r="B116" s="291" t="s">
        <v>14</v>
      </c>
      <c r="C116" s="302">
        <v>35</v>
      </c>
      <c r="D116" s="291">
        <v>1</v>
      </c>
      <c r="E116" s="291">
        <v>24</v>
      </c>
      <c r="F116" s="291">
        <v>24</v>
      </c>
      <c r="G116" s="303"/>
      <c r="H116" s="303"/>
      <c r="I116" s="303"/>
      <c r="J116" s="291"/>
      <c r="K116" s="316" t="s">
        <v>204</v>
      </c>
      <c r="L116" s="316"/>
      <c r="M116" s="316"/>
    </row>
    <row r="117" spans="1:13" ht="21" hidden="1">
      <c r="A117" s="304" t="s">
        <v>723</v>
      </c>
      <c r="B117" s="296" t="s">
        <v>18</v>
      </c>
      <c r="C117" s="297">
        <v>36</v>
      </c>
      <c r="D117" s="297">
        <v>1</v>
      </c>
      <c r="E117" s="297">
        <v>1</v>
      </c>
      <c r="F117" s="297">
        <v>1</v>
      </c>
      <c r="G117" s="298" t="s">
        <v>205</v>
      </c>
      <c r="H117" s="298"/>
      <c r="I117" s="298"/>
      <c r="J117" s="297"/>
      <c r="K117" s="297"/>
      <c r="L117" s="297"/>
      <c r="M117" s="293"/>
    </row>
    <row r="118" spans="1:13" ht="12.5" hidden="1">
      <c r="A118" s="317" t="s">
        <v>206</v>
      </c>
      <c r="B118" s="296" t="s">
        <v>207</v>
      </c>
      <c r="C118" s="297">
        <v>37</v>
      </c>
      <c r="D118" s="297">
        <v>2</v>
      </c>
      <c r="E118" s="297">
        <f>D118+F118-1</f>
        <v>10</v>
      </c>
      <c r="F118" s="297">
        <v>9</v>
      </c>
      <c r="G118" s="298" t="s">
        <v>233</v>
      </c>
      <c r="H118" s="298"/>
      <c r="I118" s="298"/>
      <c r="J118" s="297"/>
      <c r="K118" s="297"/>
      <c r="L118" s="297"/>
      <c r="M118" s="293"/>
    </row>
    <row r="119" spans="1:13" ht="13" hidden="1" thickBot="1">
      <c r="A119" s="326" t="s">
        <v>217</v>
      </c>
      <c r="B119" s="327" t="s">
        <v>1124</v>
      </c>
      <c r="C119" s="328">
        <v>38</v>
      </c>
      <c r="D119" s="328">
        <v>11</v>
      </c>
      <c r="E119" s="328">
        <f>D119+F119-1</f>
        <v>24</v>
      </c>
      <c r="F119" s="328">
        <v>14</v>
      </c>
      <c r="G119" s="329" t="s">
        <v>219</v>
      </c>
      <c r="H119" s="329"/>
      <c r="I119" s="329"/>
      <c r="J119" s="328"/>
      <c r="K119" s="328"/>
      <c r="L119" s="328"/>
      <c r="M119" s="293"/>
    </row>
    <row r="120" spans="1:13" hidden="1"/>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245B-8A2A-402E-9071-F3839D390B5C}">
  <sheetPr codeName="Sheet2"/>
  <dimension ref="A1:W116"/>
  <sheetViews>
    <sheetView topLeftCell="A2" zoomScale="130" zoomScaleNormal="130" workbookViewId="0">
      <selection activeCell="B31" sqref="B31"/>
    </sheetView>
  </sheetViews>
  <sheetFormatPr defaultRowHeight="10"/>
  <cols>
    <col min="1" max="1" width="24.7265625" style="318" bestFit="1" customWidth="1"/>
    <col min="2" max="2" width="18.7265625" style="319" bestFit="1" customWidth="1"/>
    <col min="3" max="3" width="8.1796875" style="319" bestFit="1" customWidth="1"/>
    <col min="4" max="5" width="8.26953125" style="319" bestFit="1" customWidth="1"/>
    <col min="6" max="6" width="7.26953125" style="319" bestFit="1" customWidth="1"/>
    <col min="7" max="7" width="40" style="320" bestFit="1" customWidth="1"/>
    <col min="8" max="8" width="17.1796875" style="320" bestFit="1" customWidth="1"/>
    <col min="9" max="9" width="23.26953125" style="320" customWidth="1"/>
    <col min="10" max="10" width="28.7265625" style="319" bestFit="1" customWidth="1"/>
    <col min="11" max="12" width="9.1796875" style="319"/>
    <col min="13" max="13" width="13.26953125" style="294" customWidth="1"/>
    <col min="14" max="256" width="9.1796875" style="294"/>
    <col min="257" max="257" width="24.7265625" style="294" bestFit="1" customWidth="1"/>
    <col min="258" max="258" width="18.7265625" style="294" bestFit="1" customWidth="1"/>
    <col min="259" max="259" width="8.1796875" style="294" bestFit="1" customWidth="1"/>
    <col min="260" max="261" width="8.26953125" style="294" bestFit="1" customWidth="1"/>
    <col min="262" max="262" width="7.26953125" style="294" bestFit="1" customWidth="1"/>
    <col min="263" max="263" width="40" style="294" bestFit="1" customWidth="1"/>
    <col min="264" max="264" width="17.1796875" style="294" bestFit="1" customWidth="1"/>
    <col min="265" max="265" width="23.26953125" style="294" customWidth="1"/>
    <col min="266" max="266" width="28.7265625" style="294" bestFit="1" customWidth="1"/>
    <col min="267" max="268" width="9.1796875" style="294"/>
    <col min="269" max="269" width="13.26953125" style="294" customWidth="1"/>
    <col min="270" max="512" width="9.1796875" style="294"/>
    <col min="513" max="513" width="24.7265625" style="294" bestFit="1" customWidth="1"/>
    <col min="514" max="514" width="18.7265625" style="294" bestFit="1" customWidth="1"/>
    <col min="515" max="515" width="8.1796875" style="294" bestFit="1" customWidth="1"/>
    <col min="516" max="517" width="8.26953125" style="294" bestFit="1" customWidth="1"/>
    <col min="518" max="518" width="7.26953125" style="294" bestFit="1" customWidth="1"/>
    <col min="519" max="519" width="40" style="294" bestFit="1" customWidth="1"/>
    <col min="520" max="520" width="17.1796875" style="294" bestFit="1" customWidth="1"/>
    <col min="521" max="521" width="23.26953125" style="294" customWidth="1"/>
    <col min="522" max="522" width="28.7265625" style="294" bestFit="1" customWidth="1"/>
    <col min="523" max="524" width="9.1796875" style="294"/>
    <col min="525" max="525" width="13.26953125" style="294" customWidth="1"/>
    <col min="526" max="768" width="9.1796875" style="294"/>
    <col min="769" max="769" width="24.7265625" style="294" bestFit="1" customWidth="1"/>
    <col min="770" max="770" width="18.7265625" style="294" bestFit="1" customWidth="1"/>
    <col min="771" max="771" width="8.1796875" style="294" bestFit="1" customWidth="1"/>
    <col min="772" max="773" width="8.26953125" style="294" bestFit="1" customWidth="1"/>
    <col min="774" max="774" width="7.26953125" style="294" bestFit="1" customWidth="1"/>
    <col min="775" max="775" width="40" style="294" bestFit="1" customWidth="1"/>
    <col min="776" max="776" width="17.1796875" style="294" bestFit="1" customWidth="1"/>
    <col min="777" max="777" width="23.26953125" style="294" customWidth="1"/>
    <col min="778" max="778" width="28.7265625" style="294" bestFit="1" customWidth="1"/>
    <col min="779" max="780" width="9.1796875" style="294"/>
    <col min="781" max="781" width="13.26953125" style="294" customWidth="1"/>
    <col min="782" max="1024" width="9.1796875" style="294"/>
    <col min="1025" max="1025" width="24.7265625" style="294" bestFit="1" customWidth="1"/>
    <col min="1026" max="1026" width="18.7265625" style="294" bestFit="1" customWidth="1"/>
    <col min="1027" max="1027" width="8.1796875" style="294" bestFit="1" customWidth="1"/>
    <col min="1028" max="1029" width="8.26953125" style="294" bestFit="1" customWidth="1"/>
    <col min="1030" max="1030" width="7.26953125" style="294" bestFit="1" customWidth="1"/>
    <col min="1031" max="1031" width="40" style="294" bestFit="1" customWidth="1"/>
    <col min="1032" max="1032" width="17.1796875" style="294" bestFit="1" customWidth="1"/>
    <col min="1033" max="1033" width="23.26953125" style="294" customWidth="1"/>
    <col min="1034" max="1034" width="28.7265625" style="294" bestFit="1" customWidth="1"/>
    <col min="1035" max="1036" width="9.1796875" style="294"/>
    <col min="1037" max="1037" width="13.26953125" style="294" customWidth="1"/>
    <col min="1038" max="1280" width="9.1796875" style="294"/>
    <col min="1281" max="1281" width="24.7265625" style="294" bestFit="1" customWidth="1"/>
    <col min="1282" max="1282" width="18.7265625" style="294" bestFit="1" customWidth="1"/>
    <col min="1283" max="1283" width="8.1796875" style="294" bestFit="1" customWidth="1"/>
    <col min="1284" max="1285" width="8.26953125" style="294" bestFit="1" customWidth="1"/>
    <col min="1286" max="1286" width="7.26953125" style="294" bestFit="1" customWidth="1"/>
    <col min="1287" max="1287" width="40" style="294" bestFit="1" customWidth="1"/>
    <col min="1288" max="1288" width="17.1796875" style="294" bestFit="1" customWidth="1"/>
    <col min="1289" max="1289" width="23.26953125" style="294" customWidth="1"/>
    <col min="1290" max="1290" width="28.7265625" style="294" bestFit="1" customWidth="1"/>
    <col min="1291" max="1292" width="9.1796875" style="294"/>
    <col min="1293" max="1293" width="13.26953125" style="294" customWidth="1"/>
    <col min="1294" max="1536" width="9.1796875" style="294"/>
    <col min="1537" max="1537" width="24.7265625" style="294" bestFit="1" customWidth="1"/>
    <col min="1538" max="1538" width="18.7265625" style="294" bestFit="1" customWidth="1"/>
    <col min="1539" max="1539" width="8.1796875" style="294" bestFit="1" customWidth="1"/>
    <col min="1540" max="1541" width="8.26953125" style="294" bestFit="1" customWidth="1"/>
    <col min="1542" max="1542" width="7.26953125" style="294" bestFit="1" customWidth="1"/>
    <col min="1543" max="1543" width="40" style="294" bestFit="1" customWidth="1"/>
    <col min="1544" max="1544" width="17.1796875" style="294" bestFit="1" customWidth="1"/>
    <col min="1545" max="1545" width="23.26953125" style="294" customWidth="1"/>
    <col min="1546" max="1546" width="28.7265625" style="294" bestFit="1" customWidth="1"/>
    <col min="1547" max="1548" width="9.1796875" style="294"/>
    <col min="1549" max="1549" width="13.26953125" style="294" customWidth="1"/>
    <col min="1550" max="1792" width="9.1796875" style="294"/>
    <col min="1793" max="1793" width="24.7265625" style="294" bestFit="1" customWidth="1"/>
    <col min="1794" max="1794" width="18.7265625" style="294" bestFit="1" customWidth="1"/>
    <col min="1795" max="1795" width="8.1796875" style="294" bestFit="1" customWidth="1"/>
    <col min="1796" max="1797" width="8.26953125" style="294" bestFit="1" customWidth="1"/>
    <col min="1798" max="1798" width="7.26953125" style="294" bestFit="1" customWidth="1"/>
    <col min="1799" max="1799" width="40" style="294" bestFit="1" customWidth="1"/>
    <col min="1800" max="1800" width="17.1796875" style="294" bestFit="1" customWidth="1"/>
    <col min="1801" max="1801" width="23.26953125" style="294" customWidth="1"/>
    <col min="1802" max="1802" width="28.7265625" style="294" bestFit="1" customWidth="1"/>
    <col min="1803" max="1804" width="9.1796875" style="294"/>
    <col min="1805" max="1805" width="13.26953125" style="294" customWidth="1"/>
    <col min="1806" max="2048" width="9.1796875" style="294"/>
    <col min="2049" max="2049" width="24.7265625" style="294" bestFit="1" customWidth="1"/>
    <col min="2050" max="2050" width="18.7265625" style="294" bestFit="1" customWidth="1"/>
    <col min="2051" max="2051" width="8.1796875" style="294" bestFit="1" customWidth="1"/>
    <col min="2052" max="2053" width="8.26953125" style="294" bestFit="1" customWidth="1"/>
    <col min="2054" max="2054" width="7.26953125" style="294" bestFit="1" customWidth="1"/>
    <col min="2055" max="2055" width="40" style="294" bestFit="1" customWidth="1"/>
    <col min="2056" max="2056" width="17.1796875" style="294" bestFit="1" customWidth="1"/>
    <col min="2057" max="2057" width="23.26953125" style="294" customWidth="1"/>
    <col min="2058" max="2058" width="28.7265625" style="294" bestFit="1" customWidth="1"/>
    <col min="2059" max="2060" width="9.1796875" style="294"/>
    <col min="2061" max="2061" width="13.26953125" style="294" customWidth="1"/>
    <col min="2062" max="2304" width="9.1796875" style="294"/>
    <col min="2305" max="2305" width="24.7265625" style="294" bestFit="1" customWidth="1"/>
    <col min="2306" max="2306" width="18.7265625" style="294" bestFit="1" customWidth="1"/>
    <col min="2307" max="2307" width="8.1796875" style="294" bestFit="1" customWidth="1"/>
    <col min="2308" max="2309" width="8.26953125" style="294" bestFit="1" customWidth="1"/>
    <col min="2310" max="2310" width="7.26953125" style="294" bestFit="1" customWidth="1"/>
    <col min="2311" max="2311" width="40" style="294" bestFit="1" customWidth="1"/>
    <col min="2312" max="2312" width="17.1796875" style="294" bestFit="1" customWidth="1"/>
    <col min="2313" max="2313" width="23.26953125" style="294" customWidth="1"/>
    <col min="2314" max="2314" width="28.7265625" style="294" bestFit="1" customWidth="1"/>
    <col min="2315" max="2316" width="9.1796875" style="294"/>
    <col min="2317" max="2317" width="13.26953125" style="294" customWidth="1"/>
    <col min="2318" max="2560" width="9.1796875" style="294"/>
    <col min="2561" max="2561" width="24.7265625" style="294" bestFit="1" customWidth="1"/>
    <col min="2562" max="2562" width="18.7265625" style="294" bestFit="1" customWidth="1"/>
    <col min="2563" max="2563" width="8.1796875" style="294" bestFit="1" customWidth="1"/>
    <col min="2564" max="2565" width="8.26953125" style="294" bestFit="1" customWidth="1"/>
    <col min="2566" max="2566" width="7.26953125" style="294" bestFit="1" customWidth="1"/>
    <col min="2567" max="2567" width="40" style="294" bestFit="1" customWidth="1"/>
    <col min="2568" max="2568" width="17.1796875" style="294" bestFit="1" customWidth="1"/>
    <col min="2569" max="2569" width="23.26953125" style="294" customWidth="1"/>
    <col min="2570" max="2570" width="28.7265625" style="294" bestFit="1" customWidth="1"/>
    <col min="2571" max="2572" width="9.1796875" style="294"/>
    <col min="2573" max="2573" width="13.26953125" style="294" customWidth="1"/>
    <col min="2574" max="2816" width="9.1796875" style="294"/>
    <col min="2817" max="2817" width="24.7265625" style="294" bestFit="1" customWidth="1"/>
    <col min="2818" max="2818" width="18.7265625" style="294" bestFit="1" customWidth="1"/>
    <col min="2819" max="2819" width="8.1796875" style="294" bestFit="1" customWidth="1"/>
    <col min="2820" max="2821" width="8.26953125" style="294" bestFit="1" customWidth="1"/>
    <col min="2822" max="2822" width="7.26953125" style="294" bestFit="1" customWidth="1"/>
    <col min="2823" max="2823" width="40" style="294" bestFit="1" customWidth="1"/>
    <col min="2824" max="2824" width="17.1796875" style="294" bestFit="1" customWidth="1"/>
    <col min="2825" max="2825" width="23.26953125" style="294" customWidth="1"/>
    <col min="2826" max="2826" width="28.7265625" style="294" bestFit="1" customWidth="1"/>
    <col min="2827" max="2828" width="9.1796875" style="294"/>
    <col min="2829" max="2829" width="13.26953125" style="294" customWidth="1"/>
    <col min="2830" max="3072" width="9.1796875" style="294"/>
    <col min="3073" max="3073" width="24.7265625" style="294" bestFit="1" customWidth="1"/>
    <col min="3074" max="3074" width="18.7265625" style="294" bestFit="1" customWidth="1"/>
    <col min="3075" max="3075" width="8.1796875" style="294" bestFit="1" customWidth="1"/>
    <col min="3076" max="3077" width="8.26953125" style="294" bestFit="1" customWidth="1"/>
    <col min="3078" max="3078" width="7.26953125" style="294" bestFit="1" customWidth="1"/>
    <col min="3079" max="3079" width="40" style="294" bestFit="1" customWidth="1"/>
    <col min="3080" max="3080" width="17.1796875" style="294" bestFit="1" customWidth="1"/>
    <col min="3081" max="3081" width="23.26953125" style="294" customWidth="1"/>
    <col min="3082" max="3082" width="28.7265625" style="294" bestFit="1" customWidth="1"/>
    <col min="3083" max="3084" width="9.1796875" style="294"/>
    <col min="3085" max="3085" width="13.26953125" style="294" customWidth="1"/>
    <col min="3086" max="3328" width="9.1796875" style="294"/>
    <col min="3329" max="3329" width="24.7265625" style="294" bestFit="1" customWidth="1"/>
    <col min="3330" max="3330" width="18.7265625" style="294" bestFit="1" customWidth="1"/>
    <col min="3331" max="3331" width="8.1796875" style="294" bestFit="1" customWidth="1"/>
    <col min="3332" max="3333" width="8.26953125" style="294" bestFit="1" customWidth="1"/>
    <col min="3334" max="3334" width="7.26953125" style="294" bestFit="1" customWidth="1"/>
    <col min="3335" max="3335" width="40" style="294" bestFit="1" customWidth="1"/>
    <col min="3336" max="3336" width="17.1796875" style="294" bestFit="1" customWidth="1"/>
    <col min="3337" max="3337" width="23.26953125" style="294" customWidth="1"/>
    <col min="3338" max="3338" width="28.7265625" style="294" bestFit="1" customWidth="1"/>
    <col min="3339" max="3340" width="9.1796875" style="294"/>
    <col min="3341" max="3341" width="13.26953125" style="294" customWidth="1"/>
    <col min="3342" max="3584" width="9.1796875" style="294"/>
    <col min="3585" max="3585" width="24.7265625" style="294" bestFit="1" customWidth="1"/>
    <col min="3586" max="3586" width="18.7265625" style="294" bestFit="1" customWidth="1"/>
    <col min="3587" max="3587" width="8.1796875" style="294" bestFit="1" customWidth="1"/>
    <col min="3588" max="3589" width="8.26953125" style="294" bestFit="1" customWidth="1"/>
    <col min="3590" max="3590" width="7.26953125" style="294" bestFit="1" customWidth="1"/>
    <col min="3591" max="3591" width="40" style="294" bestFit="1" customWidth="1"/>
    <col min="3592" max="3592" width="17.1796875" style="294" bestFit="1" customWidth="1"/>
    <col min="3593" max="3593" width="23.26953125" style="294" customWidth="1"/>
    <col min="3594" max="3594" width="28.7265625" style="294" bestFit="1" customWidth="1"/>
    <col min="3595" max="3596" width="9.1796875" style="294"/>
    <col min="3597" max="3597" width="13.26953125" style="294" customWidth="1"/>
    <col min="3598" max="3840" width="9.1796875" style="294"/>
    <col min="3841" max="3841" width="24.7265625" style="294" bestFit="1" customWidth="1"/>
    <col min="3842" max="3842" width="18.7265625" style="294" bestFit="1" customWidth="1"/>
    <col min="3843" max="3843" width="8.1796875" style="294" bestFit="1" customWidth="1"/>
    <col min="3844" max="3845" width="8.26953125" style="294" bestFit="1" customWidth="1"/>
    <col min="3846" max="3846" width="7.26953125" style="294" bestFit="1" customWidth="1"/>
    <col min="3847" max="3847" width="40" style="294" bestFit="1" customWidth="1"/>
    <col min="3848" max="3848" width="17.1796875" style="294" bestFit="1" customWidth="1"/>
    <col min="3849" max="3849" width="23.26953125" style="294" customWidth="1"/>
    <col min="3850" max="3850" width="28.7265625" style="294" bestFit="1" customWidth="1"/>
    <col min="3851" max="3852" width="9.1796875" style="294"/>
    <col min="3853" max="3853" width="13.26953125" style="294" customWidth="1"/>
    <col min="3854" max="4096" width="9.1796875" style="294"/>
    <col min="4097" max="4097" width="24.7265625" style="294" bestFit="1" customWidth="1"/>
    <col min="4098" max="4098" width="18.7265625" style="294" bestFit="1" customWidth="1"/>
    <col min="4099" max="4099" width="8.1796875" style="294" bestFit="1" customWidth="1"/>
    <col min="4100" max="4101" width="8.26953125" style="294" bestFit="1" customWidth="1"/>
    <col min="4102" max="4102" width="7.26953125" style="294" bestFit="1" customWidth="1"/>
    <col min="4103" max="4103" width="40" style="294" bestFit="1" customWidth="1"/>
    <col min="4104" max="4104" width="17.1796875" style="294" bestFit="1" customWidth="1"/>
    <col min="4105" max="4105" width="23.26953125" style="294" customWidth="1"/>
    <col min="4106" max="4106" width="28.7265625" style="294" bestFit="1" customWidth="1"/>
    <col min="4107" max="4108" width="9.1796875" style="294"/>
    <col min="4109" max="4109" width="13.26953125" style="294" customWidth="1"/>
    <col min="4110" max="4352" width="9.1796875" style="294"/>
    <col min="4353" max="4353" width="24.7265625" style="294" bestFit="1" customWidth="1"/>
    <col min="4354" max="4354" width="18.7265625" style="294" bestFit="1" customWidth="1"/>
    <col min="4355" max="4355" width="8.1796875" style="294" bestFit="1" customWidth="1"/>
    <col min="4356" max="4357" width="8.26953125" style="294" bestFit="1" customWidth="1"/>
    <col min="4358" max="4358" width="7.26953125" style="294" bestFit="1" customWidth="1"/>
    <col min="4359" max="4359" width="40" style="294" bestFit="1" customWidth="1"/>
    <col min="4360" max="4360" width="17.1796875" style="294" bestFit="1" customWidth="1"/>
    <col min="4361" max="4361" width="23.26953125" style="294" customWidth="1"/>
    <col min="4362" max="4362" width="28.7265625" style="294" bestFit="1" customWidth="1"/>
    <col min="4363" max="4364" width="9.1796875" style="294"/>
    <col min="4365" max="4365" width="13.26953125" style="294" customWidth="1"/>
    <col min="4366" max="4608" width="9.1796875" style="294"/>
    <col min="4609" max="4609" width="24.7265625" style="294" bestFit="1" customWidth="1"/>
    <col min="4610" max="4610" width="18.7265625" style="294" bestFit="1" customWidth="1"/>
    <col min="4611" max="4611" width="8.1796875" style="294" bestFit="1" customWidth="1"/>
    <col min="4612" max="4613" width="8.26953125" style="294" bestFit="1" customWidth="1"/>
    <col min="4614" max="4614" width="7.26953125" style="294" bestFit="1" customWidth="1"/>
    <col min="4615" max="4615" width="40" style="294" bestFit="1" customWidth="1"/>
    <col min="4616" max="4616" width="17.1796875" style="294" bestFit="1" customWidth="1"/>
    <col min="4617" max="4617" width="23.26953125" style="294" customWidth="1"/>
    <col min="4618" max="4618" width="28.7265625" style="294" bestFit="1" customWidth="1"/>
    <col min="4619" max="4620" width="9.1796875" style="294"/>
    <col min="4621" max="4621" width="13.26953125" style="294" customWidth="1"/>
    <col min="4622" max="4864" width="9.1796875" style="294"/>
    <col min="4865" max="4865" width="24.7265625" style="294" bestFit="1" customWidth="1"/>
    <col min="4866" max="4866" width="18.7265625" style="294" bestFit="1" customWidth="1"/>
    <col min="4867" max="4867" width="8.1796875" style="294" bestFit="1" customWidth="1"/>
    <col min="4868" max="4869" width="8.26953125" style="294" bestFit="1" customWidth="1"/>
    <col min="4870" max="4870" width="7.26953125" style="294" bestFit="1" customWidth="1"/>
    <col min="4871" max="4871" width="40" style="294" bestFit="1" customWidth="1"/>
    <col min="4872" max="4872" width="17.1796875" style="294" bestFit="1" customWidth="1"/>
    <col min="4873" max="4873" width="23.26953125" style="294" customWidth="1"/>
    <col min="4874" max="4874" width="28.7265625" style="294" bestFit="1" customWidth="1"/>
    <col min="4875" max="4876" width="9.1796875" style="294"/>
    <col min="4877" max="4877" width="13.26953125" style="294" customWidth="1"/>
    <col min="4878" max="5120" width="9.1796875" style="294"/>
    <col min="5121" max="5121" width="24.7265625" style="294" bestFit="1" customWidth="1"/>
    <col min="5122" max="5122" width="18.7265625" style="294" bestFit="1" customWidth="1"/>
    <col min="5123" max="5123" width="8.1796875" style="294" bestFit="1" customWidth="1"/>
    <col min="5124" max="5125" width="8.26953125" style="294" bestFit="1" customWidth="1"/>
    <col min="5126" max="5126" width="7.26953125" style="294" bestFit="1" customWidth="1"/>
    <col min="5127" max="5127" width="40" style="294" bestFit="1" customWidth="1"/>
    <col min="5128" max="5128" width="17.1796875" style="294" bestFit="1" customWidth="1"/>
    <col min="5129" max="5129" width="23.26953125" style="294" customWidth="1"/>
    <col min="5130" max="5130" width="28.7265625" style="294" bestFit="1" customWidth="1"/>
    <col min="5131" max="5132" width="9.1796875" style="294"/>
    <col min="5133" max="5133" width="13.26953125" style="294" customWidth="1"/>
    <col min="5134" max="5376" width="9.1796875" style="294"/>
    <col min="5377" max="5377" width="24.7265625" style="294" bestFit="1" customWidth="1"/>
    <col min="5378" max="5378" width="18.7265625" style="294" bestFit="1" customWidth="1"/>
    <col min="5379" max="5379" width="8.1796875" style="294" bestFit="1" customWidth="1"/>
    <col min="5380" max="5381" width="8.26953125" style="294" bestFit="1" customWidth="1"/>
    <col min="5382" max="5382" width="7.26953125" style="294" bestFit="1" customWidth="1"/>
    <col min="5383" max="5383" width="40" style="294" bestFit="1" customWidth="1"/>
    <col min="5384" max="5384" width="17.1796875" style="294" bestFit="1" customWidth="1"/>
    <col min="5385" max="5385" width="23.26953125" style="294" customWidth="1"/>
    <col min="5386" max="5386" width="28.7265625" style="294" bestFit="1" customWidth="1"/>
    <col min="5387" max="5388" width="9.1796875" style="294"/>
    <col min="5389" max="5389" width="13.26953125" style="294" customWidth="1"/>
    <col min="5390" max="5632" width="9.1796875" style="294"/>
    <col min="5633" max="5633" width="24.7265625" style="294" bestFit="1" customWidth="1"/>
    <col min="5634" max="5634" width="18.7265625" style="294" bestFit="1" customWidth="1"/>
    <col min="5635" max="5635" width="8.1796875" style="294" bestFit="1" customWidth="1"/>
    <col min="5636" max="5637" width="8.26953125" style="294" bestFit="1" customWidth="1"/>
    <col min="5638" max="5638" width="7.26953125" style="294" bestFit="1" customWidth="1"/>
    <col min="5639" max="5639" width="40" style="294" bestFit="1" customWidth="1"/>
    <col min="5640" max="5640" width="17.1796875" style="294" bestFit="1" customWidth="1"/>
    <col min="5641" max="5641" width="23.26953125" style="294" customWidth="1"/>
    <col min="5642" max="5642" width="28.7265625" style="294" bestFit="1" customWidth="1"/>
    <col min="5643" max="5644" width="9.1796875" style="294"/>
    <col min="5645" max="5645" width="13.26953125" style="294" customWidth="1"/>
    <col min="5646" max="5888" width="9.1796875" style="294"/>
    <col min="5889" max="5889" width="24.7265625" style="294" bestFit="1" customWidth="1"/>
    <col min="5890" max="5890" width="18.7265625" style="294" bestFit="1" customWidth="1"/>
    <col min="5891" max="5891" width="8.1796875" style="294" bestFit="1" customWidth="1"/>
    <col min="5892" max="5893" width="8.26953125" style="294" bestFit="1" customWidth="1"/>
    <col min="5894" max="5894" width="7.26953125" style="294" bestFit="1" customWidth="1"/>
    <col min="5895" max="5895" width="40" style="294" bestFit="1" customWidth="1"/>
    <col min="5896" max="5896" width="17.1796875" style="294" bestFit="1" customWidth="1"/>
    <col min="5897" max="5897" width="23.26953125" style="294" customWidth="1"/>
    <col min="5898" max="5898" width="28.7265625" style="294" bestFit="1" customWidth="1"/>
    <col min="5899" max="5900" width="9.1796875" style="294"/>
    <col min="5901" max="5901" width="13.26953125" style="294" customWidth="1"/>
    <col min="5902" max="6144" width="9.1796875" style="294"/>
    <col min="6145" max="6145" width="24.7265625" style="294" bestFit="1" customWidth="1"/>
    <col min="6146" max="6146" width="18.7265625" style="294" bestFit="1" customWidth="1"/>
    <col min="6147" max="6147" width="8.1796875" style="294" bestFit="1" customWidth="1"/>
    <col min="6148" max="6149" width="8.26953125" style="294" bestFit="1" customWidth="1"/>
    <col min="6150" max="6150" width="7.26953125" style="294" bestFit="1" customWidth="1"/>
    <col min="6151" max="6151" width="40" style="294" bestFit="1" customWidth="1"/>
    <col min="6152" max="6152" width="17.1796875" style="294" bestFit="1" customWidth="1"/>
    <col min="6153" max="6153" width="23.26953125" style="294" customWidth="1"/>
    <col min="6154" max="6154" width="28.7265625" style="294" bestFit="1" customWidth="1"/>
    <col min="6155" max="6156" width="9.1796875" style="294"/>
    <col min="6157" max="6157" width="13.26953125" style="294" customWidth="1"/>
    <col min="6158" max="6400" width="9.1796875" style="294"/>
    <col min="6401" max="6401" width="24.7265625" style="294" bestFit="1" customWidth="1"/>
    <col min="6402" max="6402" width="18.7265625" style="294" bestFit="1" customWidth="1"/>
    <col min="6403" max="6403" width="8.1796875" style="294" bestFit="1" customWidth="1"/>
    <col min="6404" max="6405" width="8.26953125" style="294" bestFit="1" customWidth="1"/>
    <col min="6406" max="6406" width="7.26953125" style="294" bestFit="1" customWidth="1"/>
    <col min="6407" max="6407" width="40" style="294" bestFit="1" customWidth="1"/>
    <col min="6408" max="6408" width="17.1796875" style="294" bestFit="1" customWidth="1"/>
    <col min="6409" max="6409" width="23.26953125" style="294" customWidth="1"/>
    <col min="6410" max="6410" width="28.7265625" style="294" bestFit="1" customWidth="1"/>
    <col min="6411" max="6412" width="9.1796875" style="294"/>
    <col min="6413" max="6413" width="13.26953125" style="294" customWidth="1"/>
    <col min="6414" max="6656" width="9.1796875" style="294"/>
    <col min="6657" max="6657" width="24.7265625" style="294" bestFit="1" customWidth="1"/>
    <col min="6658" max="6658" width="18.7265625" style="294" bestFit="1" customWidth="1"/>
    <col min="6659" max="6659" width="8.1796875" style="294" bestFit="1" customWidth="1"/>
    <col min="6660" max="6661" width="8.26953125" style="294" bestFit="1" customWidth="1"/>
    <col min="6662" max="6662" width="7.26953125" style="294" bestFit="1" customWidth="1"/>
    <col min="6663" max="6663" width="40" style="294" bestFit="1" customWidth="1"/>
    <col min="6664" max="6664" width="17.1796875" style="294" bestFit="1" customWidth="1"/>
    <col min="6665" max="6665" width="23.26953125" style="294" customWidth="1"/>
    <col min="6666" max="6666" width="28.7265625" style="294" bestFit="1" customWidth="1"/>
    <col min="6667" max="6668" width="9.1796875" style="294"/>
    <col min="6669" max="6669" width="13.26953125" style="294" customWidth="1"/>
    <col min="6670" max="6912" width="9.1796875" style="294"/>
    <col min="6913" max="6913" width="24.7265625" style="294" bestFit="1" customWidth="1"/>
    <col min="6914" max="6914" width="18.7265625" style="294" bestFit="1" customWidth="1"/>
    <col min="6915" max="6915" width="8.1796875" style="294" bestFit="1" customWidth="1"/>
    <col min="6916" max="6917" width="8.26953125" style="294" bestFit="1" customWidth="1"/>
    <col min="6918" max="6918" width="7.26953125" style="294" bestFit="1" customWidth="1"/>
    <col min="6919" max="6919" width="40" style="294" bestFit="1" customWidth="1"/>
    <col min="6920" max="6920" width="17.1796875" style="294" bestFit="1" customWidth="1"/>
    <col min="6921" max="6921" width="23.26953125" style="294" customWidth="1"/>
    <col min="6922" max="6922" width="28.7265625" style="294" bestFit="1" customWidth="1"/>
    <col min="6923" max="6924" width="9.1796875" style="294"/>
    <col min="6925" max="6925" width="13.26953125" style="294" customWidth="1"/>
    <col min="6926" max="7168" width="9.1796875" style="294"/>
    <col min="7169" max="7169" width="24.7265625" style="294" bestFit="1" customWidth="1"/>
    <col min="7170" max="7170" width="18.7265625" style="294" bestFit="1" customWidth="1"/>
    <col min="7171" max="7171" width="8.1796875" style="294" bestFit="1" customWidth="1"/>
    <col min="7172" max="7173" width="8.26953125" style="294" bestFit="1" customWidth="1"/>
    <col min="7174" max="7174" width="7.26953125" style="294" bestFit="1" customWidth="1"/>
    <col min="7175" max="7175" width="40" style="294" bestFit="1" customWidth="1"/>
    <col min="7176" max="7176" width="17.1796875" style="294" bestFit="1" customWidth="1"/>
    <col min="7177" max="7177" width="23.26953125" style="294" customWidth="1"/>
    <col min="7178" max="7178" width="28.7265625" style="294" bestFit="1" customWidth="1"/>
    <col min="7179" max="7180" width="9.1796875" style="294"/>
    <col min="7181" max="7181" width="13.26953125" style="294" customWidth="1"/>
    <col min="7182" max="7424" width="9.1796875" style="294"/>
    <col min="7425" max="7425" width="24.7265625" style="294" bestFit="1" customWidth="1"/>
    <col min="7426" max="7426" width="18.7265625" style="294" bestFit="1" customWidth="1"/>
    <col min="7427" max="7427" width="8.1796875" style="294" bestFit="1" customWidth="1"/>
    <col min="7428" max="7429" width="8.26953125" style="294" bestFit="1" customWidth="1"/>
    <col min="7430" max="7430" width="7.26953125" style="294" bestFit="1" customWidth="1"/>
    <col min="7431" max="7431" width="40" style="294" bestFit="1" customWidth="1"/>
    <col min="7432" max="7432" width="17.1796875" style="294" bestFit="1" customWidth="1"/>
    <col min="7433" max="7433" width="23.26953125" style="294" customWidth="1"/>
    <col min="7434" max="7434" width="28.7265625" style="294" bestFit="1" customWidth="1"/>
    <col min="7435" max="7436" width="9.1796875" style="294"/>
    <col min="7437" max="7437" width="13.26953125" style="294" customWidth="1"/>
    <col min="7438" max="7680" width="9.1796875" style="294"/>
    <col min="7681" max="7681" width="24.7265625" style="294" bestFit="1" customWidth="1"/>
    <col min="7682" max="7682" width="18.7265625" style="294" bestFit="1" customWidth="1"/>
    <col min="7683" max="7683" width="8.1796875" style="294" bestFit="1" customWidth="1"/>
    <col min="7684" max="7685" width="8.26953125" style="294" bestFit="1" customWidth="1"/>
    <col min="7686" max="7686" width="7.26953125" style="294" bestFit="1" customWidth="1"/>
    <col min="7687" max="7687" width="40" style="294" bestFit="1" customWidth="1"/>
    <col min="7688" max="7688" width="17.1796875" style="294" bestFit="1" customWidth="1"/>
    <col min="7689" max="7689" width="23.26953125" style="294" customWidth="1"/>
    <col min="7690" max="7690" width="28.7265625" style="294" bestFit="1" customWidth="1"/>
    <col min="7691" max="7692" width="9.1796875" style="294"/>
    <col min="7693" max="7693" width="13.26953125" style="294" customWidth="1"/>
    <col min="7694" max="7936" width="9.1796875" style="294"/>
    <col min="7937" max="7937" width="24.7265625" style="294" bestFit="1" customWidth="1"/>
    <col min="7938" max="7938" width="18.7265625" style="294" bestFit="1" customWidth="1"/>
    <col min="7939" max="7939" width="8.1796875" style="294" bestFit="1" customWidth="1"/>
    <col min="7940" max="7941" width="8.26953125" style="294" bestFit="1" customWidth="1"/>
    <col min="7942" max="7942" width="7.26953125" style="294" bestFit="1" customWidth="1"/>
    <col min="7943" max="7943" width="40" style="294" bestFit="1" customWidth="1"/>
    <col min="7944" max="7944" width="17.1796875" style="294" bestFit="1" customWidth="1"/>
    <col min="7945" max="7945" width="23.26953125" style="294" customWidth="1"/>
    <col min="7946" max="7946" width="28.7265625" style="294" bestFit="1" customWidth="1"/>
    <col min="7947" max="7948" width="9.1796875" style="294"/>
    <col min="7949" max="7949" width="13.26953125" style="294" customWidth="1"/>
    <col min="7950" max="8192" width="9.1796875" style="294"/>
    <col min="8193" max="8193" width="24.7265625" style="294" bestFit="1" customWidth="1"/>
    <col min="8194" max="8194" width="18.7265625" style="294" bestFit="1" customWidth="1"/>
    <col min="8195" max="8195" width="8.1796875" style="294" bestFit="1" customWidth="1"/>
    <col min="8196" max="8197" width="8.26953125" style="294" bestFit="1" customWidth="1"/>
    <col min="8198" max="8198" width="7.26953125" style="294" bestFit="1" customWidth="1"/>
    <col min="8199" max="8199" width="40" style="294" bestFit="1" customWidth="1"/>
    <col min="8200" max="8200" width="17.1796875" style="294" bestFit="1" customWidth="1"/>
    <col min="8201" max="8201" width="23.26953125" style="294" customWidth="1"/>
    <col min="8202" max="8202" width="28.7265625" style="294" bestFit="1" customWidth="1"/>
    <col min="8203" max="8204" width="9.1796875" style="294"/>
    <col min="8205" max="8205" width="13.26953125" style="294" customWidth="1"/>
    <col min="8206" max="8448" width="9.1796875" style="294"/>
    <col min="8449" max="8449" width="24.7265625" style="294" bestFit="1" customWidth="1"/>
    <col min="8450" max="8450" width="18.7265625" style="294" bestFit="1" customWidth="1"/>
    <col min="8451" max="8451" width="8.1796875" style="294" bestFit="1" customWidth="1"/>
    <col min="8452" max="8453" width="8.26953125" style="294" bestFit="1" customWidth="1"/>
    <col min="8454" max="8454" width="7.26953125" style="294" bestFit="1" customWidth="1"/>
    <col min="8455" max="8455" width="40" style="294" bestFit="1" customWidth="1"/>
    <col min="8456" max="8456" width="17.1796875" style="294" bestFit="1" customWidth="1"/>
    <col min="8457" max="8457" width="23.26953125" style="294" customWidth="1"/>
    <col min="8458" max="8458" width="28.7265625" style="294" bestFit="1" customWidth="1"/>
    <col min="8459" max="8460" width="9.1796875" style="294"/>
    <col min="8461" max="8461" width="13.26953125" style="294" customWidth="1"/>
    <col min="8462" max="8704" width="9.1796875" style="294"/>
    <col min="8705" max="8705" width="24.7265625" style="294" bestFit="1" customWidth="1"/>
    <col min="8706" max="8706" width="18.7265625" style="294" bestFit="1" customWidth="1"/>
    <col min="8707" max="8707" width="8.1796875" style="294" bestFit="1" customWidth="1"/>
    <col min="8708" max="8709" width="8.26953125" style="294" bestFit="1" customWidth="1"/>
    <col min="8710" max="8710" width="7.26953125" style="294" bestFit="1" customWidth="1"/>
    <col min="8711" max="8711" width="40" style="294" bestFit="1" customWidth="1"/>
    <col min="8712" max="8712" width="17.1796875" style="294" bestFit="1" customWidth="1"/>
    <col min="8713" max="8713" width="23.26953125" style="294" customWidth="1"/>
    <col min="8714" max="8714" width="28.7265625" style="294" bestFit="1" customWidth="1"/>
    <col min="8715" max="8716" width="9.1796875" style="294"/>
    <col min="8717" max="8717" width="13.26953125" style="294" customWidth="1"/>
    <col min="8718" max="8960" width="9.1796875" style="294"/>
    <col min="8961" max="8961" width="24.7265625" style="294" bestFit="1" customWidth="1"/>
    <col min="8962" max="8962" width="18.7265625" style="294" bestFit="1" customWidth="1"/>
    <col min="8963" max="8963" width="8.1796875" style="294" bestFit="1" customWidth="1"/>
    <col min="8964" max="8965" width="8.26953125" style="294" bestFit="1" customWidth="1"/>
    <col min="8966" max="8966" width="7.26953125" style="294" bestFit="1" customWidth="1"/>
    <col min="8967" max="8967" width="40" style="294" bestFit="1" customWidth="1"/>
    <col min="8968" max="8968" width="17.1796875" style="294" bestFit="1" customWidth="1"/>
    <col min="8969" max="8969" width="23.26953125" style="294" customWidth="1"/>
    <col min="8970" max="8970" width="28.7265625" style="294" bestFit="1" customWidth="1"/>
    <col min="8971" max="8972" width="9.1796875" style="294"/>
    <col min="8973" max="8973" width="13.26953125" style="294" customWidth="1"/>
    <col min="8974" max="9216" width="9.1796875" style="294"/>
    <col min="9217" max="9217" width="24.7265625" style="294" bestFit="1" customWidth="1"/>
    <col min="9218" max="9218" width="18.7265625" style="294" bestFit="1" customWidth="1"/>
    <col min="9219" max="9219" width="8.1796875" style="294" bestFit="1" customWidth="1"/>
    <col min="9220" max="9221" width="8.26953125" style="294" bestFit="1" customWidth="1"/>
    <col min="9222" max="9222" width="7.26953125" style="294" bestFit="1" customWidth="1"/>
    <col min="9223" max="9223" width="40" style="294" bestFit="1" customWidth="1"/>
    <col min="9224" max="9224" width="17.1796875" style="294" bestFit="1" customWidth="1"/>
    <col min="9225" max="9225" width="23.26953125" style="294" customWidth="1"/>
    <col min="9226" max="9226" width="28.7265625" style="294" bestFit="1" customWidth="1"/>
    <col min="9227" max="9228" width="9.1796875" style="294"/>
    <col min="9229" max="9229" width="13.26953125" style="294" customWidth="1"/>
    <col min="9230" max="9472" width="9.1796875" style="294"/>
    <col min="9473" max="9473" width="24.7265625" style="294" bestFit="1" customWidth="1"/>
    <col min="9474" max="9474" width="18.7265625" style="294" bestFit="1" customWidth="1"/>
    <col min="9475" max="9475" width="8.1796875" style="294" bestFit="1" customWidth="1"/>
    <col min="9476" max="9477" width="8.26953125" style="294" bestFit="1" customWidth="1"/>
    <col min="9478" max="9478" width="7.26953125" style="294" bestFit="1" customWidth="1"/>
    <col min="9479" max="9479" width="40" style="294" bestFit="1" customWidth="1"/>
    <col min="9480" max="9480" width="17.1796875" style="294" bestFit="1" customWidth="1"/>
    <col min="9481" max="9481" width="23.26953125" style="294" customWidth="1"/>
    <col min="9482" max="9482" width="28.7265625" style="294" bestFit="1" customWidth="1"/>
    <col min="9483" max="9484" width="9.1796875" style="294"/>
    <col min="9485" max="9485" width="13.26953125" style="294" customWidth="1"/>
    <col min="9486" max="9728" width="9.1796875" style="294"/>
    <col min="9729" max="9729" width="24.7265625" style="294" bestFit="1" customWidth="1"/>
    <col min="9730" max="9730" width="18.7265625" style="294" bestFit="1" customWidth="1"/>
    <col min="9731" max="9731" width="8.1796875" style="294" bestFit="1" customWidth="1"/>
    <col min="9732" max="9733" width="8.26953125" style="294" bestFit="1" customWidth="1"/>
    <col min="9734" max="9734" width="7.26953125" style="294" bestFit="1" customWidth="1"/>
    <col min="9735" max="9735" width="40" style="294" bestFit="1" customWidth="1"/>
    <col min="9736" max="9736" width="17.1796875" style="294" bestFit="1" customWidth="1"/>
    <col min="9737" max="9737" width="23.26953125" style="294" customWidth="1"/>
    <col min="9738" max="9738" width="28.7265625" style="294" bestFit="1" customWidth="1"/>
    <col min="9739" max="9740" width="9.1796875" style="294"/>
    <col min="9741" max="9741" width="13.26953125" style="294" customWidth="1"/>
    <col min="9742" max="9984" width="9.1796875" style="294"/>
    <col min="9985" max="9985" width="24.7265625" style="294" bestFit="1" customWidth="1"/>
    <col min="9986" max="9986" width="18.7265625" style="294" bestFit="1" customWidth="1"/>
    <col min="9987" max="9987" width="8.1796875" style="294" bestFit="1" customWidth="1"/>
    <col min="9988" max="9989" width="8.26953125" style="294" bestFit="1" customWidth="1"/>
    <col min="9990" max="9990" width="7.26953125" style="294" bestFit="1" customWidth="1"/>
    <col min="9991" max="9991" width="40" style="294" bestFit="1" customWidth="1"/>
    <col min="9992" max="9992" width="17.1796875" style="294" bestFit="1" customWidth="1"/>
    <col min="9993" max="9993" width="23.26953125" style="294" customWidth="1"/>
    <col min="9994" max="9994" width="28.7265625" style="294" bestFit="1" customWidth="1"/>
    <col min="9995" max="9996" width="9.1796875" style="294"/>
    <col min="9997" max="9997" width="13.26953125" style="294" customWidth="1"/>
    <col min="9998" max="10240" width="9.1796875" style="294"/>
    <col min="10241" max="10241" width="24.7265625" style="294" bestFit="1" customWidth="1"/>
    <col min="10242" max="10242" width="18.7265625" style="294" bestFit="1" customWidth="1"/>
    <col min="10243" max="10243" width="8.1796875" style="294" bestFit="1" customWidth="1"/>
    <col min="10244" max="10245" width="8.26953125" style="294" bestFit="1" customWidth="1"/>
    <col min="10246" max="10246" width="7.26953125" style="294" bestFit="1" customWidth="1"/>
    <col min="10247" max="10247" width="40" style="294" bestFit="1" customWidth="1"/>
    <col min="10248" max="10248" width="17.1796875" style="294" bestFit="1" customWidth="1"/>
    <col min="10249" max="10249" width="23.26953125" style="294" customWidth="1"/>
    <col min="10250" max="10250" width="28.7265625" style="294" bestFit="1" customWidth="1"/>
    <col min="10251" max="10252" width="9.1796875" style="294"/>
    <col min="10253" max="10253" width="13.26953125" style="294" customWidth="1"/>
    <col min="10254" max="10496" width="9.1796875" style="294"/>
    <col min="10497" max="10497" width="24.7265625" style="294" bestFit="1" customWidth="1"/>
    <col min="10498" max="10498" width="18.7265625" style="294" bestFit="1" customWidth="1"/>
    <col min="10499" max="10499" width="8.1796875" style="294" bestFit="1" customWidth="1"/>
    <col min="10500" max="10501" width="8.26953125" style="294" bestFit="1" customWidth="1"/>
    <col min="10502" max="10502" width="7.26953125" style="294" bestFit="1" customWidth="1"/>
    <col min="10503" max="10503" width="40" style="294" bestFit="1" customWidth="1"/>
    <col min="10504" max="10504" width="17.1796875" style="294" bestFit="1" customWidth="1"/>
    <col min="10505" max="10505" width="23.26953125" style="294" customWidth="1"/>
    <col min="10506" max="10506" width="28.7265625" style="294" bestFit="1" customWidth="1"/>
    <col min="10507" max="10508" width="9.1796875" style="294"/>
    <col min="10509" max="10509" width="13.26953125" style="294" customWidth="1"/>
    <col min="10510" max="10752" width="9.1796875" style="294"/>
    <col min="10753" max="10753" width="24.7265625" style="294" bestFit="1" customWidth="1"/>
    <col min="10754" max="10754" width="18.7265625" style="294" bestFit="1" customWidth="1"/>
    <col min="10755" max="10755" width="8.1796875" style="294" bestFit="1" customWidth="1"/>
    <col min="10756" max="10757" width="8.26953125" style="294" bestFit="1" customWidth="1"/>
    <col min="10758" max="10758" width="7.26953125" style="294" bestFit="1" customWidth="1"/>
    <col min="10759" max="10759" width="40" style="294" bestFit="1" customWidth="1"/>
    <col min="10760" max="10760" width="17.1796875" style="294" bestFit="1" customWidth="1"/>
    <col min="10761" max="10761" width="23.26953125" style="294" customWidth="1"/>
    <col min="10762" max="10762" width="28.7265625" style="294" bestFit="1" customWidth="1"/>
    <col min="10763" max="10764" width="9.1796875" style="294"/>
    <col min="10765" max="10765" width="13.26953125" style="294" customWidth="1"/>
    <col min="10766" max="11008" width="9.1796875" style="294"/>
    <col min="11009" max="11009" width="24.7265625" style="294" bestFit="1" customWidth="1"/>
    <col min="11010" max="11010" width="18.7265625" style="294" bestFit="1" customWidth="1"/>
    <col min="11011" max="11011" width="8.1796875" style="294" bestFit="1" customWidth="1"/>
    <col min="11012" max="11013" width="8.26953125" style="294" bestFit="1" customWidth="1"/>
    <col min="11014" max="11014" width="7.26953125" style="294" bestFit="1" customWidth="1"/>
    <col min="11015" max="11015" width="40" style="294" bestFit="1" customWidth="1"/>
    <col min="11016" max="11016" width="17.1796875" style="294" bestFit="1" customWidth="1"/>
    <col min="11017" max="11017" width="23.26953125" style="294" customWidth="1"/>
    <col min="11018" max="11018" width="28.7265625" style="294" bestFit="1" customWidth="1"/>
    <col min="11019" max="11020" width="9.1796875" style="294"/>
    <col min="11021" max="11021" width="13.26953125" style="294" customWidth="1"/>
    <col min="11022" max="11264" width="9.1796875" style="294"/>
    <col min="11265" max="11265" width="24.7265625" style="294" bestFit="1" customWidth="1"/>
    <col min="11266" max="11266" width="18.7265625" style="294" bestFit="1" customWidth="1"/>
    <col min="11267" max="11267" width="8.1796875" style="294" bestFit="1" customWidth="1"/>
    <col min="11268" max="11269" width="8.26953125" style="294" bestFit="1" customWidth="1"/>
    <col min="11270" max="11270" width="7.26953125" style="294" bestFit="1" customWidth="1"/>
    <col min="11271" max="11271" width="40" style="294" bestFit="1" customWidth="1"/>
    <col min="11272" max="11272" width="17.1796875" style="294" bestFit="1" customWidth="1"/>
    <col min="11273" max="11273" width="23.26953125" style="294" customWidth="1"/>
    <col min="11274" max="11274" width="28.7265625" style="294" bestFit="1" customWidth="1"/>
    <col min="11275" max="11276" width="9.1796875" style="294"/>
    <col min="11277" max="11277" width="13.26953125" style="294" customWidth="1"/>
    <col min="11278" max="11520" width="9.1796875" style="294"/>
    <col min="11521" max="11521" width="24.7265625" style="294" bestFit="1" customWidth="1"/>
    <col min="11522" max="11522" width="18.7265625" style="294" bestFit="1" customWidth="1"/>
    <col min="11523" max="11523" width="8.1796875" style="294" bestFit="1" customWidth="1"/>
    <col min="11524" max="11525" width="8.26953125" style="294" bestFit="1" customWidth="1"/>
    <col min="11526" max="11526" width="7.26953125" style="294" bestFit="1" customWidth="1"/>
    <col min="11527" max="11527" width="40" style="294" bestFit="1" customWidth="1"/>
    <col min="11528" max="11528" width="17.1796875" style="294" bestFit="1" customWidth="1"/>
    <col min="11529" max="11529" width="23.26953125" style="294" customWidth="1"/>
    <col min="11530" max="11530" width="28.7265625" style="294" bestFit="1" customWidth="1"/>
    <col min="11531" max="11532" width="9.1796875" style="294"/>
    <col min="11533" max="11533" width="13.26953125" style="294" customWidth="1"/>
    <col min="11534" max="11776" width="9.1796875" style="294"/>
    <col min="11777" max="11777" width="24.7265625" style="294" bestFit="1" customWidth="1"/>
    <col min="11778" max="11778" width="18.7265625" style="294" bestFit="1" customWidth="1"/>
    <col min="11779" max="11779" width="8.1796875" style="294" bestFit="1" customWidth="1"/>
    <col min="11780" max="11781" width="8.26953125" style="294" bestFit="1" customWidth="1"/>
    <col min="11782" max="11782" width="7.26953125" style="294" bestFit="1" customWidth="1"/>
    <col min="11783" max="11783" width="40" style="294" bestFit="1" customWidth="1"/>
    <col min="11784" max="11784" width="17.1796875" style="294" bestFit="1" customWidth="1"/>
    <col min="11785" max="11785" width="23.26953125" style="294" customWidth="1"/>
    <col min="11786" max="11786" width="28.7265625" style="294" bestFit="1" customWidth="1"/>
    <col min="11787" max="11788" width="9.1796875" style="294"/>
    <col min="11789" max="11789" width="13.26953125" style="294" customWidth="1"/>
    <col min="11790" max="12032" width="9.1796875" style="294"/>
    <col min="12033" max="12033" width="24.7265625" style="294" bestFit="1" customWidth="1"/>
    <col min="12034" max="12034" width="18.7265625" style="294" bestFit="1" customWidth="1"/>
    <col min="12035" max="12035" width="8.1796875" style="294" bestFit="1" customWidth="1"/>
    <col min="12036" max="12037" width="8.26953125" style="294" bestFit="1" customWidth="1"/>
    <col min="12038" max="12038" width="7.26953125" style="294" bestFit="1" customWidth="1"/>
    <col min="12039" max="12039" width="40" style="294" bestFit="1" customWidth="1"/>
    <col min="12040" max="12040" width="17.1796875" style="294" bestFit="1" customWidth="1"/>
    <col min="12041" max="12041" width="23.26953125" style="294" customWidth="1"/>
    <col min="12042" max="12042" width="28.7265625" style="294" bestFit="1" customWidth="1"/>
    <col min="12043" max="12044" width="9.1796875" style="294"/>
    <col min="12045" max="12045" width="13.26953125" style="294" customWidth="1"/>
    <col min="12046" max="12288" width="9.1796875" style="294"/>
    <col min="12289" max="12289" width="24.7265625" style="294" bestFit="1" customWidth="1"/>
    <col min="12290" max="12290" width="18.7265625" style="294" bestFit="1" customWidth="1"/>
    <col min="12291" max="12291" width="8.1796875" style="294" bestFit="1" customWidth="1"/>
    <col min="12292" max="12293" width="8.26953125" style="294" bestFit="1" customWidth="1"/>
    <col min="12294" max="12294" width="7.26953125" style="294" bestFit="1" customWidth="1"/>
    <col min="12295" max="12295" width="40" style="294" bestFit="1" customWidth="1"/>
    <col min="12296" max="12296" width="17.1796875" style="294" bestFit="1" customWidth="1"/>
    <col min="12297" max="12297" width="23.26953125" style="294" customWidth="1"/>
    <col min="12298" max="12298" width="28.7265625" style="294" bestFit="1" customWidth="1"/>
    <col min="12299" max="12300" width="9.1796875" style="294"/>
    <col min="12301" max="12301" width="13.26953125" style="294" customWidth="1"/>
    <col min="12302" max="12544" width="9.1796875" style="294"/>
    <col min="12545" max="12545" width="24.7265625" style="294" bestFit="1" customWidth="1"/>
    <col min="12546" max="12546" width="18.7265625" style="294" bestFit="1" customWidth="1"/>
    <col min="12547" max="12547" width="8.1796875" style="294" bestFit="1" customWidth="1"/>
    <col min="12548" max="12549" width="8.26953125" style="294" bestFit="1" customWidth="1"/>
    <col min="12550" max="12550" width="7.26953125" style="294" bestFit="1" customWidth="1"/>
    <col min="12551" max="12551" width="40" style="294" bestFit="1" customWidth="1"/>
    <col min="12552" max="12552" width="17.1796875" style="294" bestFit="1" customWidth="1"/>
    <col min="12553" max="12553" width="23.26953125" style="294" customWidth="1"/>
    <col min="12554" max="12554" width="28.7265625" style="294" bestFit="1" customWidth="1"/>
    <col min="12555" max="12556" width="9.1796875" style="294"/>
    <col min="12557" max="12557" width="13.26953125" style="294" customWidth="1"/>
    <col min="12558" max="12800" width="9.1796875" style="294"/>
    <col min="12801" max="12801" width="24.7265625" style="294" bestFit="1" customWidth="1"/>
    <col min="12802" max="12802" width="18.7265625" style="294" bestFit="1" customWidth="1"/>
    <col min="12803" max="12803" width="8.1796875" style="294" bestFit="1" customWidth="1"/>
    <col min="12804" max="12805" width="8.26953125" style="294" bestFit="1" customWidth="1"/>
    <col min="12806" max="12806" width="7.26953125" style="294" bestFit="1" customWidth="1"/>
    <col min="12807" max="12807" width="40" style="294" bestFit="1" customWidth="1"/>
    <col min="12808" max="12808" width="17.1796875" style="294" bestFit="1" customWidth="1"/>
    <col min="12809" max="12809" width="23.26953125" style="294" customWidth="1"/>
    <col min="12810" max="12810" width="28.7265625" style="294" bestFit="1" customWidth="1"/>
    <col min="12811" max="12812" width="9.1796875" style="294"/>
    <col min="12813" max="12813" width="13.26953125" style="294" customWidth="1"/>
    <col min="12814" max="13056" width="9.1796875" style="294"/>
    <col min="13057" max="13057" width="24.7265625" style="294" bestFit="1" customWidth="1"/>
    <col min="13058" max="13058" width="18.7265625" style="294" bestFit="1" customWidth="1"/>
    <col min="13059" max="13059" width="8.1796875" style="294" bestFit="1" customWidth="1"/>
    <col min="13060" max="13061" width="8.26953125" style="294" bestFit="1" customWidth="1"/>
    <col min="13062" max="13062" width="7.26953125" style="294" bestFit="1" customWidth="1"/>
    <col min="13063" max="13063" width="40" style="294" bestFit="1" customWidth="1"/>
    <col min="13064" max="13064" width="17.1796875" style="294" bestFit="1" customWidth="1"/>
    <col min="13065" max="13065" width="23.26953125" style="294" customWidth="1"/>
    <col min="13066" max="13066" width="28.7265625" style="294" bestFit="1" customWidth="1"/>
    <col min="13067" max="13068" width="9.1796875" style="294"/>
    <col min="13069" max="13069" width="13.26953125" style="294" customWidth="1"/>
    <col min="13070" max="13312" width="9.1796875" style="294"/>
    <col min="13313" max="13313" width="24.7265625" style="294" bestFit="1" customWidth="1"/>
    <col min="13314" max="13314" width="18.7265625" style="294" bestFit="1" customWidth="1"/>
    <col min="13315" max="13315" width="8.1796875" style="294" bestFit="1" customWidth="1"/>
    <col min="13316" max="13317" width="8.26953125" style="294" bestFit="1" customWidth="1"/>
    <col min="13318" max="13318" width="7.26953125" style="294" bestFit="1" customWidth="1"/>
    <col min="13319" max="13319" width="40" style="294" bestFit="1" customWidth="1"/>
    <col min="13320" max="13320" width="17.1796875" style="294" bestFit="1" customWidth="1"/>
    <col min="13321" max="13321" width="23.26953125" style="294" customWidth="1"/>
    <col min="13322" max="13322" width="28.7265625" style="294" bestFit="1" customWidth="1"/>
    <col min="13323" max="13324" width="9.1796875" style="294"/>
    <col min="13325" max="13325" width="13.26953125" style="294" customWidth="1"/>
    <col min="13326" max="13568" width="9.1796875" style="294"/>
    <col min="13569" max="13569" width="24.7265625" style="294" bestFit="1" customWidth="1"/>
    <col min="13570" max="13570" width="18.7265625" style="294" bestFit="1" customWidth="1"/>
    <col min="13571" max="13571" width="8.1796875" style="294" bestFit="1" customWidth="1"/>
    <col min="13572" max="13573" width="8.26953125" style="294" bestFit="1" customWidth="1"/>
    <col min="13574" max="13574" width="7.26953125" style="294" bestFit="1" customWidth="1"/>
    <col min="13575" max="13575" width="40" style="294" bestFit="1" customWidth="1"/>
    <col min="13576" max="13576" width="17.1796875" style="294" bestFit="1" customWidth="1"/>
    <col min="13577" max="13577" width="23.26953125" style="294" customWidth="1"/>
    <col min="13578" max="13578" width="28.7265625" style="294" bestFit="1" customWidth="1"/>
    <col min="13579" max="13580" width="9.1796875" style="294"/>
    <col min="13581" max="13581" width="13.26953125" style="294" customWidth="1"/>
    <col min="13582" max="13824" width="9.1796875" style="294"/>
    <col min="13825" max="13825" width="24.7265625" style="294" bestFit="1" customWidth="1"/>
    <col min="13826" max="13826" width="18.7265625" style="294" bestFit="1" customWidth="1"/>
    <col min="13827" max="13827" width="8.1796875" style="294" bestFit="1" customWidth="1"/>
    <col min="13828" max="13829" width="8.26953125" style="294" bestFit="1" customWidth="1"/>
    <col min="13830" max="13830" width="7.26953125" style="294" bestFit="1" customWidth="1"/>
    <col min="13831" max="13831" width="40" style="294" bestFit="1" customWidth="1"/>
    <col min="13832" max="13832" width="17.1796875" style="294" bestFit="1" customWidth="1"/>
    <col min="13833" max="13833" width="23.26953125" style="294" customWidth="1"/>
    <col min="13834" max="13834" width="28.7265625" style="294" bestFit="1" customWidth="1"/>
    <col min="13835" max="13836" width="9.1796875" style="294"/>
    <col min="13837" max="13837" width="13.26953125" style="294" customWidth="1"/>
    <col min="13838" max="14080" width="9.1796875" style="294"/>
    <col min="14081" max="14081" width="24.7265625" style="294" bestFit="1" customWidth="1"/>
    <col min="14082" max="14082" width="18.7265625" style="294" bestFit="1" customWidth="1"/>
    <col min="14083" max="14083" width="8.1796875" style="294" bestFit="1" customWidth="1"/>
    <col min="14084" max="14085" width="8.26953125" style="294" bestFit="1" customWidth="1"/>
    <col min="14086" max="14086" width="7.26953125" style="294" bestFit="1" customWidth="1"/>
    <col min="14087" max="14087" width="40" style="294" bestFit="1" customWidth="1"/>
    <col min="14088" max="14088" width="17.1796875" style="294" bestFit="1" customWidth="1"/>
    <col min="14089" max="14089" width="23.26953125" style="294" customWidth="1"/>
    <col min="14090" max="14090" width="28.7265625" style="294" bestFit="1" customWidth="1"/>
    <col min="14091" max="14092" width="9.1796875" style="294"/>
    <col min="14093" max="14093" width="13.26953125" style="294" customWidth="1"/>
    <col min="14094" max="14336" width="9.1796875" style="294"/>
    <col min="14337" max="14337" width="24.7265625" style="294" bestFit="1" customWidth="1"/>
    <col min="14338" max="14338" width="18.7265625" style="294" bestFit="1" customWidth="1"/>
    <col min="14339" max="14339" width="8.1796875" style="294" bestFit="1" customWidth="1"/>
    <col min="14340" max="14341" width="8.26953125" style="294" bestFit="1" customWidth="1"/>
    <col min="14342" max="14342" width="7.26953125" style="294" bestFit="1" customWidth="1"/>
    <col min="14343" max="14343" width="40" style="294" bestFit="1" customWidth="1"/>
    <col min="14344" max="14344" width="17.1796875" style="294" bestFit="1" customWidth="1"/>
    <col min="14345" max="14345" width="23.26953125" style="294" customWidth="1"/>
    <col min="14346" max="14346" width="28.7265625" style="294" bestFit="1" customWidth="1"/>
    <col min="14347" max="14348" width="9.1796875" style="294"/>
    <col min="14349" max="14349" width="13.26953125" style="294" customWidth="1"/>
    <col min="14350" max="14592" width="9.1796875" style="294"/>
    <col min="14593" max="14593" width="24.7265625" style="294" bestFit="1" customWidth="1"/>
    <col min="14594" max="14594" width="18.7265625" style="294" bestFit="1" customWidth="1"/>
    <col min="14595" max="14595" width="8.1796875" style="294" bestFit="1" customWidth="1"/>
    <col min="14596" max="14597" width="8.26953125" style="294" bestFit="1" customWidth="1"/>
    <col min="14598" max="14598" width="7.26953125" style="294" bestFit="1" customWidth="1"/>
    <col min="14599" max="14599" width="40" style="294" bestFit="1" customWidth="1"/>
    <col min="14600" max="14600" width="17.1796875" style="294" bestFit="1" customWidth="1"/>
    <col min="14601" max="14601" width="23.26953125" style="294" customWidth="1"/>
    <col min="14602" max="14602" width="28.7265625" style="294" bestFit="1" customWidth="1"/>
    <col min="14603" max="14604" width="9.1796875" style="294"/>
    <col min="14605" max="14605" width="13.26953125" style="294" customWidth="1"/>
    <col min="14606" max="14848" width="9.1796875" style="294"/>
    <col min="14849" max="14849" width="24.7265625" style="294" bestFit="1" customWidth="1"/>
    <col min="14850" max="14850" width="18.7265625" style="294" bestFit="1" customWidth="1"/>
    <col min="14851" max="14851" width="8.1796875" style="294" bestFit="1" customWidth="1"/>
    <col min="14852" max="14853" width="8.26953125" style="294" bestFit="1" customWidth="1"/>
    <col min="14854" max="14854" width="7.26953125" style="294" bestFit="1" customWidth="1"/>
    <col min="14855" max="14855" width="40" style="294" bestFit="1" customWidth="1"/>
    <col min="14856" max="14856" width="17.1796875" style="294" bestFit="1" customWidth="1"/>
    <col min="14857" max="14857" width="23.26953125" style="294" customWidth="1"/>
    <col min="14858" max="14858" width="28.7265625" style="294" bestFit="1" customWidth="1"/>
    <col min="14859" max="14860" width="9.1796875" style="294"/>
    <col min="14861" max="14861" width="13.26953125" style="294" customWidth="1"/>
    <col min="14862" max="15104" width="9.1796875" style="294"/>
    <col min="15105" max="15105" width="24.7265625" style="294" bestFit="1" customWidth="1"/>
    <col min="15106" max="15106" width="18.7265625" style="294" bestFit="1" customWidth="1"/>
    <col min="15107" max="15107" width="8.1796875" style="294" bestFit="1" customWidth="1"/>
    <col min="15108" max="15109" width="8.26953125" style="294" bestFit="1" customWidth="1"/>
    <col min="15110" max="15110" width="7.26953125" style="294" bestFit="1" customWidth="1"/>
    <col min="15111" max="15111" width="40" style="294" bestFit="1" customWidth="1"/>
    <col min="15112" max="15112" width="17.1796875" style="294" bestFit="1" customWidth="1"/>
    <col min="15113" max="15113" width="23.26953125" style="294" customWidth="1"/>
    <col min="15114" max="15114" width="28.7265625" style="294" bestFit="1" customWidth="1"/>
    <col min="15115" max="15116" width="9.1796875" style="294"/>
    <col min="15117" max="15117" width="13.26953125" style="294" customWidth="1"/>
    <col min="15118" max="15360" width="9.1796875" style="294"/>
    <col min="15361" max="15361" width="24.7265625" style="294" bestFit="1" customWidth="1"/>
    <col min="15362" max="15362" width="18.7265625" style="294" bestFit="1" customWidth="1"/>
    <col min="15363" max="15363" width="8.1796875" style="294" bestFit="1" customWidth="1"/>
    <col min="15364" max="15365" width="8.26953125" style="294" bestFit="1" customWidth="1"/>
    <col min="15366" max="15366" width="7.26953125" style="294" bestFit="1" customWidth="1"/>
    <col min="15367" max="15367" width="40" style="294" bestFit="1" customWidth="1"/>
    <col min="15368" max="15368" width="17.1796875" style="294" bestFit="1" customWidth="1"/>
    <col min="15369" max="15369" width="23.26953125" style="294" customWidth="1"/>
    <col min="15370" max="15370" width="28.7265625" style="294" bestFit="1" customWidth="1"/>
    <col min="15371" max="15372" width="9.1796875" style="294"/>
    <col min="15373" max="15373" width="13.26953125" style="294" customWidth="1"/>
    <col min="15374" max="15616" width="9.1796875" style="294"/>
    <col min="15617" max="15617" width="24.7265625" style="294" bestFit="1" customWidth="1"/>
    <col min="15618" max="15618" width="18.7265625" style="294" bestFit="1" customWidth="1"/>
    <col min="15619" max="15619" width="8.1796875" style="294" bestFit="1" customWidth="1"/>
    <col min="15620" max="15621" width="8.26953125" style="294" bestFit="1" customWidth="1"/>
    <col min="15622" max="15622" width="7.26953125" style="294" bestFit="1" customWidth="1"/>
    <col min="15623" max="15623" width="40" style="294" bestFit="1" customWidth="1"/>
    <col min="15624" max="15624" width="17.1796875" style="294" bestFit="1" customWidth="1"/>
    <col min="15625" max="15625" width="23.26953125" style="294" customWidth="1"/>
    <col min="15626" max="15626" width="28.7265625" style="294" bestFit="1" customWidth="1"/>
    <col min="15627" max="15628" width="9.1796875" style="294"/>
    <col min="15629" max="15629" width="13.26953125" style="294" customWidth="1"/>
    <col min="15630" max="15872" width="9.1796875" style="294"/>
    <col min="15873" max="15873" width="24.7265625" style="294" bestFit="1" customWidth="1"/>
    <col min="15874" max="15874" width="18.7265625" style="294" bestFit="1" customWidth="1"/>
    <col min="15875" max="15875" width="8.1796875" style="294" bestFit="1" customWidth="1"/>
    <col min="15876" max="15877" width="8.26953125" style="294" bestFit="1" customWidth="1"/>
    <col min="15878" max="15878" width="7.26953125" style="294" bestFit="1" customWidth="1"/>
    <col min="15879" max="15879" width="40" style="294" bestFit="1" customWidth="1"/>
    <col min="15880" max="15880" width="17.1796875" style="294" bestFit="1" customWidth="1"/>
    <col min="15881" max="15881" width="23.26953125" style="294" customWidth="1"/>
    <col min="15882" max="15882" width="28.7265625" style="294" bestFit="1" customWidth="1"/>
    <col min="15883" max="15884" width="9.1796875" style="294"/>
    <col min="15885" max="15885" width="13.26953125" style="294" customWidth="1"/>
    <col min="15886" max="16128" width="9.1796875" style="294"/>
    <col min="16129" max="16129" width="24.7265625" style="294" bestFit="1" customWidth="1"/>
    <col min="16130" max="16130" width="18.7265625" style="294" bestFit="1" customWidth="1"/>
    <col min="16131" max="16131" width="8.1796875" style="294" bestFit="1" customWidth="1"/>
    <col min="16132" max="16133" width="8.26953125" style="294" bestFit="1" customWidth="1"/>
    <col min="16134" max="16134" width="7.26953125" style="294" bestFit="1" customWidth="1"/>
    <col min="16135" max="16135" width="40" style="294" bestFit="1" customWidth="1"/>
    <col min="16136" max="16136" width="17.1796875" style="294" bestFit="1" customWidth="1"/>
    <col min="16137" max="16137" width="23.26953125" style="294" customWidth="1"/>
    <col min="16138" max="16138" width="28.7265625" style="294" bestFit="1" customWidth="1"/>
    <col min="16139" max="16140" width="9.1796875" style="294"/>
    <col min="16141" max="16141" width="13.26953125" style="294" customWidth="1"/>
    <col min="16142" max="16384" width="9.1796875" style="294"/>
  </cols>
  <sheetData>
    <row r="1" spans="1:23" s="289" customFormat="1" ht="57.75" customHeight="1">
      <c r="A1" s="286" t="s">
        <v>0</v>
      </c>
      <c r="B1" s="287" t="s">
        <v>1</v>
      </c>
      <c r="C1" s="287" t="s">
        <v>2</v>
      </c>
      <c r="D1" s="287" t="s">
        <v>3</v>
      </c>
      <c r="E1" s="287" t="s">
        <v>4</v>
      </c>
      <c r="F1" s="287" t="s">
        <v>5</v>
      </c>
      <c r="G1" s="287" t="s">
        <v>6</v>
      </c>
      <c r="H1" s="287" t="s">
        <v>703</v>
      </c>
      <c r="I1" s="287" t="s">
        <v>704</v>
      </c>
      <c r="J1" s="287" t="s">
        <v>705</v>
      </c>
      <c r="K1" s="287" t="s">
        <v>10</v>
      </c>
      <c r="L1" s="287" t="s">
        <v>706</v>
      </c>
      <c r="M1" s="288" t="s">
        <v>12</v>
      </c>
    </row>
    <row r="2" spans="1:23" ht="10.5">
      <c r="A2" s="290" t="s">
        <v>998</v>
      </c>
      <c r="B2" s="291" t="s">
        <v>14</v>
      </c>
      <c r="C2" s="291" t="s">
        <v>879</v>
      </c>
      <c r="D2" s="291">
        <v>1</v>
      </c>
      <c r="E2" s="291">
        <f>E8</f>
        <v>50</v>
      </c>
      <c r="F2" s="291">
        <f>SUM(F3:F8)</f>
        <v>50</v>
      </c>
      <c r="G2" s="292"/>
      <c r="H2" s="292"/>
      <c r="I2" s="292"/>
      <c r="J2" s="291"/>
      <c r="K2" s="291"/>
      <c r="L2" s="291"/>
      <c r="M2" s="423" t="s">
        <v>16</v>
      </c>
    </row>
    <row r="3" spans="1:23" ht="20.25" customHeight="1">
      <c r="A3" s="295" t="s">
        <v>17</v>
      </c>
      <c r="B3" s="296" t="s">
        <v>18</v>
      </c>
      <c r="C3" s="297">
        <v>1</v>
      </c>
      <c r="D3" s="297">
        <v>1</v>
      </c>
      <c r="E3" s="297">
        <f t="shared" ref="E3:E8" si="0">D3+F3-1</f>
        <v>1</v>
      </c>
      <c r="F3" s="297">
        <v>1</v>
      </c>
      <c r="G3" s="298" t="s">
        <v>19</v>
      </c>
      <c r="H3" s="299" t="s">
        <v>999</v>
      </c>
      <c r="I3" s="298"/>
      <c r="J3" s="297"/>
      <c r="K3" s="297"/>
      <c r="L3" s="297"/>
      <c r="M3" s="293" t="s">
        <v>16</v>
      </c>
    </row>
    <row r="4" spans="1:23" s="23" customFormat="1">
      <c r="A4" s="18" t="s">
        <v>710</v>
      </c>
      <c r="B4" s="18" t="s">
        <v>711</v>
      </c>
      <c r="C4" s="19">
        <v>2</v>
      </c>
      <c r="D4" s="19">
        <f>E3+1</f>
        <v>2</v>
      </c>
      <c r="E4" s="19">
        <f t="shared" si="0"/>
        <v>16</v>
      </c>
      <c r="F4" s="19">
        <v>15</v>
      </c>
      <c r="G4" s="18" t="s">
        <v>1000</v>
      </c>
      <c r="H4" s="20"/>
      <c r="I4" s="20"/>
      <c r="J4" s="18"/>
      <c r="K4" s="19"/>
      <c r="L4" s="19"/>
      <c r="M4" s="21"/>
      <c r="N4" s="22"/>
    </row>
    <row r="5" spans="1:23" s="23" customFormat="1">
      <c r="A5" s="18" t="s">
        <v>713</v>
      </c>
      <c r="B5" s="18" t="s">
        <v>714</v>
      </c>
      <c r="C5" s="19">
        <v>3</v>
      </c>
      <c r="D5" s="19">
        <f>E4+1</f>
        <v>17</v>
      </c>
      <c r="E5" s="19">
        <f t="shared" si="0"/>
        <v>26</v>
      </c>
      <c r="F5" s="19">
        <v>10</v>
      </c>
      <c r="G5" s="18" t="s">
        <v>715</v>
      </c>
      <c r="H5" s="20"/>
      <c r="I5" s="20"/>
      <c r="J5" s="18"/>
      <c r="K5" s="19"/>
      <c r="L5" s="19"/>
      <c r="M5" s="21"/>
      <c r="N5" s="22"/>
    </row>
    <row r="6" spans="1:23" s="23" customFormat="1" ht="10.5">
      <c r="A6" s="18" t="s">
        <v>1001</v>
      </c>
      <c r="B6" s="18" t="s">
        <v>1002</v>
      </c>
      <c r="C6" s="19">
        <v>4</v>
      </c>
      <c r="D6" s="19">
        <f>E5+1</f>
        <v>27</v>
      </c>
      <c r="E6" s="19">
        <f t="shared" si="0"/>
        <v>34</v>
      </c>
      <c r="F6" s="19">
        <v>8</v>
      </c>
      <c r="G6" s="18" t="s">
        <v>1003</v>
      </c>
      <c r="H6" s="24"/>
      <c r="I6" s="24"/>
      <c r="J6" s="18"/>
      <c r="K6" s="19"/>
      <c r="L6" s="19"/>
      <c r="M6" s="21"/>
      <c r="N6" s="22"/>
    </row>
    <row r="7" spans="1:23" ht="12.5">
      <c r="A7" s="12" t="s">
        <v>717</v>
      </c>
      <c r="B7" s="13" t="s">
        <v>1004</v>
      </c>
      <c r="C7" s="14">
        <v>5</v>
      </c>
      <c r="D7" s="19">
        <f>E6+1</f>
        <v>35</v>
      </c>
      <c r="E7" s="14">
        <f t="shared" si="0"/>
        <v>49</v>
      </c>
      <c r="F7" s="14">
        <v>15</v>
      </c>
      <c r="G7" s="301" t="s">
        <v>1877</v>
      </c>
      <c r="H7" s="299" t="s">
        <v>999</v>
      </c>
      <c r="I7" s="301"/>
      <c r="J7" s="297"/>
      <c r="K7" s="297"/>
      <c r="L7" s="297"/>
      <c r="M7" s="293" t="s">
        <v>16</v>
      </c>
    </row>
    <row r="8" spans="1:23" s="23" customFormat="1">
      <c r="A8" s="18" t="s">
        <v>719</v>
      </c>
      <c r="B8" s="18" t="s">
        <v>720</v>
      </c>
      <c r="C8" s="297">
        <v>6</v>
      </c>
      <c r="D8" s="19">
        <f>E7+1</f>
        <v>50</v>
      </c>
      <c r="E8" s="14">
        <f t="shared" si="0"/>
        <v>50</v>
      </c>
      <c r="F8" s="19">
        <v>1</v>
      </c>
      <c r="G8" s="18" t="s">
        <v>523</v>
      </c>
      <c r="H8" s="20"/>
      <c r="I8" s="20"/>
      <c r="J8" s="18"/>
      <c r="K8" s="19"/>
      <c r="L8" s="19"/>
      <c r="M8" s="21"/>
      <c r="N8" s="22"/>
    </row>
    <row r="9" spans="1:23" ht="10.5">
      <c r="A9" s="290" t="s">
        <v>1006</v>
      </c>
      <c r="B9" s="291" t="s">
        <v>14</v>
      </c>
      <c r="C9" s="302" t="s">
        <v>879</v>
      </c>
      <c r="D9" s="291">
        <v>1</v>
      </c>
      <c r="E9" s="291">
        <f>E26</f>
        <v>278</v>
      </c>
      <c r="F9" s="291">
        <f>SUM(F10:F26)</f>
        <v>278</v>
      </c>
      <c r="G9" s="303"/>
      <c r="H9" s="303"/>
      <c r="I9" s="303"/>
      <c r="J9" s="291"/>
      <c r="K9" s="291"/>
      <c r="L9" s="291"/>
      <c r="M9" s="423" t="s">
        <v>16</v>
      </c>
    </row>
    <row r="10" spans="1:23" ht="12.5">
      <c r="A10" s="304" t="s">
        <v>723</v>
      </c>
      <c r="B10" s="296" t="s">
        <v>18</v>
      </c>
      <c r="C10" s="297">
        <v>7</v>
      </c>
      <c r="D10" s="305">
        <v>1</v>
      </c>
      <c r="E10" s="297">
        <f t="shared" ref="E10:E26" si="1">D10+F10-1</f>
        <v>1</v>
      </c>
      <c r="F10" s="305">
        <v>1</v>
      </c>
      <c r="G10" s="298" t="s">
        <v>38</v>
      </c>
      <c r="H10" s="16" t="s">
        <v>20</v>
      </c>
      <c r="I10" s="298"/>
      <c r="J10" s="305"/>
      <c r="K10" s="305"/>
      <c r="L10" s="305"/>
      <c r="M10" s="293" t="s">
        <v>16</v>
      </c>
    </row>
    <row r="11" spans="1:23" ht="12.5">
      <c r="A11" s="306" t="s">
        <v>1007</v>
      </c>
      <c r="B11" s="296" t="s">
        <v>1008</v>
      </c>
      <c r="C11" s="297">
        <v>8</v>
      </c>
      <c r="D11" s="307">
        <f>E10+1</f>
        <v>2</v>
      </c>
      <c r="E11" s="307">
        <f t="shared" si="1"/>
        <v>12</v>
      </c>
      <c r="F11" s="297">
        <v>11</v>
      </c>
      <c r="G11" s="308" t="s">
        <v>1009</v>
      </c>
      <c r="H11" s="299" t="s">
        <v>999</v>
      </c>
      <c r="I11" s="298" t="s">
        <v>1818</v>
      </c>
      <c r="J11" s="309" t="s">
        <v>1011</v>
      </c>
      <c r="K11" s="310" t="s">
        <v>1819</v>
      </c>
      <c r="L11" s="305"/>
      <c r="M11" s="293" t="s">
        <v>16</v>
      </c>
    </row>
    <row r="12" spans="1:23" ht="12.5">
      <c r="A12" s="306" t="s">
        <v>1820</v>
      </c>
      <c r="B12" s="296" t="s">
        <v>1075</v>
      </c>
      <c r="C12" s="297">
        <v>9</v>
      </c>
      <c r="D12" s="307">
        <f t="shared" ref="D12:D26" si="2">E11+1</f>
        <v>13</v>
      </c>
      <c r="E12" s="307">
        <f t="shared" si="1"/>
        <v>20</v>
      </c>
      <c r="F12" s="297">
        <v>8</v>
      </c>
      <c r="G12" s="308" t="s">
        <v>1821</v>
      </c>
      <c r="H12" s="299"/>
      <c r="I12" s="298" t="s">
        <v>1818</v>
      </c>
      <c r="J12" s="309" t="s">
        <v>1822</v>
      </c>
      <c r="K12" s="310" t="s">
        <v>1819</v>
      </c>
      <c r="L12" s="305"/>
      <c r="M12" s="424" t="s">
        <v>16</v>
      </c>
    </row>
    <row r="13" spans="1:23" s="428" customFormat="1">
      <c r="A13" s="33" t="s">
        <v>1823</v>
      </c>
      <c r="B13" s="425" t="s">
        <v>1048</v>
      </c>
      <c r="C13" s="297">
        <v>10</v>
      </c>
      <c r="D13" s="307">
        <f t="shared" si="2"/>
        <v>21</v>
      </c>
      <c r="E13" s="307">
        <f t="shared" si="1"/>
        <v>80</v>
      </c>
      <c r="F13" s="307">
        <v>60</v>
      </c>
      <c r="G13" s="34" t="s">
        <v>1824</v>
      </c>
      <c r="H13" s="299" t="s">
        <v>999</v>
      </c>
      <c r="I13" s="298" t="s">
        <v>1818</v>
      </c>
      <c r="J13" s="426" t="s">
        <v>1825</v>
      </c>
      <c r="K13" s="310" t="s">
        <v>1819</v>
      </c>
      <c r="L13" s="36" t="s">
        <v>1826</v>
      </c>
      <c r="M13" s="293" t="s">
        <v>16</v>
      </c>
      <c r="N13" s="427"/>
      <c r="O13" s="427"/>
      <c r="P13" s="427"/>
      <c r="Q13" s="427"/>
      <c r="R13" s="427"/>
      <c r="S13" s="427"/>
      <c r="T13" s="427"/>
      <c r="U13" s="427"/>
      <c r="V13" s="427"/>
      <c r="W13" s="427"/>
    </row>
    <row r="14" spans="1:23" s="427" customFormat="1">
      <c r="A14" s="33" t="s">
        <v>224</v>
      </c>
      <c r="B14" s="425" t="s">
        <v>1827</v>
      </c>
      <c r="C14" s="297">
        <v>11</v>
      </c>
      <c r="D14" s="307">
        <f t="shared" si="2"/>
        <v>81</v>
      </c>
      <c r="E14" s="307">
        <f t="shared" si="1"/>
        <v>84</v>
      </c>
      <c r="F14" s="307">
        <v>4</v>
      </c>
      <c r="G14" s="34" t="s">
        <v>1828</v>
      </c>
      <c r="H14" s="299" t="s">
        <v>999</v>
      </c>
      <c r="I14" s="298" t="s">
        <v>1818</v>
      </c>
      <c r="J14" s="426" t="s">
        <v>1103</v>
      </c>
      <c r="K14" s="310" t="s">
        <v>1819</v>
      </c>
      <c r="L14" s="36" t="s">
        <v>1829</v>
      </c>
      <c r="M14" s="293" t="s">
        <v>16</v>
      </c>
    </row>
    <row r="15" spans="1:23" s="427" customFormat="1">
      <c r="A15" s="33" t="s">
        <v>1830</v>
      </c>
      <c r="B15" s="425" t="s">
        <v>1831</v>
      </c>
      <c r="C15" s="297">
        <v>12</v>
      </c>
      <c r="D15" s="307">
        <f t="shared" si="2"/>
        <v>85</v>
      </c>
      <c r="E15" s="307">
        <f t="shared" si="1"/>
        <v>104</v>
      </c>
      <c r="F15" s="307">
        <v>20</v>
      </c>
      <c r="G15" s="34" t="s">
        <v>1832</v>
      </c>
      <c r="H15" s="299" t="s">
        <v>999</v>
      </c>
      <c r="I15" s="298" t="s">
        <v>1818</v>
      </c>
      <c r="J15" s="426" t="s">
        <v>3078</v>
      </c>
      <c r="K15" s="310" t="s">
        <v>1819</v>
      </c>
      <c r="L15" s="36" t="s">
        <v>1834</v>
      </c>
      <c r="M15" s="293" t="s">
        <v>16</v>
      </c>
    </row>
    <row r="16" spans="1:23" s="427" customFormat="1">
      <c r="A16" s="33" t="s">
        <v>1835</v>
      </c>
      <c r="B16" s="425" t="s">
        <v>1831</v>
      </c>
      <c r="C16" s="297">
        <v>13</v>
      </c>
      <c r="D16" s="307">
        <f t="shared" si="2"/>
        <v>105</v>
      </c>
      <c r="E16" s="307">
        <f t="shared" si="1"/>
        <v>124</v>
      </c>
      <c r="F16" s="307">
        <v>20</v>
      </c>
      <c r="G16" s="34" t="s">
        <v>1836</v>
      </c>
      <c r="H16" s="299" t="s">
        <v>999</v>
      </c>
      <c r="I16" s="298" t="s">
        <v>1818</v>
      </c>
      <c r="J16" s="426" t="s">
        <v>1837</v>
      </c>
      <c r="K16" s="310" t="s">
        <v>1819</v>
      </c>
      <c r="L16" s="36" t="s">
        <v>1838</v>
      </c>
      <c r="M16" s="293" t="s">
        <v>16</v>
      </c>
    </row>
    <row r="17" spans="1:23" s="428" customFormat="1">
      <c r="A17" s="61" t="s">
        <v>1839</v>
      </c>
      <c r="B17" s="425" t="s">
        <v>1075</v>
      </c>
      <c r="C17" s="297">
        <v>14</v>
      </c>
      <c r="D17" s="307">
        <f t="shared" si="2"/>
        <v>125</v>
      </c>
      <c r="E17" s="307">
        <f t="shared" si="1"/>
        <v>132</v>
      </c>
      <c r="F17" s="307">
        <v>8</v>
      </c>
      <c r="G17" s="34" t="s">
        <v>1840</v>
      </c>
      <c r="H17" s="299" t="s">
        <v>999</v>
      </c>
      <c r="I17" s="298" t="s">
        <v>1818</v>
      </c>
      <c r="J17" s="426" t="s">
        <v>1841</v>
      </c>
      <c r="K17" s="310" t="s">
        <v>1819</v>
      </c>
      <c r="L17" s="36" t="s">
        <v>1842</v>
      </c>
      <c r="M17" s="293" t="s">
        <v>16</v>
      </c>
      <c r="N17" s="427"/>
      <c r="O17" s="427"/>
      <c r="P17" s="427"/>
      <c r="Q17" s="427"/>
      <c r="R17" s="427"/>
      <c r="S17" s="427"/>
      <c r="T17" s="427"/>
      <c r="U17" s="427"/>
      <c r="V17" s="427"/>
      <c r="W17" s="427"/>
    </row>
    <row r="18" spans="1:23" s="428" customFormat="1">
      <c r="A18" s="61" t="s">
        <v>1843</v>
      </c>
      <c r="B18" s="429" t="s">
        <v>1844</v>
      </c>
      <c r="C18" s="297">
        <v>15</v>
      </c>
      <c r="D18" s="307">
        <f t="shared" si="2"/>
        <v>133</v>
      </c>
      <c r="E18" s="307">
        <f t="shared" si="1"/>
        <v>152</v>
      </c>
      <c r="F18" s="307">
        <v>20</v>
      </c>
      <c r="G18" s="34" t="s">
        <v>1845</v>
      </c>
      <c r="H18" s="299" t="s">
        <v>999</v>
      </c>
      <c r="I18" s="298" t="s">
        <v>1818</v>
      </c>
      <c r="J18" s="426" t="s">
        <v>1846</v>
      </c>
      <c r="K18" s="310" t="s">
        <v>1819</v>
      </c>
      <c r="L18" s="36" t="s">
        <v>1847</v>
      </c>
      <c r="M18" s="293" t="s">
        <v>16</v>
      </c>
      <c r="N18" s="427"/>
      <c r="O18" s="427"/>
      <c r="P18" s="427"/>
      <c r="Q18" s="427"/>
      <c r="R18" s="427"/>
      <c r="S18" s="427"/>
      <c r="T18" s="427"/>
      <c r="U18" s="427"/>
      <c r="V18" s="427"/>
      <c r="W18" s="427"/>
    </row>
    <row r="19" spans="1:23" s="428" customFormat="1">
      <c r="A19" s="61" t="s">
        <v>1848</v>
      </c>
      <c r="B19" s="425" t="s">
        <v>1831</v>
      </c>
      <c r="C19" s="297">
        <v>16</v>
      </c>
      <c r="D19" s="307">
        <f t="shared" si="2"/>
        <v>153</v>
      </c>
      <c r="E19" s="307">
        <f t="shared" si="1"/>
        <v>172</v>
      </c>
      <c r="F19" s="307">
        <v>20</v>
      </c>
      <c r="G19" s="34" t="s">
        <v>1849</v>
      </c>
      <c r="H19" s="299" t="s">
        <v>999</v>
      </c>
      <c r="I19" s="298" t="s">
        <v>1818</v>
      </c>
      <c r="J19" s="426" t="s">
        <v>1850</v>
      </c>
      <c r="K19" s="310" t="s">
        <v>1819</v>
      </c>
      <c r="L19" s="36" t="s">
        <v>1851</v>
      </c>
      <c r="M19" s="293" t="s">
        <v>16</v>
      </c>
      <c r="N19" s="427"/>
      <c r="O19" s="427"/>
      <c r="P19" s="427"/>
      <c r="Q19" s="427"/>
      <c r="R19" s="427"/>
      <c r="S19" s="427"/>
      <c r="T19" s="427"/>
      <c r="U19" s="427"/>
      <c r="V19" s="427"/>
      <c r="W19" s="427"/>
    </row>
    <row r="20" spans="1:23" s="428" customFormat="1" ht="10.5">
      <c r="A20" s="430" t="s">
        <v>1852</v>
      </c>
      <c r="B20" s="425" t="s">
        <v>1831</v>
      </c>
      <c r="C20" s="297">
        <v>17</v>
      </c>
      <c r="D20" s="307">
        <f t="shared" si="2"/>
        <v>173</v>
      </c>
      <c r="E20" s="307">
        <f t="shared" si="1"/>
        <v>192</v>
      </c>
      <c r="F20" s="307">
        <v>20</v>
      </c>
      <c r="G20" s="431" t="s">
        <v>1853</v>
      </c>
      <c r="H20" s="299" t="s">
        <v>999</v>
      </c>
      <c r="I20" s="298" t="s">
        <v>1818</v>
      </c>
      <c r="J20" s="426" t="s">
        <v>1854</v>
      </c>
      <c r="K20" s="310" t="s">
        <v>1819</v>
      </c>
      <c r="L20" s="36" t="s">
        <v>1855</v>
      </c>
      <c r="M20" s="293" t="s">
        <v>16</v>
      </c>
      <c r="N20" s="427"/>
      <c r="O20" s="427"/>
      <c r="P20" s="427"/>
      <c r="Q20" s="427"/>
      <c r="R20" s="427"/>
      <c r="S20" s="427"/>
      <c r="T20" s="427"/>
      <c r="U20" s="427"/>
      <c r="V20" s="427"/>
      <c r="W20" s="427"/>
    </row>
    <row r="21" spans="1:23" s="427" customFormat="1" ht="10.5">
      <c r="A21" s="33" t="s">
        <v>1856</v>
      </c>
      <c r="B21" s="425" t="s">
        <v>1831</v>
      </c>
      <c r="C21" s="297">
        <v>18</v>
      </c>
      <c r="D21" s="307">
        <f t="shared" si="2"/>
        <v>193</v>
      </c>
      <c r="E21" s="307">
        <f t="shared" si="1"/>
        <v>212</v>
      </c>
      <c r="F21" s="307">
        <v>20</v>
      </c>
      <c r="G21" s="431" t="s">
        <v>1857</v>
      </c>
      <c r="H21" s="70" t="s">
        <v>999</v>
      </c>
      <c r="I21" s="298" t="s">
        <v>1818</v>
      </c>
      <c r="J21" s="426" t="s">
        <v>1858</v>
      </c>
      <c r="K21" s="310" t="s">
        <v>1819</v>
      </c>
      <c r="L21" s="36" t="s">
        <v>1859</v>
      </c>
      <c r="M21" s="293" t="s">
        <v>16</v>
      </c>
    </row>
    <row r="22" spans="1:23" s="427" customFormat="1">
      <c r="A22" s="61" t="s">
        <v>1860</v>
      </c>
      <c r="B22" s="425" t="s">
        <v>1831</v>
      </c>
      <c r="C22" s="297">
        <v>19</v>
      </c>
      <c r="D22" s="307">
        <f t="shared" si="2"/>
        <v>213</v>
      </c>
      <c r="E22" s="307">
        <f t="shared" si="1"/>
        <v>232</v>
      </c>
      <c r="F22" s="307">
        <v>20</v>
      </c>
      <c r="G22" s="34" t="s">
        <v>1861</v>
      </c>
      <c r="H22" s="70" t="s">
        <v>999</v>
      </c>
      <c r="I22" s="298" t="s">
        <v>1818</v>
      </c>
      <c r="J22" s="426" t="s">
        <v>1862</v>
      </c>
      <c r="K22" s="310" t="s">
        <v>1819</v>
      </c>
      <c r="L22" s="36" t="s">
        <v>1863</v>
      </c>
      <c r="M22" s="293" t="s">
        <v>16</v>
      </c>
    </row>
    <row r="23" spans="1:23" s="428" customFormat="1">
      <c r="A23" s="61" t="s">
        <v>1864</v>
      </c>
      <c r="B23" s="425" t="s">
        <v>1831</v>
      </c>
      <c r="C23" s="297">
        <v>20</v>
      </c>
      <c r="D23" s="307">
        <f t="shared" si="2"/>
        <v>233</v>
      </c>
      <c r="E23" s="307">
        <f t="shared" si="1"/>
        <v>252</v>
      </c>
      <c r="F23" s="307">
        <v>20</v>
      </c>
      <c r="G23" s="34" t="s">
        <v>1865</v>
      </c>
      <c r="H23" s="70" t="s">
        <v>999</v>
      </c>
      <c r="I23" s="298" t="s">
        <v>1818</v>
      </c>
      <c r="J23" s="426" t="s">
        <v>1866</v>
      </c>
      <c r="K23" s="310" t="s">
        <v>1819</v>
      </c>
      <c r="L23" s="36" t="s">
        <v>1867</v>
      </c>
      <c r="M23" s="293" t="s">
        <v>16</v>
      </c>
      <c r="N23" s="427"/>
      <c r="O23" s="427"/>
      <c r="P23" s="427"/>
      <c r="Q23" s="427"/>
      <c r="R23" s="427"/>
      <c r="S23" s="427"/>
      <c r="T23" s="427"/>
      <c r="U23" s="427"/>
      <c r="V23" s="427"/>
      <c r="W23" s="427"/>
    </row>
    <row r="24" spans="1:23" s="189" customFormat="1">
      <c r="A24" s="33" t="s">
        <v>1868</v>
      </c>
      <c r="B24" s="32" t="s">
        <v>1869</v>
      </c>
      <c r="C24" s="14">
        <v>21</v>
      </c>
      <c r="D24" s="307">
        <f t="shared" si="2"/>
        <v>253</v>
      </c>
      <c r="E24" s="14">
        <f t="shared" si="1"/>
        <v>257</v>
      </c>
      <c r="F24" s="14">
        <v>5</v>
      </c>
      <c r="G24" s="34" t="s">
        <v>1870</v>
      </c>
      <c r="H24" s="16" t="s">
        <v>999</v>
      </c>
      <c r="I24" s="298" t="s">
        <v>1818</v>
      </c>
      <c r="J24" s="39" t="s">
        <v>1871</v>
      </c>
      <c r="K24" s="310" t="s">
        <v>1819</v>
      </c>
      <c r="L24" s="432"/>
      <c r="M24" s="40" t="s">
        <v>1872</v>
      </c>
    </row>
    <row r="25" spans="1:23" s="189" customFormat="1">
      <c r="A25" s="433" t="s">
        <v>1873</v>
      </c>
      <c r="B25" s="434" t="s">
        <v>1831</v>
      </c>
      <c r="C25" s="435">
        <v>22</v>
      </c>
      <c r="D25" s="436">
        <f t="shared" si="2"/>
        <v>258</v>
      </c>
      <c r="E25" s="435">
        <f t="shared" si="1"/>
        <v>277</v>
      </c>
      <c r="F25" s="435">
        <v>20</v>
      </c>
      <c r="G25" s="437" t="s">
        <v>1874</v>
      </c>
      <c r="H25" s="438" t="s">
        <v>999</v>
      </c>
      <c r="I25" s="439" t="s">
        <v>1818</v>
      </c>
      <c r="J25" s="440" t="s">
        <v>1875</v>
      </c>
      <c r="K25" s="441" t="s">
        <v>1819</v>
      </c>
      <c r="L25" s="442">
        <v>1003</v>
      </c>
      <c r="M25" s="443" t="s">
        <v>1872</v>
      </c>
    </row>
    <row r="26" spans="1:23" s="23" customFormat="1">
      <c r="A26" s="18" t="s">
        <v>719</v>
      </c>
      <c r="B26" s="18" t="s">
        <v>720</v>
      </c>
      <c r="C26" s="297">
        <v>23</v>
      </c>
      <c r="D26" s="307">
        <f t="shared" si="2"/>
        <v>278</v>
      </c>
      <c r="E26" s="14">
        <f t="shared" si="1"/>
        <v>278</v>
      </c>
      <c r="F26" s="19">
        <v>1</v>
      </c>
      <c r="G26" s="18" t="s">
        <v>721</v>
      </c>
      <c r="H26" s="20"/>
      <c r="I26" s="20"/>
      <c r="J26" s="18"/>
      <c r="K26" s="19"/>
      <c r="L26" s="19"/>
      <c r="M26" s="21"/>
      <c r="N26" s="22"/>
    </row>
    <row r="27" spans="1:23" ht="10.5">
      <c r="A27" s="290" t="s">
        <v>1097</v>
      </c>
      <c r="B27" s="291" t="s">
        <v>14</v>
      </c>
      <c r="C27" s="302" t="s">
        <v>879</v>
      </c>
      <c r="D27" s="291">
        <v>1</v>
      </c>
      <c r="E27" s="291">
        <f>E30</f>
        <v>11</v>
      </c>
      <c r="F27" s="291">
        <f>SUM(F28:F30)</f>
        <v>11</v>
      </c>
      <c r="G27" s="303"/>
      <c r="H27" s="303"/>
      <c r="I27" s="303"/>
      <c r="J27" s="291"/>
      <c r="K27" s="316" t="s">
        <v>204</v>
      </c>
      <c r="L27" s="316"/>
      <c r="M27" s="316"/>
    </row>
    <row r="28" spans="1:23" ht="12.5">
      <c r="A28" s="304" t="s">
        <v>723</v>
      </c>
      <c r="B28" s="296" t="s">
        <v>18</v>
      </c>
      <c r="C28" s="297">
        <v>24</v>
      </c>
      <c r="D28" s="297">
        <v>1</v>
      </c>
      <c r="E28" s="297">
        <v>1</v>
      </c>
      <c r="F28" s="297">
        <v>1</v>
      </c>
      <c r="G28" s="298" t="s">
        <v>205</v>
      </c>
      <c r="H28" s="70" t="s">
        <v>999</v>
      </c>
      <c r="I28" s="298"/>
      <c r="J28" s="297"/>
      <c r="K28" s="297"/>
      <c r="L28" s="297"/>
      <c r="M28" s="293"/>
    </row>
    <row r="29" spans="1:23" ht="12.5">
      <c r="A29" s="317" t="s">
        <v>206</v>
      </c>
      <c r="B29" s="296" t="s">
        <v>207</v>
      </c>
      <c r="C29" s="297">
        <v>25</v>
      </c>
      <c r="D29" s="297">
        <v>2</v>
      </c>
      <c r="E29" s="297">
        <f>D29+F29-1</f>
        <v>10</v>
      </c>
      <c r="F29" s="297">
        <v>9</v>
      </c>
      <c r="G29" s="298" t="s">
        <v>1876</v>
      </c>
      <c r="H29" s="70" t="s">
        <v>999</v>
      </c>
      <c r="I29" s="298"/>
      <c r="J29" s="297"/>
      <c r="K29" s="297"/>
      <c r="L29" s="297"/>
      <c r="M29" s="293"/>
    </row>
    <row r="30" spans="1:23" s="23" customFormat="1">
      <c r="A30" s="18" t="s">
        <v>719</v>
      </c>
      <c r="B30" s="18" t="s">
        <v>720</v>
      </c>
      <c r="C30" s="19">
        <v>26</v>
      </c>
      <c r="D30" s="19">
        <f>E29+1</f>
        <v>11</v>
      </c>
      <c r="E30" s="14">
        <f>D30+F30-1</f>
        <v>11</v>
      </c>
      <c r="F30" s="19">
        <v>1</v>
      </c>
      <c r="G30" s="18" t="s">
        <v>721</v>
      </c>
      <c r="H30" s="20"/>
      <c r="I30" s="20"/>
      <c r="J30" s="18"/>
      <c r="K30" s="19"/>
      <c r="L30" s="19"/>
      <c r="M30" s="21"/>
      <c r="N30" s="22"/>
    </row>
    <row r="31" spans="1:23">
      <c r="M31" s="321"/>
    </row>
    <row r="32" spans="1:23">
      <c r="M32" s="321"/>
    </row>
    <row r="33" spans="1:13" s="289" customFormat="1" ht="57.75" hidden="1" customHeight="1">
      <c r="A33" s="286" t="s">
        <v>0</v>
      </c>
      <c r="B33" s="287" t="s">
        <v>1</v>
      </c>
      <c r="C33" s="287" t="s">
        <v>2</v>
      </c>
      <c r="D33" s="287" t="s">
        <v>3</v>
      </c>
      <c r="E33" s="287" t="s">
        <v>4</v>
      </c>
      <c r="F33" s="287" t="s">
        <v>5</v>
      </c>
      <c r="G33" s="287" t="s">
        <v>6</v>
      </c>
      <c r="H33" s="287" t="s">
        <v>703</v>
      </c>
      <c r="I33" s="287" t="s">
        <v>704</v>
      </c>
      <c r="J33" s="287" t="s">
        <v>705</v>
      </c>
      <c r="K33" s="287" t="s">
        <v>10</v>
      </c>
      <c r="L33" s="287" t="s">
        <v>706</v>
      </c>
      <c r="M33" s="288" t="s">
        <v>12</v>
      </c>
    </row>
    <row r="34" spans="1:13" ht="11.5" hidden="1">
      <c r="A34" s="322" t="s">
        <v>1099</v>
      </c>
      <c r="B34" s="297"/>
      <c r="C34" s="297"/>
      <c r="D34" s="297">
        <v>1</v>
      </c>
      <c r="E34" s="297">
        <v>20</v>
      </c>
      <c r="F34" s="297">
        <v>20</v>
      </c>
      <c r="G34" s="298" t="s">
        <v>210</v>
      </c>
      <c r="H34" s="298"/>
      <c r="I34" s="298"/>
      <c r="J34" s="297"/>
      <c r="K34" s="297"/>
      <c r="L34" s="297"/>
      <c r="M34" s="293" t="s">
        <v>16</v>
      </c>
    </row>
    <row r="35" spans="1:13" ht="10.5" hidden="1">
      <c r="A35" s="290" t="s">
        <v>1100</v>
      </c>
      <c r="B35" s="291" t="s">
        <v>14</v>
      </c>
      <c r="C35" s="291">
        <v>1</v>
      </c>
      <c r="D35" s="291">
        <v>1</v>
      </c>
      <c r="E35" s="291">
        <v>20</v>
      </c>
      <c r="F35" s="291">
        <v>20</v>
      </c>
      <c r="G35" s="292"/>
      <c r="H35" s="292"/>
      <c r="I35" s="292"/>
      <c r="J35" s="291"/>
      <c r="K35" s="291"/>
      <c r="L35" s="291"/>
      <c r="M35" s="293" t="s">
        <v>16</v>
      </c>
    </row>
    <row r="36" spans="1:13" ht="12.5" hidden="1">
      <c r="A36" s="295" t="s">
        <v>17</v>
      </c>
      <c r="B36" s="296" t="s">
        <v>18</v>
      </c>
      <c r="C36" s="297">
        <v>2</v>
      </c>
      <c r="D36" s="297">
        <v>1</v>
      </c>
      <c r="E36" s="297">
        <f>D36+F36-1</f>
        <v>1</v>
      </c>
      <c r="F36" s="297">
        <v>1</v>
      </c>
      <c r="G36" s="298" t="s">
        <v>19</v>
      </c>
      <c r="H36" s="298"/>
      <c r="I36" s="298"/>
      <c r="J36" s="297"/>
      <c r="K36" s="297"/>
      <c r="L36" s="297"/>
      <c r="M36" s="293" t="s">
        <v>16</v>
      </c>
    </row>
    <row r="37" spans="1:13" ht="12.5" hidden="1">
      <c r="A37" s="295" t="s">
        <v>212</v>
      </c>
      <c r="B37" s="296" t="s">
        <v>213</v>
      </c>
      <c r="C37" s="297">
        <v>3</v>
      </c>
      <c r="D37" s="297">
        <f>E36+1</f>
        <v>2</v>
      </c>
      <c r="E37" s="297">
        <f>D37+F37-1</f>
        <v>9</v>
      </c>
      <c r="F37" s="297">
        <v>8</v>
      </c>
      <c r="G37" s="301" t="s">
        <v>1101</v>
      </c>
      <c r="H37" s="301"/>
      <c r="I37" s="301"/>
      <c r="J37" s="297"/>
      <c r="K37" s="297"/>
      <c r="L37" s="297"/>
      <c r="M37" s="293" t="s">
        <v>16</v>
      </c>
    </row>
    <row r="38" spans="1:13" ht="12.5" hidden="1">
      <c r="A38" s="295" t="s">
        <v>215</v>
      </c>
      <c r="B38" s="296" t="s">
        <v>216</v>
      </c>
      <c r="C38" s="297">
        <v>4</v>
      </c>
      <c r="D38" s="297">
        <f>E37+1</f>
        <v>10</v>
      </c>
      <c r="E38" s="297">
        <f>D38+F38-1</f>
        <v>17</v>
      </c>
      <c r="F38" s="297">
        <v>8</v>
      </c>
      <c r="G38" s="301" t="s">
        <v>1003</v>
      </c>
      <c r="H38" s="301"/>
      <c r="I38" s="301"/>
      <c r="J38" s="297"/>
      <c r="K38" s="297"/>
      <c r="L38" s="297"/>
      <c r="M38" s="293" t="s">
        <v>16</v>
      </c>
    </row>
    <row r="39" spans="1:13" hidden="1">
      <c r="A39" s="317" t="s">
        <v>217</v>
      </c>
      <c r="B39" s="314" t="s">
        <v>218</v>
      </c>
      <c r="C39" s="297">
        <v>5</v>
      </c>
      <c r="D39" s="297">
        <f>E38+1</f>
        <v>18</v>
      </c>
      <c r="E39" s="297">
        <f>D39+F39-1</f>
        <v>20</v>
      </c>
      <c r="F39" s="297">
        <v>3</v>
      </c>
      <c r="G39" s="298" t="s">
        <v>219</v>
      </c>
      <c r="H39" s="298"/>
      <c r="I39" s="298"/>
      <c r="J39" s="297"/>
      <c r="K39" s="297"/>
      <c r="L39" s="297"/>
      <c r="M39" s="293" t="s">
        <v>16</v>
      </c>
    </row>
    <row r="40" spans="1:13" ht="10.5" hidden="1">
      <c r="A40" s="290" t="s">
        <v>1102</v>
      </c>
      <c r="B40" s="291" t="s">
        <v>14</v>
      </c>
      <c r="C40" s="302">
        <v>6</v>
      </c>
      <c r="D40" s="291">
        <v>1</v>
      </c>
      <c r="E40" s="291">
        <v>20</v>
      </c>
      <c r="F40" s="291">
        <v>20</v>
      </c>
      <c r="G40" s="303"/>
      <c r="H40" s="303"/>
      <c r="I40" s="303"/>
      <c r="J40" s="291"/>
      <c r="K40" s="291"/>
      <c r="L40" s="291"/>
      <c r="M40" s="293" t="s">
        <v>16</v>
      </c>
    </row>
    <row r="41" spans="1:13" ht="12.5" hidden="1">
      <c r="A41" s="304" t="s">
        <v>723</v>
      </c>
      <c r="B41" s="296" t="s">
        <v>18</v>
      </c>
      <c r="C41" s="297">
        <v>7</v>
      </c>
      <c r="D41" s="305">
        <v>1</v>
      </c>
      <c r="E41" s="297">
        <f>D41+F41-1</f>
        <v>1</v>
      </c>
      <c r="F41" s="305">
        <v>1</v>
      </c>
      <c r="G41" s="298" t="s">
        <v>38</v>
      </c>
      <c r="H41" s="298"/>
      <c r="I41" s="298"/>
      <c r="J41" s="305"/>
      <c r="K41" s="305"/>
      <c r="L41" s="305"/>
      <c r="M41" s="293" t="s">
        <v>16</v>
      </c>
    </row>
    <row r="42" spans="1:13" ht="24" hidden="1" customHeight="1">
      <c r="A42" s="312" t="s">
        <v>1103</v>
      </c>
      <c r="B42" s="296" t="s">
        <v>1104</v>
      </c>
      <c r="C42" s="297">
        <v>8</v>
      </c>
      <c r="D42" s="297">
        <f>E41+1</f>
        <v>2</v>
      </c>
      <c r="E42" s="297">
        <f>D42+F42-1</f>
        <v>5</v>
      </c>
      <c r="F42" s="297">
        <v>4</v>
      </c>
      <c r="G42" s="323" t="s">
        <v>1105</v>
      </c>
      <c r="H42" s="298" t="s">
        <v>20</v>
      </c>
      <c r="I42" s="298" t="s">
        <v>224</v>
      </c>
      <c r="J42" s="324" t="s">
        <v>1106</v>
      </c>
      <c r="K42" s="314" t="s">
        <v>1107</v>
      </c>
      <c r="L42" s="325">
        <v>611</v>
      </c>
      <c r="M42" s="293" t="s">
        <v>16</v>
      </c>
    </row>
    <row r="43" spans="1:13" ht="24" hidden="1" customHeight="1">
      <c r="A43" s="312" t="s">
        <v>226</v>
      </c>
      <c r="B43" s="296" t="s">
        <v>1108</v>
      </c>
      <c r="C43" s="297">
        <v>8</v>
      </c>
      <c r="D43" s="297">
        <f>E42+1</f>
        <v>6</v>
      </c>
      <c r="E43" s="297">
        <f>D43+F43-1</f>
        <v>17</v>
      </c>
      <c r="F43" s="297">
        <v>12</v>
      </c>
      <c r="G43" s="323" t="s">
        <v>1109</v>
      </c>
      <c r="H43" s="298" t="s">
        <v>20</v>
      </c>
      <c r="I43" s="298" t="s">
        <v>224</v>
      </c>
      <c r="J43" s="324" t="s">
        <v>1110</v>
      </c>
      <c r="K43" s="314" t="s">
        <v>1107</v>
      </c>
      <c r="L43" s="325">
        <v>611</v>
      </c>
      <c r="M43" s="293" t="s">
        <v>16</v>
      </c>
    </row>
    <row r="44" spans="1:13" ht="12.5" hidden="1">
      <c r="A44" s="295" t="s">
        <v>229</v>
      </c>
      <c r="B44" s="296" t="s">
        <v>1111</v>
      </c>
      <c r="C44" s="297">
        <v>9</v>
      </c>
      <c r="D44" s="297">
        <f>E43+1</f>
        <v>18</v>
      </c>
      <c r="E44" s="297">
        <f>D44+F44-1</f>
        <v>20</v>
      </c>
      <c r="F44" s="297">
        <v>3</v>
      </c>
      <c r="G44" s="323" t="s">
        <v>1112</v>
      </c>
      <c r="H44" s="298" t="s">
        <v>20</v>
      </c>
      <c r="I44" s="298" t="s">
        <v>224</v>
      </c>
      <c r="J44" s="324" t="s">
        <v>1113</v>
      </c>
      <c r="K44" s="314" t="s">
        <v>1107</v>
      </c>
      <c r="L44" s="325"/>
      <c r="M44" s="293" t="s">
        <v>16</v>
      </c>
    </row>
    <row r="45" spans="1:13" ht="31.5" hidden="1">
      <c r="A45" s="290" t="s">
        <v>1114</v>
      </c>
      <c r="B45" s="291" t="s">
        <v>14</v>
      </c>
      <c r="C45" s="302">
        <v>35</v>
      </c>
      <c r="D45" s="291">
        <v>1</v>
      </c>
      <c r="E45" s="291">
        <v>20</v>
      </c>
      <c r="F45" s="291">
        <v>20</v>
      </c>
      <c r="G45" s="303"/>
      <c r="H45" s="303"/>
      <c r="I45" s="303"/>
      <c r="J45" s="291"/>
      <c r="K45" s="316" t="s">
        <v>204</v>
      </c>
      <c r="L45" s="316"/>
      <c r="M45" s="316"/>
    </row>
    <row r="46" spans="1:13" ht="12.5" hidden="1">
      <c r="A46" s="304" t="s">
        <v>723</v>
      </c>
      <c r="B46" s="296" t="s">
        <v>18</v>
      </c>
      <c r="C46" s="297">
        <v>36</v>
      </c>
      <c r="D46" s="297">
        <v>1</v>
      </c>
      <c r="E46" s="297">
        <v>1</v>
      </c>
      <c r="F46" s="297">
        <v>1</v>
      </c>
      <c r="G46" s="298" t="s">
        <v>205</v>
      </c>
      <c r="H46" s="298"/>
      <c r="I46" s="298"/>
      <c r="J46" s="297"/>
      <c r="K46" s="297"/>
      <c r="L46" s="297"/>
      <c r="M46" s="293"/>
    </row>
    <row r="47" spans="1:13" ht="12.5" hidden="1">
      <c r="A47" s="317" t="s">
        <v>206</v>
      </c>
      <c r="B47" s="296" t="s">
        <v>207</v>
      </c>
      <c r="C47" s="297">
        <v>37</v>
      </c>
      <c r="D47" s="297">
        <v>2</v>
      </c>
      <c r="E47" s="297">
        <f>D47+F47-1</f>
        <v>10</v>
      </c>
      <c r="F47" s="297">
        <v>9</v>
      </c>
      <c r="G47" s="298" t="s">
        <v>233</v>
      </c>
      <c r="H47" s="298"/>
      <c r="I47" s="298"/>
      <c r="J47" s="297"/>
      <c r="K47" s="297"/>
      <c r="L47" s="297"/>
      <c r="M47" s="293"/>
    </row>
    <row r="48" spans="1:13" ht="13" hidden="1" thickBot="1">
      <c r="A48" s="326" t="s">
        <v>217</v>
      </c>
      <c r="B48" s="327" t="s">
        <v>714</v>
      </c>
      <c r="C48" s="328">
        <v>38</v>
      </c>
      <c r="D48" s="328">
        <v>11</v>
      </c>
      <c r="E48" s="328">
        <f>D48+F48-1</f>
        <v>20</v>
      </c>
      <c r="F48" s="328">
        <v>10</v>
      </c>
      <c r="G48" s="329" t="s">
        <v>219</v>
      </c>
      <c r="H48" s="329"/>
      <c r="I48" s="329"/>
      <c r="J48" s="328"/>
      <c r="K48" s="328"/>
      <c r="L48" s="328"/>
      <c r="M48" s="293"/>
    </row>
    <row r="49" spans="1:13" hidden="1">
      <c r="M49" s="321"/>
    </row>
    <row r="50" spans="1:13" s="289" customFormat="1" ht="57.75" hidden="1" customHeight="1">
      <c r="A50" s="286" t="s">
        <v>0</v>
      </c>
      <c r="B50" s="287" t="s">
        <v>1</v>
      </c>
      <c r="C50" s="287" t="s">
        <v>2</v>
      </c>
      <c r="D50" s="287" t="s">
        <v>3</v>
      </c>
      <c r="E50" s="287" t="s">
        <v>4</v>
      </c>
      <c r="F50" s="287" t="s">
        <v>5</v>
      </c>
      <c r="G50" s="287" t="s">
        <v>6</v>
      </c>
      <c r="H50" s="287" t="s">
        <v>703</v>
      </c>
      <c r="I50" s="287" t="s">
        <v>704</v>
      </c>
      <c r="J50" s="287" t="s">
        <v>705</v>
      </c>
      <c r="K50" s="287" t="s">
        <v>10</v>
      </c>
      <c r="L50" s="287" t="s">
        <v>706</v>
      </c>
      <c r="M50" s="288" t="s">
        <v>12</v>
      </c>
    </row>
    <row r="51" spans="1:13" ht="11.5" hidden="1">
      <c r="A51" s="322" t="s">
        <v>1115</v>
      </c>
      <c r="B51" s="297"/>
      <c r="C51" s="297"/>
      <c r="D51" s="297">
        <v>1</v>
      </c>
      <c r="E51" s="297">
        <v>103</v>
      </c>
      <c r="F51" s="297">
        <v>103</v>
      </c>
      <c r="G51" s="298" t="s">
        <v>210</v>
      </c>
      <c r="H51" s="298"/>
      <c r="I51" s="298"/>
      <c r="J51" s="297"/>
      <c r="K51" s="297"/>
      <c r="L51" s="297"/>
      <c r="M51" s="293" t="s">
        <v>16</v>
      </c>
    </row>
    <row r="52" spans="1:13" ht="10.5" hidden="1">
      <c r="A52" s="290" t="s">
        <v>1116</v>
      </c>
      <c r="B52" s="291" t="s">
        <v>14</v>
      </c>
      <c r="C52" s="291">
        <v>1</v>
      </c>
      <c r="D52" s="291">
        <v>1</v>
      </c>
      <c r="E52" s="291">
        <v>103</v>
      </c>
      <c r="F52" s="291">
        <v>103</v>
      </c>
      <c r="G52" s="292"/>
      <c r="H52" s="292"/>
      <c r="I52" s="292"/>
      <c r="J52" s="291"/>
      <c r="K52" s="291"/>
      <c r="L52" s="291"/>
      <c r="M52" s="293" t="s">
        <v>16</v>
      </c>
    </row>
    <row r="53" spans="1:13" ht="12.5" hidden="1">
      <c r="A53" s="295" t="s">
        <v>17</v>
      </c>
      <c r="B53" s="296" t="s">
        <v>18</v>
      </c>
      <c r="C53" s="297">
        <v>2</v>
      </c>
      <c r="D53" s="297">
        <v>1</v>
      </c>
      <c r="E53" s="297">
        <f>D53+F53-1</f>
        <v>1</v>
      </c>
      <c r="F53" s="297">
        <v>1</v>
      </c>
      <c r="G53" s="298" t="s">
        <v>19</v>
      </c>
      <c r="H53" s="298"/>
      <c r="I53" s="298"/>
      <c r="J53" s="297"/>
      <c r="K53" s="297"/>
      <c r="L53" s="297"/>
      <c r="M53" s="293" t="s">
        <v>16</v>
      </c>
    </row>
    <row r="54" spans="1:13" ht="12.5" hidden="1">
      <c r="A54" s="295" t="s">
        <v>212</v>
      </c>
      <c r="B54" s="296" t="s">
        <v>213</v>
      </c>
      <c r="C54" s="297">
        <v>3</v>
      </c>
      <c r="D54" s="297">
        <f>E53+1</f>
        <v>2</v>
      </c>
      <c r="E54" s="297">
        <f>D54+F54-1</f>
        <v>9</v>
      </c>
      <c r="F54" s="297">
        <v>8</v>
      </c>
      <c r="G54" s="301" t="s">
        <v>1101</v>
      </c>
      <c r="H54" s="301"/>
      <c r="I54" s="301"/>
      <c r="J54" s="297"/>
      <c r="K54" s="297"/>
      <c r="L54" s="297"/>
      <c r="M54" s="293" t="s">
        <v>16</v>
      </c>
    </row>
    <row r="55" spans="1:13" ht="12.5" hidden="1">
      <c r="A55" s="295" t="s">
        <v>215</v>
      </c>
      <c r="B55" s="296" t="s">
        <v>216</v>
      </c>
      <c r="C55" s="297">
        <v>4</v>
      </c>
      <c r="D55" s="297">
        <f>E54+1</f>
        <v>10</v>
      </c>
      <c r="E55" s="297">
        <f>D55+F55-1</f>
        <v>17</v>
      </c>
      <c r="F55" s="297">
        <v>8</v>
      </c>
      <c r="G55" s="301" t="s">
        <v>1003</v>
      </c>
      <c r="H55" s="301"/>
      <c r="I55" s="301"/>
      <c r="J55" s="297"/>
      <c r="K55" s="297"/>
      <c r="L55" s="297"/>
      <c r="M55" s="293" t="s">
        <v>16</v>
      </c>
    </row>
    <row r="56" spans="1:13" hidden="1">
      <c r="A56" s="317" t="s">
        <v>217</v>
      </c>
      <c r="B56" s="314" t="s">
        <v>236</v>
      </c>
      <c r="C56" s="297">
        <v>5</v>
      </c>
      <c r="D56" s="297">
        <f>E55+1</f>
        <v>18</v>
      </c>
      <c r="E56" s="297">
        <f>D56+F56-1</f>
        <v>103</v>
      </c>
      <c r="F56" s="297">
        <v>86</v>
      </c>
      <c r="G56" s="298" t="s">
        <v>219</v>
      </c>
      <c r="H56" s="298"/>
      <c r="I56" s="298"/>
      <c r="J56" s="297"/>
      <c r="K56" s="297"/>
      <c r="L56" s="297"/>
      <c r="M56" s="293" t="s">
        <v>16</v>
      </c>
    </row>
    <row r="57" spans="1:13" ht="10.5" hidden="1">
      <c r="A57" s="290" t="s">
        <v>1117</v>
      </c>
      <c r="B57" s="291" t="s">
        <v>14</v>
      </c>
      <c r="C57" s="302">
        <v>6</v>
      </c>
      <c r="D57" s="291">
        <v>1</v>
      </c>
      <c r="E57" s="291">
        <v>103</v>
      </c>
      <c r="F57" s="291">
        <v>103</v>
      </c>
      <c r="G57" s="303"/>
      <c r="H57" s="303"/>
      <c r="I57" s="303"/>
      <c r="J57" s="291"/>
      <c r="K57" s="291"/>
      <c r="L57" s="291"/>
      <c r="M57" s="293" t="s">
        <v>16</v>
      </c>
    </row>
    <row r="58" spans="1:13" ht="12.5" hidden="1">
      <c r="A58" s="304" t="s">
        <v>723</v>
      </c>
      <c r="B58" s="296" t="s">
        <v>18</v>
      </c>
      <c r="C58" s="297">
        <v>7</v>
      </c>
      <c r="D58" s="305">
        <v>1</v>
      </c>
      <c r="E58" s="297">
        <f>D58+F58-1</f>
        <v>1</v>
      </c>
      <c r="F58" s="305">
        <v>1</v>
      </c>
      <c r="G58" s="298" t="s">
        <v>38</v>
      </c>
      <c r="H58" s="298"/>
      <c r="I58" s="298"/>
      <c r="J58" s="305"/>
      <c r="K58" s="305"/>
      <c r="L58" s="305"/>
      <c r="M58" s="293" t="s">
        <v>16</v>
      </c>
    </row>
    <row r="59" spans="1:13" ht="24" hidden="1" customHeight="1">
      <c r="A59" s="312" t="s">
        <v>238</v>
      </c>
      <c r="B59" s="296" t="s">
        <v>854</v>
      </c>
      <c r="C59" s="297">
        <v>8</v>
      </c>
      <c r="D59" s="297">
        <f>E58+1</f>
        <v>2</v>
      </c>
      <c r="E59" s="297">
        <f>D59+F59-1</f>
        <v>3</v>
      </c>
      <c r="F59" s="297">
        <v>2</v>
      </c>
      <c r="G59" s="323" t="s">
        <v>1118</v>
      </c>
      <c r="H59" s="298" t="s">
        <v>20</v>
      </c>
      <c r="I59" s="298" t="s">
        <v>1119</v>
      </c>
      <c r="J59" s="324" t="s">
        <v>1120</v>
      </c>
      <c r="K59" s="314" t="s">
        <v>1107</v>
      </c>
      <c r="L59" s="325">
        <v>611</v>
      </c>
      <c r="M59" s="293" t="s">
        <v>16</v>
      </c>
    </row>
    <row r="60" spans="1:13" ht="24" hidden="1" customHeight="1">
      <c r="A60" s="312" t="s">
        <v>243</v>
      </c>
      <c r="B60" s="296" t="s">
        <v>1039</v>
      </c>
      <c r="C60" s="297">
        <v>8</v>
      </c>
      <c r="D60" s="297">
        <f>E59+1</f>
        <v>4</v>
      </c>
      <c r="E60" s="297">
        <f>D60+F60-1</f>
        <v>103</v>
      </c>
      <c r="F60" s="297">
        <v>100</v>
      </c>
      <c r="G60" s="323" t="s">
        <v>1121</v>
      </c>
      <c r="H60" s="298" t="s">
        <v>20</v>
      </c>
      <c r="I60" s="298" t="s">
        <v>1119</v>
      </c>
      <c r="J60" s="324" t="s">
        <v>1122</v>
      </c>
      <c r="K60" s="314" t="s">
        <v>1107</v>
      </c>
      <c r="L60" s="325">
        <v>611</v>
      </c>
      <c r="M60" s="293" t="s">
        <v>16</v>
      </c>
    </row>
    <row r="61" spans="1:13" ht="31.5" hidden="1">
      <c r="A61" s="290" t="s">
        <v>1123</v>
      </c>
      <c r="B61" s="291" t="s">
        <v>14</v>
      </c>
      <c r="C61" s="302">
        <v>35</v>
      </c>
      <c r="D61" s="291">
        <v>1</v>
      </c>
      <c r="E61" s="291">
        <v>103</v>
      </c>
      <c r="F61" s="291">
        <v>103</v>
      </c>
      <c r="G61" s="303"/>
      <c r="H61" s="303"/>
      <c r="I61" s="303"/>
      <c r="J61" s="291"/>
      <c r="K61" s="316" t="s">
        <v>204</v>
      </c>
      <c r="L61" s="316"/>
      <c r="M61" s="316"/>
    </row>
    <row r="62" spans="1:13" ht="12.5" hidden="1">
      <c r="A62" s="304" t="s">
        <v>723</v>
      </c>
      <c r="B62" s="296" t="s">
        <v>18</v>
      </c>
      <c r="C62" s="297">
        <v>36</v>
      </c>
      <c r="D62" s="297">
        <v>1</v>
      </c>
      <c r="E62" s="297">
        <v>1</v>
      </c>
      <c r="F62" s="297">
        <v>1</v>
      </c>
      <c r="G62" s="298" t="s">
        <v>205</v>
      </c>
      <c r="H62" s="298"/>
      <c r="I62" s="298"/>
      <c r="J62" s="297"/>
      <c r="K62" s="297"/>
      <c r="L62" s="297"/>
      <c r="M62" s="293"/>
    </row>
    <row r="63" spans="1:13" ht="12.5" hidden="1">
      <c r="A63" s="317" t="s">
        <v>206</v>
      </c>
      <c r="B63" s="296" t="s">
        <v>207</v>
      </c>
      <c r="C63" s="297">
        <v>37</v>
      </c>
      <c r="D63" s="297">
        <v>2</v>
      </c>
      <c r="E63" s="297">
        <f>D63+F63-1</f>
        <v>10</v>
      </c>
      <c r="F63" s="297">
        <v>9</v>
      </c>
      <c r="G63" s="298" t="s">
        <v>233</v>
      </c>
      <c r="H63" s="298"/>
      <c r="I63" s="298"/>
      <c r="J63" s="297"/>
      <c r="K63" s="297"/>
      <c r="L63" s="297"/>
      <c r="M63" s="293"/>
    </row>
    <row r="64" spans="1:13" ht="13" hidden="1" thickBot="1">
      <c r="A64" s="326" t="s">
        <v>217</v>
      </c>
      <c r="B64" s="327" t="s">
        <v>1124</v>
      </c>
      <c r="C64" s="328">
        <v>38</v>
      </c>
      <c r="D64" s="328">
        <v>11</v>
      </c>
      <c r="E64" s="328">
        <f>D64+F64-1</f>
        <v>103</v>
      </c>
      <c r="F64" s="328">
        <v>93</v>
      </c>
      <c r="G64" s="329" t="s">
        <v>219</v>
      </c>
      <c r="H64" s="329"/>
      <c r="I64" s="329"/>
      <c r="J64" s="328"/>
      <c r="K64" s="328"/>
      <c r="L64" s="328"/>
      <c r="M64" s="293"/>
    </row>
    <row r="65" spans="1:13" hidden="1"/>
    <row r="66" spans="1:13" hidden="1"/>
    <row r="67" spans="1:13" s="289" customFormat="1" ht="57.75" hidden="1" customHeight="1">
      <c r="A67" s="286" t="s">
        <v>0</v>
      </c>
      <c r="B67" s="287" t="s">
        <v>1</v>
      </c>
      <c r="C67" s="287" t="s">
        <v>2</v>
      </c>
      <c r="D67" s="287" t="s">
        <v>3</v>
      </c>
      <c r="E67" s="287" t="s">
        <v>4</v>
      </c>
      <c r="F67" s="287" t="s">
        <v>5</v>
      </c>
      <c r="G67" s="287" t="s">
        <v>6</v>
      </c>
      <c r="H67" s="287" t="s">
        <v>703</v>
      </c>
      <c r="I67" s="287" t="s">
        <v>704</v>
      </c>
      <c r="J67" s="287" t="s">
        <v>705</v>
      </c>
      <c r="K67" s="287" t="s">
        <v>10</v>
      </c>
      <c r="L67" s="287" t="s">
        <v>706</v>
      </c>
      <c r="M67" s="288" t="s">
        <v>12</v>
      </c>
    </row>
    <row r="68" spans="1:13" ht="11.5" hidden="1">
      <c r="A68" s="322" t="s">
        <v>1125</v>
      </c>
      <c r="B68" s="297"/>
      <c r="C68" s="297"/>
      <c r="D68" s="297">
        <v>1</v>
      </c>
      <c r="E68" s="297">
        <v>33</v>
      </c>
      <c r="F68" s="297">
        <v>33</v>
      </c>
      <c r="G68" s="298" t="s">
        <v>210</v>
      </c>
      <c r="H68" s="298"/>
      <c r="I68" s="298"/>
      <c r="J68" s="297"/>
      <c r="K68" s="297"/>
      <c r="L68" s="297"/>
      <c r="M68" s="293" t="s">
        <v>16</v>
      </c>
    </row>
    <row r="69" spans="1:13" ht="10.5" hidden="1">
      <c r="A69" s="290" t="s">
        <v>1126</v>
      </c>
      <c r="B69" s="291" t="s">
        <v>14</v>
      </c>
      <c r="C69" s="291">
        <v>1</v>
      </c>
      <c r="D69" s="291">
        <v>1</v>
      </c>
      <c r="E69" s="291">
        <v>33</v>
      </c>
      <c r="F69" s="291">
        <v>33</v>
      </c>
      <c r="G69" s="292"/>
      <c r="H69" s="292"/>
      <c r="I69" s="292"/>
      <c r="J69" s="291"/>
      <c r="K69" s="291"/>
      <c r="L69" s="291"/>
      <c r="M69" s="293" t="s">
        <v>16</v>
      </c>
    </row>
    <row r="70" spans="1:13" ht="12.5" hidden="1">
      <c r="A70" s="295" t="s">
        <v>17</v>
      </c>
      <c r="B70" s="296" t="s">
        <v>18</v>
      </c>
      <c r="C70" s="297">
        <v>2</v>
      </c>
      <c r="D70" s="297">
        <v>1</v>
      </c>
      <c r="E70" s="297">
        <f>D70+F70-1</f>
        <v>1</v>
      </c>
      <c r="F70" s="297">
        <v>1</v>
      </c>
      <c r="G70" s="298" t="s">
        <v>19</v>
      </c>
      <c r="H70" s="298"/>
      <c r="I70" s="298"/>
      <c r="J70" s="297"/>
      <c r="K70" s="297"/>
      <c r="L70" s="297"/>
      <c r="M70" s="293" t="s">
        <v>16</v>
      </c>
    </row>
    <row r="71" spans="1:13" ht="12.5" hidden="1">
      <c r="A71" s="295" t="s">
        <v>212</v>
      </c>
      <c r="B71" s="296" t="s">
        <v>213</v>
      </c>
      <c r="C71" s="297">
        <v>3</v>
      </c>
      <c r="D71" s="297">
        <f>E70+1</f>
        <v>2</v>
      </c>
      <c r="E71" s="297">
        <f>D71+F71-1</f>
        <v>9</v>
      </c>
      <c r="F71" s="297">
        <v>8</v>
      </c>
      <c r="G71" s="301" t="s">
        <v>1101</v>
      </c>
      <c r="H71" s="301"/>
      <c r="I71" s="301"/>
      <c r="J71" s="297"/>
      <c r="K71" s="297"/>
      <c r="L71" s="297"/>
      <c r="M71" s="293" t="s">
        <v>16</v>
      </c>
    </row>
    <row r="72" spans="1:13" ht="12.5" hidden="1">
      <c r="A72" s="295" t="s">
        <v>215</v>
      </c>
      <c r="B72" s="296" t="s">
        <v>216</v>
      </c>
      <c r="C72" s="297">
        <v>4</v>
      </c>
      <c r="D72" s="297">
        <f>E71+1</f>
        <v>10</v>
      </c>
      <c r="E72" s="297">
        <f>D72+F72-1</f>
        <v>17</v>
      </c>
      <c r="F72" s="297">
        <v>8</v>
      </c>
      <c r="G72" s="301" t="s">
        <v>1003</v>
      </c>
      <c r="H72" s="301"/>
      <c r="I72" s="301"/>
      <c r="J72" s="297"/>
      <c r="K72" s="297"/>
      <c r="L72" s="297"/>
      <c r="M72" s="293" t="s">
        <v>16</v>
      </c>
    </row>
    <row r="73" spans="1:13" hidden="1">
      <c r="A73" s="317" t="s">
        <v>217</v>
      </c>
      <c r="B73" s="314" t="s">
        <v>250</v>
      </c>
      <c r="C73" s="297">
        <v>5</v>
      </c>
      <c r="D73" s="297">
        <f>E72+1</f>
        <v>18</v>
      </c>
      <c r="E73" s="297">
        <f>D73+F73-1</f>
        <v>33</v>
      </c>
      <c r="F73" s="297">
        <v>16</v>
      </c>
      <c r="G73" s="298" t="s">
        <v>219</v>
      </c>
      <c r="H73" s="298"/>
      <c r="I73" s="298"/>
      <c r="J73" s="297"/>
      <c r="K73" s="297"/>
      <c r="L73" s="297"/>
      <c r="M73" s="293" t="s">
        <v>16</v>
      </c>
    </row>
    <row r="74" spans="1:13" ht="10.5" hidden="1">
      <c r="A74" s="290" t="s">
        <v>1127</v>
      </c>
      <c r="B74" s="291" t="s">
        <v>14</v>
      </c>
      <c r="C74" s="302">
        <v>6</v>
      </c>
      <c r="D74" s="291">
        <v>1</v>
      </c>
      <c r="E74" s="291">
        <v>33</v>
      </c>
      <c r="F74" s="291">
        <v>33</v>
      </c>
      <c r="G74" s="303"/>
      <c r="H74" s="303"/>
      <c r="I74" s="303"/>
      <c r="J74" s="291"/>
      <c r="K74" s="291"/>
      <c r="L74" s="291"/>
      <c r="M74" s="293" t="s">
        <v>16</v>
      </c>
    </row>
    <row r="75" spans="1:13" ht="12.5" hidden="1">
      <c r="A75" s="304" t="s">
        <v>723</v>
      </c>
      <c r="B75" s="296" t="s">
        <v>18</v>
      </c>
      <c r="C75" s="297">
        <v>7</v>
      </c>
      <c r="D75" s="305">
        <v>1</v>
      </c>
      <c r="E75" s="297">
        <f>D75+F75-1</f>
        <v>1</v>
      </c>
      <c r="F75" s="305">
        <v>1</v>
      </c>
      <c r="G75" s="298" t="s">
        <v>38</v>
      </c>
      <c r="H75" s="298"/>
      <c r="I75" s="298"/>
      <c r="J75" s="305"/>
      <c r="K75" s="305"/>
      <c r="L75" s="305"/>
      <c r="M75" s="293" t="s">
        <v>16</v>
      </c>
    </row>
    <row r="76" spans="1:13" ht="24" hidden="1" customHeight="1">
      <c r="A76" s="312" t="s">
        <v>252</v>
      </c>
      <c r="B76" s="296" t="s">
        <v>1128</v>
      </c>
      <c r="C76" s="297">
        <v>8</v>
      </c>
      <c r="D76" s="297">
        <f>E75+1</f>
        <v>2</v>
      </c>
      <c r="E76" s="297">
        <f>D76+F76-1</f>
        <v>3</v>
      </c>
      <c r="F76" s="297">
        <v>2</v>
      </c>
      <c r="G76" s="323" t="s">
        <v>1129</v>
      </c>
      <c r="H76" s="298" t="s">
        <v>20</v>
      </c>
      <c r="I76" s="298" t="s">
        <v>255</v>
      </c>
      <c r="J76" s="324" t="s">
        <v>1130</v>
      </c>
      <c r="K76" s="314" t="s">
        <v>1107</v>
      </c>
      <c r="L76" s="325">
        <v>611</v>
      </c>
      <c r="M76" s="293" t="s">
        <v>16</v>
      </c>
    </row>
    <row r="77" spans="1:13" ht="24" hidden="1" customHeight="1">
      <c r="A77" s="312" t="s">
        <v>257</v>
      </c>
      <c r="B77" s="296" t="s">
        <v>1128</v>
      </c>
      <c r="C77" s="297">
        <v>8</v>
      </c>
      <c r="D77" s="297">
        <f>E76+1</f>
        <v>4</v>
      </c>
      <c r="E77" s="297">
        <f>D77+F77-1</f>
        <v>33</v>
      </c>
      <c r="F77" s="297">
        <v>30</v>
      </c>
      <c r="G77" s="323" t="s">
        <v>1131</v>
      </c>
      <c r="H77" s="298" t="s">
        <v>20</v>
      </c>
      <c r="I77" s="298" t="s">
        <v>255</v>
      </c>
      <c r="J77" s="324" t="s">
        <v>1132</v>
      </c>
      <c r="K77" s="314" t="s">
        <v>1107</v>
      </c>
      <c r="L77" s="325">
        <v>611</v>
      </c>
      <c r="M77" s="293" t="s">
        <v>16</v>
      </c>
    </row>
    <row r="78" spans="1:13" ht="31.5" hidden="1">
      <c r="A78" s="290" t="s">
        <v>1133</v>
      </c>
      <c r="B78" s="291" t="s">
        <v>14</v>
      </c>
      <c r="C78" s="302">
        <v>35</v>
      </c>
      <c r="D78" s="291">
        <v>1</v>
      </c>
      <c r="E78" s="291">
        <v>33</v>
      </c>
      <c r="F78" s="291">
        <v>33</v>
      </c>
      <c r="G78" s="303"/>
      <c r="H78" s="303"/>
      <c r="I78" s="303"/>
      <c r="J78" s="291"/>
      <c r="K78" s="316" t="s">
        <v>204</v>
      </c>
      <c r="L78" s="316"/>
      <c r="M78" s="316"/>
    </row>
    <row r="79" spans="1:13" ht="12.5" hidden="1">
      <c r="A79" s="304" t="s">
        <v>723</v>
      </c>
      <c r="B79" s="296" t="s">
        <v>18</v>
      </c>
      <c r="C79" s="297">
        <v>36</v>
      </c>
      <c r="D79" s="297">
        <v>1</v>
      </c>
      <c r="E79" s="297">
        <v>1</v>
      </c>
      <c r="F79" s="297">
        <v>1</v>
      </c>
      <c r="G79" s="298" t="s">
        <v>205</v>
      </c>
      <c r="H79" s="298"/>
      <c r="I79" s="298"/>
      <c r="J79" s="297"/>
      <c r="K79" s="297"/>
      <c r="L79" s="297"/>
      <c r="M79" s="293"/>
    </row>
    <row r="80" spans="1:13" ht="12.5" hidden="1">
      <c r="A80" s="317" t="s">
        <v>206</v>
      </c>
      <c r="B80" s="296" t="s">
        <v>207</v>
      </c>
      <c r="C80" s="297">
        <v>37</v>
      </c>
      <c r="D80" s="297">
        <v>2</v>
      </c>
      <c r="E80" s="297">
        <f>D80+F80-1</f>
        <v>10</v>
      </c>
      <c r="F80" s="297">
        <v>9</v>
      </c>
      <c r="G80" s="298" t="s">
        <v>233</v>
      </c>
      <c r="H80" s="298"/>
      <c r="I80" s="298"/>
      <c r="J80" s="297"/>
      <c r="K80" s="297"/>
      <c r="L80" s="297"/>
      <c r="M80" s="293"/>
    </row>
    <row r="81" spans="1:13" ht="13" hidden="1" thickBot="1">
      <c r="A81" s="326" t="s">
        <v>217</v>
      </c>
      <c r="B81" s="327" t="s">
        <v>1134</v>
      </c>
      <c r="C81" s="328">
        <v>38</v>
      </c>
      <c r="D81" s="328">
        <v>11</v>
      </c>
      <c r="E81" s="328">
        <f>D81+F81-1</f>
        <v>33</v>
      </c>
      <c r="F81" s="328">
        <v>23</v>
      </c>
      <c r="G81" s="329" t="s">
        <v>219</v>
      </c>
      <c r="H81" s="329"/>
      <c r="I81" s="329"/>
      <c r="J81" s="328"/>
      <c r="K81" s="328"/>
      <c r="L81" s="328"/>
      <c r="M81" s="293"/>
    </row>
    <row r="82" spans="1:13" hidden="1"/>
    <row r="83" spans="1:13" hidden="1"/>
    <row r="84" spans="1:13" s="289" customFormat="1" ht="57.75" hidden="1" customHeight="1">
      <c r="A84" s="286" t="s">
        <v>0</v>
      </c>
      <c r="B84" s="287" t="s">
        <v>1</v>
      </c>
      <c r="C84" s="287" t="s">
        <v>2</v>
      </c>
      <c r="D84" s="287" t="s">
        <v>3</v>
      </c>
      <c r="E84" s="287" t="s">
        <v>4</v>
      </c>
      <c r="F84" s="287" t="s">
        <v>5</v>
      </c>
      <c r="G84" s="287" t="s">
        <v>6</v>
      </c>
      <c r="H84" s="287" t="s">
        <v>703</v>
      </c>
      <c r="I84" s="287" t="s">
        <v>704</v>
      </c>
      <c r="J84" s="287" t="s">
        <v>705</v>
      </c>
      <c r="K84" s="287" t="s">
        <v>10</v>
      </c>
      <c r="L84" s="287" t="s">
        <v>706</v>
      </c>
      <c r="M84" s="288" t="s">
        <v>12</v>
      </c>
    </row>
    <row r="85" spans="1:13" ht="11.5" hidden="1">
      <c r="A85" s="322" t="s">
        <v>1135</v>
      </c>
      <c r="B85" s="297"/>
      <c r="C85" s="297"/>
      <c r="D85" s="297">
        <v>1</v>
      </c>
      <c r="E85" s="297">
        <v>33</v>
      </c>
      <c r="F85" s="297">
        <v>33</v>
      </c>
      <c r="G85" s="298" t="s">
        <v>210</v>
      </c>
      <c r="H85" s="298"/>
      <c r="I85" s="298"/>
      <c r="J85" s="297"/>
      <c r="K85" s="297"/>
      <c r="L85" s="297"/>
      <c r="M85" s="293" t="s">
        <v>16</v>
      </c>
    </row>
    <row r="86" spans="1:13" ht="10.5" hidden="1">
      <c r="A86" s="290" t="s">
        <v>1136</v>
      </c>
      <c r="B86" s="291" t="s">
        <v>14</v>
      </c>
      <c r="C86" s="291">
        <v>1</v>
      </c>
      <c r="D86" s="291">
        <v>1</v>
      </c>
      <c r="E86" s="291">
        <v>33</v>
      </c>
      <c r="F86" s="291">
        <v>33</v>
      </c>
      <c r="G86" s="292"/>
      <c r="H86" s="292"/>
      <c r="I86" s="292"/>
      <c r="J86" s="291"/>
      <c r="K86" s="291"/>
      <c r="L86" s="291"/>
      <c r="M86" s="293" t="s">
        <v>16</v>
      </c>
    </row>
    <row r="87" spans="1:13" ht="12.5" hidden="1">
      <c r="A87" s="295" t="s">
        <v>17</v>
      </c>
      <c r="B87" s="296" t="s">
        <v>18</v>
      </c>
      <c r="C87" s="297">
        <v>2</v>
      </c>
      <c r="D87" s="297">
        <v>1</v>
      </c>
      <c r="E87" s="297">
        <f>D87+F87-1</f>
        <v>1</v>
      </c>
      <c r="F87" s="297">
        <v>1</v>
      </c>
      <c r="G87" s="298" t="s">
        <v>19</v>
      </c>
      <c r="H87" s="298"/>
      <c r="I87" s="298"/>
      <c r="J87" s="297"/>
      <c r="K87" s="297"/>
      <c r="L87" s="297"/>
      <c r="M87" s="293" t="s">
        <v>16</v>
      </c>
    </row>
    <row r="88" spans="1:13" ht="12.5" hidden="1">
      <c r="A88" s="295" t="s">
        <v>212</v>
      </c>
      <c r="B88" s="296" t="s">
        <v>213</v>
      </c>
      <c r="C88" s="297">
        <v>3</v>
      </c>
      <c r="D88" s="297">
        <f>E87+1</f>
        <v>2</v>
      </c>
      <c r="E88" s="297">
        <f>D88+F88-1</f>
        <v>9</v>
      </c>
      <c r="F88" s="297">
        <v>8</v>
      </c>
      <c r="G88" s="301" t="s">
        <v>1101</v>
      </c>
      <c r="H88" s="301"/>
      <c r="I88" s="301"/>
      <c r="J88" s="297"/>
      <c r="K88" s="297"/>
      <c r="L88" s="297"/>
      <c r="M88" s="293" t="s">
        <v>16</v>
      </c>
    </row>
    <row r="89" spans="1:13" ht="12.5" hidden="1">
      <c r="A89" s="295" t="s">
        <v>215</v>
      </c>
      <c r="B89" s="296" t="s">
        <v>216</v>
      </c>
      <c r="C89" s="297">
        <v>4</v>
      </c>
      <c r="D89" s="297">
        <f>E88+1</f>
        <v>10</v>
      </c>
      <c r="E89" s="297">
        <f>D89+F89-1</f>
        <v>17</v>
      </c>
      <c r="F89" s="297">
        <v>8</v>
      </c>
      <c r="G89" s="301" t="s">
        <v>1003</v>
      </c>
      <c r="H89" s="301"/>
      <c r="I89" s="301"/>
      <c r="J89" s="297"/>
      <c r="K89" s="297"/>
      <c r="L89" s="297"/>
      <c r="M89" s="293" t="s">
        <v>16</v>
      </c>
    </row>
    <row r="90" spans="1:13" hidden="1">
      <c r="A90" s="317" t="s">
        <v>217</v>
      </c>
      <c r="B90" s="314" t="s">
        <v>250</v>
      </c>
      <c r="C90" s="297">
        <v>5</v>
      </c>
      <c r="D90" s="297">
        <f>E89+1</f>
        <v>18</v>
      </c>
      <c r="E90" s="297">
        <f>D90+F90-1</f>
        <v>33</v>
      </c>
      <c r="F90" s="297">
        <v>16</v>
      </c>
      <c r="G90" s="298" t="s">
        <v>219</v>
      </c>
      <c r="H90" s="298"/>
      <c r="I90" s="298"/>
      <c r="J90" s="297"/>
      <c r="K90" s="297"/>
      <c r="L90" s="297"/>
      <c r="M90" s="293" t="s">
        <v>16</v>
      </c>
    </row>
    <row r="91" spans="1:13" ht="10.5" hidden="1">
      <c r="A91" s="290" t="s">
        <v>1137</v>
      </c>
      <c r="B91" s="291" t="s">
        <v>14</v>
      </c>
      <c r="C91" s="302">
        <v>6</v>
      </c>
      <c r="D91" s="291">
        <v>1</v>
      </c>
      <c r="E91" s="291">
        <v>33</v>
      </c>
      <c r="F91" s="291">
        <v>33</v>
      </c>
      <c r="G91" s="303"/>
      <c r="H91" s="303"/>
      <c r="I91" s="303"/>
      <c r="J91" s="291"/>
      <c r="K91" s="291"/>
      <c r="L91" s="291"/>
      <c r="M91" s="293" t="s">
        <v>16</v>
      </c>
    </row>
    <row r="92" spans="1:13" ht="12.5" hidden="1">
      <c r="A92" s="304" t="s">
        <v>723</v>
      </c>
      <c r="B92" s="296" t="s">
        <v>18</v>
      </c>
      <c r="C92" s="297">
        <v>7</v>
      </c>
      <c r="D92" s="305">
        <v>1</v>
      </c>
      <c r="E92" s="297">
        <f>D92+F92-1</f>
        <v>1</v>
      </c>
      <c r="F92" s="305">
        <v>1</v>
      </c>
      <c r="G92" s="298" t="s">
        <v>38</v>
      </c>
      <c r="H92" s="298"/>
      <c r="I92" s="298"/>
      <c r="J92" s="305"/>
      <c r="K92" s="305"/>
      <c r="L92" s="305"/>
      <c r="M92" s="293" t="s">
        <v>16</v>
      </c>
    </row>
    <row r="93" spans="1:13" ht="24" hidden="1" customHeight="1">
      <c r="A93" s="312" t="s">
        <v>265</v>
      </c>
      <c r="B93" s="296" t="s">
        <v>1128</v>
      </c>
      <c r="C93" s="297">
        <v>8</v>
      </c>
      <c r="D93" s="297">
        <f>E92+1</f>
        <v>2</v>
      </c>
      <c r="E93" s="297">
        <f>D93+F93-1</f>
        <v>3</v>
      </c>
      <c r="F93" s="297">
        <v>2</v>
      </c>
      <c r="G93" s="323" t="s">
        <v>1138</v>
      </c>
      <c r="H93" s="298" t="s">
        <v>20</v>
      </c>
      <c r="I93" s="298" t="s">
        <v>1139</v>
      </c>
      <c r="J93" s="324" t="s">
        <v>1140</v>
      </c>
      <c r="K93" s="314" t="s">
        <v>1107</v>
      </c>
      <c r="L93" s="325">
        <v>611</v>
      </c>
      <c r="M93" s="293" t="s">
        <v>16</v>
      </c>
    </row>
    <row r="94" spans="1:13" ht="24" hidden="1" customHeight="1">
      <c r="A94" s="312" t="s">
        <v>269</v>
      </c>
      <c r="B94" s="296" t="s">
        <v>1128</v>
      </c>
      <c r="C94" s="297">
        <v>8</v>
      </c>
      <c r="D94" s="297">
        <f>E93+1</f>
        <v>4</v>
      </c>
      <c r="E94" s="297">
        <f>D94+F94-1</f>
        <v>33</v>
      </c>
      <c r="F94" s="297">
        <v>30</v>
      </c>
      <c r="G94" s="323" t="s">
        <v>1141</v>
      </c>
      <c r="H94" s="298" t="s">
        <v>20</v>
      </c>
      <c r="I94" s="298" t="s">
        <v>271</v>
      </c>
      <c r="J94" s="324" t="s">
        <v>1142</v>
      </c>
      <c r="K94" s="314" t="s">
        <v>1107</v>
      </c>
      <c r="L94" s="325">
        <v>611</v>
      </c>
      <c r="M94" s="293" t="s">
        <v>16</v>
      </c>
    </row>
    <row r="95" spans="1:13" ht="31.5" hidden="1">
      <c r="A95" s="290" t="s">
        <v>1143</v>
      </c>
      <c r="B95" s="291" t="s">
        <v>14</v>
      </c>
      <c r="C95" s="302">
        <v>35</v>
      </c>
      <c r="D95" s="291">
        <v>1</v>
      </c>
      <c r="E95" s="291">
        <v>33</v>
      </c>
      <c r="F95" s="291">
        <v>33</v>
      </c>
      <c r="G95" s="303"/>
      <c r="H95" s="303"/>
      <c r="I95" s="303"/>
      <c r="J95" s="291"/>
      <c r="K95" s="316" t="s">
        <v>204</v>
      </c>
      <c r="L95" s="316"/>
      <c r="M95" s="316"/>
    </row>
    <row r="96" spans="1:13" ht="12.5" hidden="1">
      <c r="A96" s="304" t="s">
        <v>723</v>
      </c>
      <c r="B96" s="296" t="s">
        <v>18</v>
      </c>
      <c r="C96" s="297">
        <v>36</v>
      </c>
      <c r="D96" s="297">
        <v>1</v>
      </c>
      <c r="E96" s="297">
        <v>1</v>
      </c>
      <c r="F96" s="297">
        <v>1</v>
      </c>
      <c r="G96" s="298" t="s">
        <v>205</v>
      </c>
      <c r="H96" s="298"/>
      <c r="I96" s="298"/>
      <c r="J96" s="297"/>
      <c r="K96" s="297"/>
      <c r="L96" s="297"/>
      <c r="M96" s="293"/>
    </row>
    <row r="97" spans="1:13" ht="12.5" hidden="1">
      <c r="A97" s="317" t="s">
        <v>206</v>
      </c>
      <c r="B97" s="296" t="s">
        <v>207</v>
      </c>
      <c r="C97" s="297">
        <v>37</v>
      </c>
      <c r="D97" s="297">
        <v>2</v>
      </c>
      <c r="E97" s="297">
        <f>D97+F97-1</f>
        <v>10</v>
      </c>
      <c r="F97" s="297">
        <v>9</v>
      </c>
      <c r="G97" s="298" t="s">
        <v>233</v>
      </c>
      <c r="H97" s="298"/>
      <c r="I97" s="298"/>
      <c r="J97" s="297"/>
      <c r="K97" s="297"/>
      <c r="L97" s="297"/>
      <c r="M97" s="293"/>
    </row>
    <row r="98" spans="1:13" ht="13" hidden="1" thickBot="1">
      <c r="A98" s="326" t="s">
        <v>217</v>
      </c>
      <c r="B98" s="327" t="s">
        <v>1134</v>
      </c>
      <c r="C98" s="328">
        <v>38</v>
      </c>
      <c r="D98" s="328">
        <v>11</v>
      </c>
      <c r="E98" s="328">
        <f>D98+F98-1</f>
        <v>33</v>
      </c>
      <c r="F98" s="328">
        <v>23</v>
      </c>
      <c r="G98" s="329" t="s">
        <v>219</v>
      </c>
      <c r="H98" s="329"/>
      <c r="I98" s="329"/>
      <c r="J98" s="328"/>
      <c r="K98" s="328"/>
      <c r="L98" s="328"/>
      <c r="M98" s="293"/>
    </row>
    <row r="99" spans="1:13" hidden="1"/>
    <row r="100" spans="1:13" hidden="1"/>
    <row r="101" spans="1:13" s="289" customFormat="1" ht="57.75" hidden="1" customHeight="1">
      <c r="A101" s="286" t="s">
        <v>0</v>
      </c>
      <c r="B101" s="287" t="s">
        <v>1</v>
      </c>
      <c r="C101" s="287" t="s">
        <v>2</v>
      </c>
      <c r="D101" s="287" t="s">
        <v>3</v>
      </c>
      <c r="E101" s="287" t="s">
        <v>4</v>
      </c>
      <c r="F101" s="287" t="s">
        <v>5</v>
      </c>
      <c r="G101" s="287" t="s">
        <v>6</v>
      </c>
      <c r="H101" s="287" t="s">
        <v>703</v>
      </c>
      <c r="I101" s="287" t="s">
        <v>704</v>
      </c>
      <c r="J101" s="287" t="s">
        <v>705</v>
      </c>
      <c r="K101" s="287" t="s">
        <v>10</v>
      </c>
      <c r="L101" s="287" t="s">
        <v>706</v>
      </c>
      <c r="M101" s="288" t="s">
        <v>12</v>
      </c>
    </row>
    <row r="102" spans="1:13" ht="11.5" hidden="1">
      <c r="A102" s="322" t="s">
        <v>1144</v>
      </c>
      <c r="B102" s="297"/>
      <c r="C102" s="297"/>
      <c r="D102" s="297">
        <v>1</v>
      </c>
      <c r="E102" s="297">
        <v>24</v>
      </c>
      <c r="F102" s="297">
        <v>24</v>
      </c>
      <c r="G102" s="298" t="s">
        <v>210</v>
      </c>
      <c r="H102" s="298"/>
      <c r="I102" s="298"/>
      <c r="J102" s="297"/>
      <c r="K102" s="297"/>
      <c r="L102" s="297"/>
      <c r="M102" s="293" t="s">
        <v>16</v>
      </c>
    </row>
    <row r="103" spans="1:13" ht="10.5" hidden="1">
      <c r="A103" s="290" t="s">
        <v>1145</v>
      </c>
      <c r="B103" s="291" t="s">
        <v>14</v>
      </c>
      <c r="C103" s="291">
        <v>1</v>
      </c>
      <c r="D103" s="291">
        <v>1</v>
      </c>
      <c r="E103" s="291">
        <v>24</v>
      </c>
      <c r="F103" s="291">
        <v>24</v>
      </c>
      <c r="G103" s="292"/>
      <c r="H103" s="292"/>
      <c r="I103" s="292"/>
      <c r="J103" s="291"/>
      <c r="K103" s="291"/>
      <c r="L103" s="291"/>
      <c r="M103" s="293" t="s">
        <v>16</v>
      </c>
    </row>
    <row r="104" spans="1:13" ht="12.5" hidden="1">
      <c r="A104" s="295" t="s">
        <v>17</v>
      </c>
      <c r="B104" s="296" t="s">
        <v>18</v>
      </c>
      <c r="C104" s="297">
        <v>2</v>
      </c>
      <c r="D104" s="297">
        <v>1</v>
      </c>
      <c r="E104" s="297">
        <f>D104+F104-1</f>
        <v>1</v>
      </c>
      <c r="F104" s="297">
        <v>1</v>
      </c>
      <c r="G104" s="298" t="s">
        <v>19</v>
      </c>
      <c r="H104" s="298"/>
      <c r="I104" s="298"/>
      <c r="J104" s="297"/>
      <c r="K104" s="297"/>
      <c r="L104" s="297"/>
      <c r="M104" s="293" t="s">
        <v>16</v>
      </c>
    </row>
    <row r="105" spans="1:13" ht="12.5" hidden="1">
      <c r="A105" s="295" t="s">
        <v>212</v>
      </c>
      <c r="B105" s="296" t="s">
        <v>213</v>
      </c>
      <c r="C105" s="297">
        <v>3</v>
      </c>
      <c r="D105" s="297">
        <f>E104+1</f>
        <v>2</v>
      </c>
      <c r="E105" s="297">
        <f>D105+F105-1</f>
        <v>9</v>
      </c>
      <c r="F105" s="297">
        <v>8</v>
      </c>
      <c r="G105" s="301" t="s">
        <v>1101</v>
      </c>
      <c r="H105" s="301"/>
      <c r="I105" s="301"/>
      <c r="J105" s="297"/>
      <c r="K105" s="297"/>
      <c r="L105" s="297"/>
      <c r="M105" s="293" t="s">
        <v>16</v>
      </c>
    </row>
    <row r="106" spans="1:13" ht="12.5" hidden="1">
      <c r="A106" s="295" t="s">
        <v>215</v>
      </c>
      <c r="B106" s="296" t="s">
        <v>216</v>
      </c>
      <c r="C106" s="297">
        <v>4</v>
      </c>
      <c r="D106" s="297">
        <f>E105+1</f>
        <v>10</v>
      </c>
      <c r="E106" s="297">
        <f>D106+F106-1</f>
        <v>17</v>
      </c>
      <c r="F106" s="297">
        <v>8</v>
      </c>
      <c r="G106" s="301" t="s">
        <v>1003</v>
      </c>
      <c r="H106" s="301"/>
      <c r="I106" s="301"/>
      <c r="J106" s="297"/>
      <c r="K106" s="297"/>
      <c r="L106" s="297"/>
      <c r="M106" s="293" t="s">
        <v>16</v>
      </c>
    </row>
    <row r="107" spans="1:13" hidden="1">
      <c r="A107" s="317" t="s">
        <v>217</v>
      </c>
      <c r="B107" s="314" t="s">
        <v>236</v>
      </c>
      <c r="C107" s="297">
        <v>5</v>
      </c>
      <c r="D107" s="297">
        <f>E106+1</f>
        <v>18</v>
      </c>
      <c r="E107" s="297">
        <f>D107+F107-1</f>
        <v>24</v>
      </c>
      <c r="F107" s="297">
        <v>7</v>
      </c>
      <c r="G107" s="298" t="s">
        <v>219</v>
      </c>
      <c r="H107" s="298"/>
      <c r="I107" s="298"/>
      <c r="J107" s="297"/>
      <c r="K107" s="297"/>
      <c r="L107" s="297"/>
      <c r="M107" s="293" t="s">
        <v>16</v>
      </c>
    </row>
    <row r="108" spans="1:13" ht="10.5" hidden="1">
      <c r="A108" s="290" t="s">
        <v>1146</v>
      </c>
      <c r="B108" s="291" t="s">
        <v>14</v>
      </c>
      <c r="C108" s="302">
        <v>6</v>
      </c>
      <c r="D108" s="291">
        <v>1</v>
      </c>
      <c r="E108" s="291">
        <v>24</v>
      </c>
      <c r="F108" s="291">
        <v>24</v>
      </c>
      <c r="G108" s="303"/>
      <c r="H108" s="303"/>
      <c r="I108" s="303"/>
      <c r="J108" s="291"/>
      <c r="K108" s="291"/>
      <c r="L108" s="291"/>
      <c r="M108" s="293" t="s">
        <v>16</v>
      </c>
    </row>
    <row r="109" spans="1:13" ht="12.5" hidden="1">
      <c r="A109" s="304" t="s">
        <v>723</v>
      </c>
      <c r="B109" s="296" t="s">
        <v>18</v>
      </c>
      <c r="C109" s="297">
        <v>7</v>
      </c>
      <c r="D109" s="305">
        <v>1</v>
      </c>
      <c r="E109" s="297">
        <f>D109+F109-1</f>
        <v>1</v>
      </c>
      <c r="F109" s="305">
        <v>1</v>
      </c>
      <c r="G109" s="298" t="s">
        <v>38</v>
      </c>
      <c r="H109" s="298"/>
      <c r="I109" s="298"/>
      <c r="J109" s="305"/>
      <c r="K109" s="305"/>
      <c r="L109" s="305"/>
      <c r="M109" s="293" t="s">
        <v>16</v>
      </c>
    </row>
    <row r="110" spans="1:13" ht="24" hidden="1" customHeight="1">
      <c r="A110" s="312" t="s">
        <v>277</v>
      </c>
      <c r="B110" s="296" t="s">
        <v>1111</v>
      </c>
      <c r="C110" s="297">
        <v>8</v>
      </c>
      <c r="D110" s="297">
        <f>E109+1</f>
        <v>2</v>
      </c>
      <c r="E110" s="297">
        <f>D110+F110-1</f>
        <v>4</v>
      </c>
      <c r="F110" s="297">
        <v>3</v>
      </c>
      <c r="G110" s="323" t="s">
        <v>1147</v>
      </c>
      <c r="H110" s="298" t="s">
        <v>20</v>
      </c>
      <c r="I110" s="298" t="s">
        <v>1148</v>
      </c>
      <c r="J110" s="324" t="s">
        <v>1149</v>
      </c>
      <c r="K110" s="314" t="s">
        <v>1107</v>
      </c>
      <c r="L110" s="325">
        <v>611</v>
      </c>
      <c r="M110" s="293" t="s">
        <v>16</v>
      </c>
    </row>
    <row r="111" spans="1:13" ht="24" hidden="1" customHeight="1">
      <c r="A111" s="312" t="s">
        <v>281</v>
      </c>
      <c r="B111" s="296" t="s">
        <v>1014</v>
      </c>
      <c r="C111" s="297">
        <v>8</v>
      </c>
      <c r="D111" s="297">
        <f>E110+1</f>
        <v>5</v>
      </c>
      <c r="E111" s="297">
        <f>D111+F111-1</f>
        <v>24</v>
      </c>
      <c r="F111" s="297">
        <v>20</v>
      </c>
      <c r="G111" s="323" t="s">
        <v>1150</v>
      </c>
      <c r="H111" s="298" t="s">
        <v>20</v>
      </c>
      <c r="I111" s="298" t="s">
        <v>283</v>
      </c>
      <c r="J111" s="324" t="s">
        <v>1151</v>
      </c>
      <c r="K111" s="314" t="s">
        <v>1107</v>
      </c>
      <c r="L111" s="325">
        <v>611</v>
      </c>
      <c r="M111" s="293" t="s">
        <v>16</v>
      </c>
    </row>
    <row r="112" spans="1:13" ht="31.5" hidden="1">
      <c r="A112" s="290" t="s">
        <v>1152</v>
      </c>
      <c r="B112" s="291" t="s">
        <v>14</v>
      </c>
      <c r="C112" s="302">
        <v>35</v>
      </c>
      <c r="D112" s="291">
        <v>1</v>
      </c>
      <c r="E112" s="291">
        <v>24</v>
      </c>
      <c r="F112" s="291">
        <v>24</v>
      </c>
      <c r="G112" s="303"/>
      <c r="H112" s="303"/>
      <c r="I112" s="303"/>
      <c r="J112" s="291"/>
      <c r="K112" s="316" t="s">
        <v>204</v>
      </c>
      <c r="L112" s="316"/>
      <c r="M112" s="316"/>
    </row>
    <row r="113" spans="1:13" ht="12.5" hidden="1">
      <c r="A113" s="304" t="s">
        <v>723</v>
      </c>
      <c r="B113" s="296" t="s">
        <v>18</v>
      </c>
      <c r="C113" s="297">
        <v>36</v>
      </c>
      <c r="D113" s="297">
        <v>1</v>
      </c>
      <c r="E113" s="297">
        <v>1</v>
      </c>
      <c r="F113" s="297">
        <v>1</v>
      </c>
      <c r="G113" s="298" t="s">
        <v>205</v>
      </c>
      <c r="H113" s="298"/>
      <c r="I113" s="298"/>
      <c r="J113" s="297"/>
      <c r="K113" s="297"/>
      <c r="L113" s="297"/>
      <c r="M113" s="293"/>
    </row>
    <row r="114" spans="1:13" ht="12.5" hidden="1">
      <c r="A114" s="317" t="s">
        <v>206</v>
      </c>
      <c r="B114" s="296" t="s">
        <v>207</v>
      </c>
      <c r="C114" s="297">
        <v>37</v>
      </c>
      <c r="D114" s="297">
        <v>2</v>
      </c>
      <c r="E114" s="297">
        <f>D114+F114-1</f>
        <v>10</v>
      </c>
      <c r="F114" s="297">
        <v>9</v>
      </c>
      <c r="G114" s="298" t="s">
        <v>233</v>
      </c>
      <c r="H114" s="298"/>
      <c r="I114" s="298"/>
      <c r="J114" s="297"/>
      <c r="K114" s="297"/>
      <c r="L114" s="297"/>
      <c r="M114" s="293"/>
    </row>
    <row r="115" spans="1:13" ht="13" hidden="1" thickBot="1">
      <c r="A115" s="326" t="s">
        <v>217</v>
      </c>
      <c r="B115" s="327" t="s">
        <v>1124</v>
      </c>
      <c r="C115" s="328">
        <v>38</v>
      </c>
      <c r="D115" s="328">
        <v>11</v>
      </c>
      <c r="E115" s="328">
        <f>D115+F115-1</f>
        <v>24</v>
      </c>
      <c r="F115" s="328">
        <v>14</v>
      </c>
      <c r="G115" s="329" t="s">
        <v>219</v>
      </c>
      <c r="H115" s="329"/>
      <c r="I115" s="329"/>
      <c r="J115" s="328"/>
      <c r="K115" s="328"/>
      <c r="L115" s="328"/>
      <c r="M115" s="293"/>
    </row>
    <row r="116" spans="1:13" hidden="1"/>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12C61-C2AB-4D68-91EB-1F0B27170B02}">
  <sheetPr codeName="Sheet3"/>
  <dimension ref="A1:N117"/>
  <sheetViews>
    <sheetView zoomScale="130" zoomScaleNormal="130" workbookViewId="0">
      <selection activeCell="A14" sqref="A14"/>
    </sheetView>
  </sheetViews>
  <sheetFormatPr defaultRowHeight="10"/>
  <cols>
    <col min="1" max="1" width="24.7265625" style="318" bestFit="1" customWidth="1"/>
    <col min="2" max="2" width="18.7265625" style="319" bestFit="1" customWidth="1"/>
    <col min="3" max="3" width="8.1796875" style="319" bestFit="1" customWidth="1"/>
    <col min="4" max="5" width="8.26953125" style="319" bestFit="1" customWidth="1"/>
    <col min="6" max="6" width="7.26953125" style="319" bestFit="1" customWidth="1"/>
    <col min="7" max="7" width="30.26953125" style="458" customWidth="1"/>
    <col min="8" max="8" width="17.1796875" style="320" bestFit="1" customWidth="1"/>
    <col min="9" max="9" width="23.26953125" style="320" customWidth="1"/>
    <col min="10" max="10" width="28.7265625" style="319" bestFit="1" customWidth="1"/>
    <col min="11" max="12" width="9.1796875" style="319"/>
    <col min="13" max="13" width="13.26953125" style="294" customWidth="1"/>
    <col min="14" max="256" width="9.1796875" style="294"/>
    <col min="257" max="257" width="24.7265625" style="294" bestFit="1" customWidth="1"/>
    <col min="258" max="258" width="18.7265625" style="294" bestFit="1" customWidth="1"/>
    <col min="259" max="259" width="8.1796875" style="294" bestFit="1" customWidth="1"/>
    <col min="260" max="261" width="8.26953125" style="294" bestFit="1" customWidth="1"/>
    <col min="262" max="262" width="7.26953125" style="294" bestFit="1" customWidth="1"/>
    <col min="263" max="263" width="30.26953125" style="294" customWidth="1"/>
    <col min="264" max="264" width="17.1796875" style="294" bestFit="1" customWidth="1"/>
    <col min="265" max="265" width="23.26953125" style="294" customWidth="1"/>
    <col min="266" max="266" width="28.7265625" style="294" bestFit="1" customWidth="1"/>
    <col min="267" max="268" width="9.1796875" style="294"/>
    <col min="269" max="269" width="13.26953125" style="294" customWidth="1"/>
    <col min="270" max="512" width="9.1796875" style="294"/>
    <col min="513" max="513" width="24.7265625" style="294" bestFit="1" customWidth="1"/>
    <col min="514" max="514" width="18.7265625" style="294" bestFit="1" customWidth="1"/>
    <col min="515" max="515" width="8.1796875" style="294" bestFit="1" customWidth="1"/>
    <col min="516" max="517" width="8.26953125" style="294" bestFit="1" customWidth="1"/>
    <col min="518" max="518" width="7.26953125" style="294" bestFit="1" customWidth="1"/>
    <col min="519" max="519" width="30.26953125" style="294" customWidth="1"/>
    <col min="520" max="520" width="17.1796875" style="294" bestFit="1" customWidth="1"/>
    <col min="521" max="521" width="23.26953125" style="294" customWidth="1"/>
    <col min="522" max="522" width="28.7265625" style="294" bestFit="1" customWidth="1"/>
    <col min="523" max="524" width="9.1796875" style="294"/>
    <col min="525" max="525" width="13.26953125" style="294" customWidth="1"/>
    <col min="526" max="768" width="9.1796875" style="294"/>
    <col min="769" max="769" width="24.7265625" style="294" bestFit="1" customWidth="1"/>
    <col min="770" max="770" width="18.7265625" style="294" bestFit="1" customWidth="1"/>
    <col min="771" max="771" width="8.1796875" style="294" bestFit="1" customWidth="1"/>
    <col min="772" max="773" width="8.26953125" style="294" bestFit="1" customWidth="1"/>
    <col min="774" max="774" width="7.26953125" style="294" bestFit="1" customWidth="1"/>
    <col min="775" max="775" width="30.26953125" style="294" customWidth="1"/>
    <col min="776" max="776" width="17.1796875" style="294" bestFit="1" customWidth="1"/>
    <col min="777" max="777" width="23.26953125" style="294" customWidth="1"/>
    <col min="778" max="778" width="28.7265625" style="294" bestFit="1" customWidth="1"/>
    <col min="779" max="780" width="9.1796875" style="294"/>
    <col min="781" max="781" width="13.26953125" style="294" customWidth="1"/>
    <col min="782" max="1024" width="9.1796875" style="294"/>
    <col min="1025" max="1025" width="24.7265625" style="294" bestFit="1" customWidth="1"/>
    <col min="1026" max="1026" width="18.7265625" style="294" bestFit="1" customWidth="1"/>
    <col min="1027" max="1027" width="8.1796875" style="294" bestFit="1" customWidth="1"/>
    <col min="1028" max="1029" width="8.26953125" style="294" bestFit="1" customWidth="1"/>
    <col min="1030" max="1030" width="7.26953125" style="294" bestFit="1" customWidth="1"/>
    <col min="1031" max="1031" width="30.26953125" style="294" customWidth="1"/>
    <col min="1032" max="1032" width="17.1796875" style="294" bestFit="1" customWidth="1"/>
    <col min="1033" max="1033" width="23.26953125" style="294" customWidth="1"/>
    <col min="1034" max="1034" width="28.7265625" style="294" bestFit="1" customWidth="1"/>
    <col min="1035" max="1036" width="9.1796875" style="294"/>
    <col min="1037" max="1037" width="13.26953125" style="294" customWidth="1"/>
    <col min="1038" max="1280" width="9.1796875" style="294"/>
    <col min="1281" max="1281" width="24.7265625" style="294" bestFit="1" customWidth="1"/>
    <col min="1282" max="1282" width="18.7265625" style="294" bestFit="1" customWidth="1"/>
    <col min="1283" max="1283" width="8.1796875" style="294" bestFit="1" customWidth="1"/>
    <col min="1284" max="1285" width="8.26953125" style="294" bestFit="1" customWidth="1"/>
    <col min="1286" max="1286" width="7.26953125" style="294" bestFit="1" customWidth="1"/>
    <col min="1287" max="1287" width="30.26953125" style="294" customWidth="1"/>
    <col min="1288" max="1288" width="17.1796875" style="294" bestFit="1" customWidth="1"/>
    <col min="1289" max="1289" width="23.26953125" style="294" customWidth="1"/>
    <col min="1290" max="1290" width="28.7265625" style="294" bestFit="1" customWidth="1"/>
    <col min="1291" max="1292" width="9.1796875" style="294"/>
    <col min="1293" max="1293" width="13.26953125" style="294" customWidth="1"/>
    <col min="1294" max="1536" width="9.1796875" style="294"/>
    <col min="1537" max="1537" width="24.7265625" style="294" bestFit="1" customWidth="1"/>
    <col min="1538" max="1538" width="18.7265625" style="294" bestFit="1" customWidth="1"/>
    <col min="1539" max="1539" width="8.1796875" style="294" bestFit="1" customWidth="1"/>
    <col min="1540" max="1541" width="8.26953125" style="294" bestFit="1" customWidth="1"/>
    <col min="1542" max="1542" width="7.26953125" style="294" bestFit="1" customWidth="1"/>
    <col min="1543" max="1543" width="30.26953125" style="294" customWidth="1"/>
    <col min="1544" max="1544" width="17.1796875" style="294" bestFit="1" customWidth="1"/>
    <col min="1545" max="1545" width="23.26953125" style="294" customWidth="1"/>
    <col min="1546" max="1546" width="28.7265625" style="294" bestFit="1" customWidth="1"/>
    <col min="1547" max="1548" width="9.1796875" style="294"/>
    <col min="1549" max="1549" width="13.26953125" style="294" customWidth="1"/>
    <col min="1550" max="1792" width="9.1796875" style="294"/>
    <col min="1793" max="1793" width="24.7265625" style="294" bestFit="1" customWidth="1"/>
    <col min="1794" max="1794" width="18.7265625" style="294" bestFit="1" customWidth="1"/>
    <col min="1795" max="1795" width="8.1796875" style="294" bestFit="1" customWidth="1"/>
    <col min="1796" max="1797" width="8.26953125" style="294" bestFit="1" customWidth="1"/>
    <col min="1798" max="1798" width="7.26953125" style="294" bestFit="1" customWidth="1"/>
    <col min="1799" max="1799" width="30.26953125" style="294" customWidth="1"/>
    <col min="1800" max="1800" width="17.1796875" style="294" bestFit="1" customWidth="1"/>
    <col min="1801" max="1801" width="23.26953125" style="294" customWidth="1"/>
    <col min="1802" max="1802" width="28.7265625" style="294" bestFit="1" customWidth="1"/>
    <col min="1803" max="1804" width="9.1796875" style="294"/>
    <col min="1805" max="1805" width="13.26953125" style="294" customWidth="1"/>
    <col min="1806" max="2048" width="9.1796875" style="294"/>
    <col min="2049" max="2049" width="24.7265625" style="294" bestFit="1" customWidth="1"/>
    <col min="2050" max="2050" width="18.7265625" style="294" bestFit="1" customWidth="1"/>
    <col min="2051" max="2051" width="8.1796875" style="294" bestFit="1" customWidth="1"/>
    <col min="2052" max="2053" width="8.26953125" style="294" bestFit="1" customWidth="1"/>
    <col min="2054" max="2054" width="7.26953125" style="294" bestFit="1" customWidth="1"/>
    <col min="2055" max="2055" width="30.26953125" style="294" customWidth="1"/>
    <col min="2056" max="2056" width="17.1796875" style="294" bestFit="1" customWidth="1"/>
    <col min="2057" max="2057" width="23.26953125" style="294" customWidth="1"/>
    <col min="2058" max="2058" width="28.7265625" style="294" bestFit="1" customWidth="1"/>
    <col min="2059" max="2060" width="9.1796875" style="294"/>
    <col min="2061" max="2061" width="13.26953125" style="294" customWidth="1"/>
    <col min="2062" max="2304" width="9.1796875" style="294"/>
    <col min="2305" max="2305" width="24.7265625" style="294" bestFit="1" customWidth="1"/>
    <col min="2306" max="2306" width="18.7265625" style="294" bestFit="1" customWidth="1"/>
    <col min="2307" max="2307" width="8.1796875" style="294" bestFit="1" customWidth="1"/>
    <col min="2308" max="2309" width="8.26953125" style="294" bestFit="1" customWidth="1"/>
    <col min="2310" max="2310" width="7.26953125" style="294" bestFit="1" customWidth="1"/>
    <col min="2311" max="2311" width="30.26953125" style="294" customWidth="1"/>
    <col min="2312" max="2312" width="17.1796875" style="294" bestFit="1" customWidth="1"/>
    <col min="2313" max="2313" width="23.26953125" style="294" customWidth="1"/>
    <col min="2314" max="2314" width="28.7265625" style="294" bestFit="1" customWidth="1"/>
    <col min="2315" max="2316" width="9.1796875" style="294"/>
    <col min="2317" max="2317" width="13.26953125" style="294" customWidth="1"/>
    <col min="2318" max="2560" width="9.1796875" style="294"/>
    <col min="2561" max="2561" width="24.7265625" style="294" bestFit="1" customWidth="1"/>
    <col min="2562" max="2562" width="18.7265625" style="294" bestFit="1" customWidth="1"/>
    <col min="2563" max="2563" width="8.1796875" style="294" bestFit="1" customWidth="1"/>
    <col min="2564" max="2565" width="8.26953125" style="294" bestFit="1" customWidth="1"/>
    <col min="2566" max="2566" width="7.26953125" style="294" bestFit="1" customWidth="1"/>
    <col min="2567" max="2567" width="30.26953125" style="294" customWidth="1"/>
    <col min="2568" max="2568" width="17.1796875" style="294" bestFit="1" customWidth="1"/>
    <col min="2569" max="2569" width="23.26953125" style="294" customWidth="1"/>
    <col min="2570" max="2570" width="28.7265625" style="294" bestFit="1" customWidth="1"/>
    <col min="2571" max="2572" width="9.1796875" style="294"/>
    <col min="2573" max="2573" width="13.26953125" style="294" customWidth="1"/>
    <col min="2574" max="2816" width="9.1796875" style="294"/>
    <col min="2817" max="2817" width="24.7265625" style="294" bestFit="1" customWidth="1"/>
    <col min="2818" max="2818" width="18.7265625" style="294" bestFit="1" customWidth="1"/>
    <col min="2819" max="2819" width="8.1796875" style="294" bestFit="1" customWidth="1"/>
    <col min="2820" max="2821" width="8.26953125" style="294" bestFit="1" customWidth="1"/>
    <col min="2822" max="2822" width="7.26953125" style="294" bestFit="1" customWidth="1"/>
    <col min="2823" max="2823" width="30.26953125" style="294" customWidth="1"/>
    <col min="2824" max="2824" width="17.1796875" style="294" bestFit="1" customWidth="1"/>
    <col min="2825" max="2825" width="23.26953125" style="294" customWidth="1"/>
    <col min="2826" max="2826" width="28.7265625" style="294" bestFit="1" customWidth="1"/>
    <col min="2827" max="2828" width="9.1796875" style="294"/>
    <col min="2829" max="2829" width="13.26953125" style="294" customWidth="1"/>
    <col min="2830" max="3072" width="9.1796875" style="294"/>
    <col min="3073" max="3073" width="24.7265625" style="294" bestFit="1" customWidth="1"/>
    <col min="3074" max="3074" width="18.7265625" style="294" bestFit="1" customWidth="1"/>
    <col min="3075" max="3075" width="8.1796875" style="294" bestFit="1" customWidth="1"/>
    <col min="3076" max="3077" width="8.26953125" style="294" bestFit="1" customWidth="1"/>
    <col min="3078" max="3078" width="7.26953125" style="294" bestFit="1" customWidth="1"/>
    <col min="3079" max="3079" width="30.26953125" style="294" customWidth="1"/>
    <col min="3080" max="3080" width="17.1796875" style="294" bestFit="1" customWidth="1"/>
    <col min="3081" max="3081" width="23.26953125" style="294" customWidth="1"/>
    <col min="3082" max="3082" width="28.7265625" style="294" bestFit="1" customWidth="1"/>
    <col min="3083" max="3084" width="9.1796875" style="294"/>
    <col min="3085" max="3085" width="13.26953125" style="294" customWidth="1"/>
    <col min="3086" max="3328" width="9.1796875" style="294"/>
    <col min="3329" max="3329" width="24.7265625" style="294" bestFit="1" customWidth="1"/>
    <col min="3330" max="3330" width="18.7265625" style="294" bestFit="1" customWidth="1"/>
    <col min="3331" max="3331" width="8.1796875" style="294" bestFit="1" customWidth="1"/>
    <col min="3332" max="3333" width="8.26953125" style="294" bestFit="1" customWidth="1"/>
    <col min="3334" max="3334" width="7.26953125" style="294" bestFit="1" customWidth="1"/>
    <col min="3335" max="3335" width="30.26953125" style="294" customWidth="1"/>
    <col min="3336" max="3336" width="17.1796875" style="294" bestFit="1" customWidth="1"/>
    <col min="3337" max="3337" width="23.26953125" style="294" customWidth="1"/>
    <col min="3338" max="3338" width="28.7265625" style="294" bestFit="1" customWidth="1"/>
    <col min="3339" max="3340" width="9.1796875" style="294"/>
    <col min="3341" max="3341" width="13.26953125" style="294" customWidth="1"/>
    <col min="3342" max="3584" width="9.1796875" style="294"/>
    <col min="3585" max="3585" width="24.7265625" style="294" bestFit="1" customWidth="1"/>
    <col min="3586" max="3586" width="18.7265625" style="294" bestFit="1" customWidth="1"/>
    <col min="3587" max="3587" width="8.1796875" style="294" bestFit="1" customWidth="1"/>
    <col min="3588" max="3589" width="8.26953125" style="294" bestFit="1" customWidth="1"/>
    <col min="3590" max="3590" width="7.26953125" style="294" bestFit="1" customWidth="1"/>
    <col min="3591" max="3591" width="30.26953125" style="294" customWidth="1"/>
    <col min="3592" max="3592" width="17.1796875" style="294" bestFit="1" customWidth="1"/>
    <col min="3593" max="3593" width="23.26953125" style="294" customWidth="1"/>
    <col min="3594" max="3594" width="28.7265625" style="294" bestFit="1" customWidth="1"/>
    <col min="3595" max="3596" width="9.1796875" style="294"/>
    <col min="3597" max="3597" width="13.26953125" style="294" customWidth="1"/>
    <col min="3598" max="3840" width="9.1796875" style="294"/>
    <col min="3841" max="3841" width="24.7265625" style="294" bestFit="1" customWidth="1"/>
    <col min="3842" max="3842" width="18.7265625" style="294" bestFit="1" customWidth="1"/>
    <col min="3843" max="3843" width="8.1796875" style="294" bestFit="1" customWidth="1"/>
    <col min="3844" max="3845" width="8.26953125" style="294" bestFit="1" customWidth="1"/>
    <col min="3846" max="3846" width="7.26953125" style="294" bestFit="1" customWidth="1"/>
    <col min="3847" max="3847" width="30.26953125" style="294" customWidth="1"/>
    <col min="3848" max="3848" width="17.1796875" style="294" bestFit="1" customWidth="1"/>
    <col min="3849" max="3849" width="23.26953125" style="294" customWidth="1"/>
    <col min="3850" max="3850" width="28.7265625" style="294" bestFit="1" customWidth="1"/>
    <col min="3851" max="3852" width="9.1796875" style="294"/>
    <col min="3853" max="3853" width="13.26953125" style="294" customWidth="1"/>
    <col min="3854" max="4096" width="9.1796875" style="294"/>
    <col min="4097" max="4097" width="24.7265625" style="294" bestFit="1" customWidth="1"/>
    <col min="4098" max="4098" width="18.7265625" style="294" bestFit="1" customWidth="1"/>
    <col min="4099" max="4099" width="8.1796875" style="294" bestFit="1" customWidth="1"/>
    <col min="4100" max="4101" width="8.26953125" style="294" bestFit="1" customWidth="1"/>
    <col min="4102" max="4102" width="7.26953125" style="294" bestFit="1" customWidth="1"/>
    <col min="4103" max="4103" width="30.26953125" style="294" customWidth="1"/>
    <col min="4104" max="4104" width="17.1796875" style="294" bestFit="1" customWidth="1"/>
    <col min="4105" max="4105" width="23.26953125" style="294" customWidth="1"/>
    <col min="4106" max="4106" width="28.7265625" style="294" bestFit="1" customWidth="1"/>
    <col min="4107" max="4108" width="9.1796875" style="294"/>
    <col min="4109" max="4109" width="13.26953125" style="294" customWidth="1"/>
    <col min="4110" max="4352" width="9.1796875" style="294"/>
    <col min="4353" max="4353" width="24.7265625" style="294" bestFit="1" customWidth="1"/>
    <col min="4354" max="4354" width="18.7265625" style="294" bestFit="1" customWidth="1"/>
    <col min="4355" max="4355" width="8.1796875" style="294" bestFit="1" customWidth="1"/>
    <col min="4356" max="4357" width="8.26953125" style="294" bestFit="1" customWidth="1"/>
    <col min="4358" max="4358" width="7.26953125" style="294" bestFit="1" customWidth="1"/>
    <col min="4359" max="4359" width="30.26953125" style="294" customWidth="1"/>
    <col min="4360" max="4360" width="17.1796875" style="294" bestFit="1" customWidth="1"/>
    <col min="4361" max="4361" width="23.26953125" style="294" customWidth="1"/>
    <col min="4362" max="4362" width="28.7265625" style="294" bestFit="1" customWidth="1"/>
    <col min="4363" max="4364" width="9.1796875" style="294"/>
    <col min="4365" max="4365" width="13.26953125" style="294" customWidth="1"/>
    <col min="4366" max="4608" width="9.1796875" style="294"/>
    <col min="4609" max="4609" width="24.7265625" style="294" bestFit="1" customWidth="1"/>
    <col min="4610" max="4610" width="18.7265625" style="294" bestFit="1" customWidth="1"/>
    <col min="4611" max="4611" width="8.1796875" style="294" bestFit="1" customWidth="1"/>
    <col min="4612" max="4613" width="8.26953125" style="294" bestFit="1" customWidth="1"/>
    <col min="4614" max="4614" width="7.26953125" style="294" bestFit="1" customWidth="1"/>
    <col min="4615" max="4615" width="30.26953125" style="294" customWidth="1"/>
    <col min="4616" max="4616" width="17.1796875" style="294" bestFit="1" customWidth="1"/>
    <col min="4617" max="4617" width="23.26953125" style="294" customWidth="1"/>
    <col min="4618" max="4618" width="28.7265625" style="294" bestFit="1" customWidth="1"/>
    <col min="4619" max="4620" width="9.1796875" style="294"/>
    <col min="4621" max="4621" width="13.26953125" style="294" customWidth="1"/>
    <col min="4622" max="4864" width="9.1796875" style="294"/>
    <col min="4865" max="4865" width="24.7265625" style="294" bestFit="1" customWidth="1"/>
    <col min="4866" max="4866" width="18.7265625" style="294" bestFit="1" customWidth="1"/>
    <col min="4867" max="4867" width="8.1796875" style="294" bestFit="1" customWidth="1"/>
    <col min="4868" max="4869" width="8.26953125" style="294" bestFit="1" customWidth="1"/>
    <col min="4870" max="4870" width="7.26953125" style="294" bestFit="1" customWidth="1"/>
    <col min="4871" max="4871" width="30.26953125" style="294" customWidth="1"/>
    <col min="4872" max="4872" width="17.1796875" style="294" bestFit="1" customWidth="1"/>
    <col min="4873" max="4873" width="23.26953125" style="294" customWidth="1"/>
    <col min="4874" max="4874" width="28.7265625" style="294" bestFit="1" customWidth="1"/>
    <col min="4875" max="4876" width="9.1796875" style="294"/>
    <col min="4877" max="4877" width="13.26953125" style="294" customWidth="1"/>
    <col min="4878" max="5120" width="9.1796875" style="294"/>
    <col min="5121" max="5121" width="24.7265625" style="294" bestFit="1" customWidth="1"/>
    <col min="5122" max="5122" width="18.7265625" style="294" bestFit="1" customWidth="1"/>
    <col min="5123" max="5123" width="8.1796875" style="294" bestFit="1" customWidth="1"/>
    <col min="5124" max="5125" width="8.26953125" style="294" bestFit="1" customWidth="1"/>
    <col min="5126" max="5126" width="7.26953125" style="294" bestFit="1" customWidth="1"/>
    <col min="5127" max="5127" width="30.26953125" style="294" customWidth="1"/>
    <col min="5128" max="5128" width="17.1796875" style="294" bestFit="1" customWidth="1"/>
    <col min="5129" max="5129" width="23.26953125" style="294" customWidth="1"/>
    <col min="5130" max="5130" width="28.7265625" style="294" bestFit="1" customWidth="1"/>
    <col min="5131" max="5132" width="9.1796875" style="294"/>
    <col min="5133" max="5133" width="13.26953125" style="294" customWidth="1"/>
    <col min="5134" max="5376" width="9.1796875" style="294"/>
    <col min="5377" max="5377" width="24.7265625" style="294" bestFit="1" customWidth="1"/>
    <col min="5378" max="5378" width="18.7265625" style="294" bestFit="1" customWidth="1"/>
    <col min="5379" max="5379" width="8.1796875" style="294" bestFit="1" customWidth="1"/>
    <col min="5380" max="5381" width="8.26953125" style="294" bestFit="1" customWidth="1"/>
    <col min="5382" max="5382" width="7.26953125" style="294" bestFit="1" customWidth="1"/>
    <col min="5383" max="5383" width="30.26953125" style="294" customWidth="1"/>
    <col min="5384" max="5384" width="17.1796875" style="294" bestFit="1" customWidth="1"/>
    <col min="5385" max="5385" width="23.26953125" style="294" customWidth="1"/>
    <col min="5386" max="5386" width="28.7265625" style="294" bestFit="1" customWidth="1"/>
    <col min="5387" max="5388" width="9.1796875" style="294"/>
    <col min="5389" max="5389" width="13.26953125" style="294" customWidth="1"/>
    <col min="5390" max="5632" width="9.1796875" style="294"/>
    <col min="5633" max="5633" width="24.7265625" style="294" bestFit="1" customWidth="1"/>
    <col min="5634" max="5634" width="18.7265625" style="294" bestFit="1" customWidth="1"/>
    <col min="5635" max="5635" width="8.1796875" style="294" bestFit="1" customWidth="1"/>
    <col min="5636" max="5637" width="8.26953125" style="294" bestFit="1" customWidth="1"/>
    <col min="5638" max="5638" width="7.26953125" style="294" bestFit="1" customWidth="1"/>
    <col min="5639" max="5639" width="30.26953125" style="294" customWidth="1"/>
    <col min="5640" max="5640" width="17.1796875" style="294" bestFit="1" customWidth="1"/>
    <col min="5641" max="5641" width="23.26953125" style="294" customWidth="1"/>
    <col min="5642" max="5642" width="28.7265625" style="294" bestFit="1" customWidth="1"/>
    <col min="5643" max="5644" width="9.1796875" style="294"/>
    <col min="5645" max="5645" width="13.26953125" style="294" customWidth="1"/>
    <col min="5646" max="5888" width="9.1796875" style="294"/>
    <col min="5889" max="5889" width="24.7265625" style="294" bestFit="1" customWidth="1"/>
    <col min="5890" max="5890" width="18.7265625" style="294" bestFit="1" customWidth="1"/>
    <col min="5891" max="5891" width="8.1796875" style="294" bestFit="1" customWidth="1"/>
    <col min="5892" max="5893" width="8.26953125" style="294" bestFit="1" customWidth="1"/>
    <col min="5894" max="5894" width="7.26953125" style="294" bestFit="1" customWidth="1"/>
    <col min="5895" max="5895" width="30.26953125" style="294" customWidth="1"/>
    <col min="5896" max="5896" width="17.1796875" style="294" bestFit="1" customWidth="1"/>
    <col min="5897" max="5897" width="23.26953125" style="294" customWidth="1"/>
    <col min="5898" max="5898" width="28.7265625" style="294" bestFit="1" customWidth="1"/>
    <col min="5899" max="5900" width="9.1796875" style="294"/>
    <col min="5901" max="5901" width="13.26953125" style="294" customWidth="1"/>
    <col min="5902" max="6144" width="9.1796875" style="294"/>
    <col min="6145" max="6145" width="24.7265625" style="294" bestFit="1" customWidth="1"/>
    <col min="6146" max="6146" width="18.7265625" style="294" bestFit="1" customWidth="1"/>
    <col min="6147" max="6147" width="8.1796875" style="294" bestFit="1" customWidth="1"/>
    <col min="6148" max="6149" width="8.26953125" style="294" bestFit="1" customWidth="1"/>
    <col min="6150" max="6150" width="7.26953125" style="294" bestFit="1" customWidth="1"/>
    <col min="6151" max="6151" width="30.26953125" style="294" customWidth="1"/>
    <col min="6152" max="6152" width="17.1796875" style="294" bestFit="1" customWidth="1"/>
    <col min="6153" max="6153" width="23.26953125" style="294" customWidth="1"/>
    <col min="6154" max="6154" width="28.7265625" style="294" bestFit="1" customWidth="1"/>
    <col min="6155" max="6156" width="9.1796875" style="294"/>
    <col min="6157" max="6157" width="13.26953125" style="294" customWidth="1"/>
    <col min="6158" max="6400" width="9.1796875" style="294"/>
    <col min="6401" max="6401" width="24.7265625" style="294" bestFit="1" customWidth="1"/>
    <col min="6402" max="6402" width="18.7265625" style="294" bestFit="1" customWidth="1"/>
    <col min="6403" max="6403" width="8.1796875" style="294" bestFit="1" customWidth="1"/>
    <col min="6404" max="6405" width="8.26953125" style="294" bestFit="1" customWidth="1"/>
    <col min="6406" max="6406" width="7.26953125" style="294" bestFit="1" customWidth="1"/>
    <col min="6407" max="6407" width="30.26953125" style="294" customWidth="1"/>
    <col min="6408" max="6408" width="17.1796875" style="294" bestFit="1" customWidth="1"/>
    <col min="6409" max="6409" width="23.26953125" style="294" customWidth="1"/>
    <col min="6410" max="6410" width="28.7265625" style="294" bestFit="1" customWidth="1"/>
    <col min="6411" max="6412" width="9.1796875" style="294"/>
    <col min="6413" max="6413" width="13.26953125" style="294" customWidth="1"/>
    <col min="6414" max="6656" width="9.1796875" style="294"/>
    <col min="6657" max="6657" width="24.7265625" style="294" bestFit="1" customWidth="1"/>
    <col min="6658" max="6658" width="18.7265625" style="294" bestFit="1" customWidth="1"/>
    <col min="6659" max="6659" width="8.1796875" style="294" bestFit="1" customWidth="1"/>
    <col min="6660" max="6661" width="8.26953125" style="294" bestFit="1" customWidth="1"/>
    <col min="6662" max="6662" width="7.26953125" style="294" bestFit="1" customWidth="1"/>
    <col min="6663" max="6663" width="30.26953125" style="294" customWidth="1"/>
    <col min="6664" max="6664" width="17.1796875" style="294" bestFit="1" customWidth="1"/>
    <col min="6665" max="6665" width="23.26953125" style="294" customWidth="1"/>
    <col min="6666" max="6666" width="28.7265625" style="294" bestFit="1" customWidth="1"/>
    <col min="6667" max="6668" width="9.1796875" style="294"/>
    <col min="6669" max="6669" width="13.26953125" style="294" customWidth="1"/>
    <col min="6670" max="6912" width="9.1796875" style="294"/>
    <col min="6913" max="6913" width="24.7265625" style="294" bestFit="1" customWidth="1"/>
    <col min="6914" max="6914" width="18.7265625" style="294" bestFit="1" customWidth="1"/>
    <col min="6915" max="6915" width="8.1796875" style="294" bestFit="1" customWidth="1"/>
    <col min="6916" max="6917" width="8.26953125" style="294" bestFit="1" customWidth="1"/>
    <col min="6918" max="6918" width="7.26953125" style="294" bestFit="1" customWidth="1"/>
    <col min="6919" max="6919" width="30.26953125" style="294" customWidth="1"/>
    <col min="6920" max="6920" width="17.1796875" style="294" bestFit="1" customWidth="1"/>
    <col min="6921" max="6921" width="23.26953125" style="294" customWidth="1"/>
    <col min="6922" max="6922" width="28.7265625" style="294" bestFit="1" customWidth="1"/>
    <col min="6923" max="6924" width="9.1796875" style="294"/>
    <col min="6925" max="6925" width="13.26953125" style="294" customWidth="1"/>
    <col min="6926" max="7168" width="9.1796875" style="294"/>
    <col min="7169" max="7169" width="24.7265625" style="294" bestFit="1" customWidth="1"/>
    <col min="7170" max="7170" width="18.7265625" style="294" bestFit="1" customWidth="1"/>
    <col min="7171" max="7171" width="8.1796875" style="294" bestFit="1" customWidth="1"/>
    <col min="7172" max="7173" width="8.26953125" style="294" bestFit="1" customWidth="1"/>
    <col min="7174" max="7174" width="7.26953125" style="294" bestFit="1" customWidth="1"/>
    <col min="7175" max="7175" width="30.26953125" style="294" customWidth="1"/>
    <col min="7176" max="7176" width="17.1796875" style="294" bestFit="1" customWidth="1"/>
    <col min="7177" max="7177" width="23.26953125" style="294" customWidth="1"/>
    <col min="7178" max="7178" width="28.7265625" style="294" bestFit="1" customWidth="1"/>
    <col min="7179" max="7180" width="9.1796875" style="294"/>
    <col min="7181" max="7181" width="13.26953125" style="294" customWidth="1"/>
    <col min="7182" max="7424" width="9.1796875" style="294"/>
    <col min="7425" max="7425" width="24.7265625" style="294" bestFit="1" customWidth="1"/>
    <col min="7426" max="7426" width="18.7265625" style="294" bestFit="1" customWidth="1"/>
    <col min="7427" max="7427" width="8.1796875" style="294" bestFit="1" customWidth="1"/>
    <col min="7428" max="7429" width="8.26953125" style="294" bestFit="1" customWidth="1"/>
    <col min="7430" max="7430" width="7.26953125" style="294" bestFit="1" customWidth="1"/>
    <col min="7431" max="7431" width="30.26953125" style="294" customWidth="1"/>
    <col min="7432" max="7432" width="17.1796875" style="294" bestFit="1" customWidth="1"/>
    <col min="7433" max="7433" width="23.26953125" style="294" customWidth="1"/>
    <col min="7434" max="7434" width="28.7265625" style="294" bestFit="1" customWidth="1"/>
    <col min="7435" max="7436" width="9.1796875" style="294"/>
    <col min="7437" max="7437" width="13.26953125" style="294" customWidth="1"/>
    <col min="7438" max="7680" width="9.1796875" style="294"/>
    <col min="7681" max="7681" width="24.7265625" style="294" bestFit="1" customWidth="1"/>
    <col min="7682" max="7682" width="18.7265625" style="294" bestFit="1" customWidth="1"/>
    <col min="7683" max="7683" width="8.1796875" style="294" bestFit="1" customWidth="1"/>
    <col min="7684" max="7685" width="8.26953125" style="294" bestFit="1" customWidth="1"/>
    <col min="7686" max="7686" width="7.26953125" style="294" bestFit="1" customWidth="1"/>
    <col min="7687" max="7687" width="30.26953125" style="294" customWidth="1"/>
    <col min="7688" max="7688" width="17.1796875" style="294" bestFit="1" customWidth="1"/>
    <col min="7689" max="7689" width="23.26953125" style="294" customWidth="1"/>
    <col min="7690" max="7690" width="28.7265625" style="294" bestFit="1" customWidth="1"/>
    <col min="7691" max="7692" width="9.1796875" style="294"/>
    <col min="7693" max="7693" width="13.26953125" style="294" customWidth="1"/>
    <col min="7694" max="7936" width="9.1796875" style="294"/>
    <col min="7937" max="7937" width="24.7265625" style="294" bestFit="1" customWidth="1"/>
    <col min="7938" max="7938" width="18.7265625" style="294" bestFit="1" customWidth="1"/>
    <col min="7939" max="7939" width="8.1796875" style="294" bestFit="1" customWidth="1"/>
    <col min="7940" max="7941" width="8.26953125" style="294" bestFit="1" customWidth="1"/>
    <col min="7942" max="7942" width="7.26953125" style="294" bestFit="1" customWidth="1"/>
    <col min="7943" max="7943" width="30.26953125" style="294" customWidth="1"/>
    <col min="7944" max="7944" width="17.1796875" style="294" bestFit="1" customWidth="1"/>
    <col min="7945" max="7945" width="23.26953125" style="294" customWidth="1"/>
    <col min="7946" max="7946" width="28.7265625" style="294" bestFit="1" customWidth="1"/>
    <col min="7947" max="7948" width="9.1796875" style="294"/>
    <col min="7949" max="7949" width="13.26953125" style="294" customWidth="1"/>
    <col min="7950" max="8192" width="9.1796875" style="294"/>
    <col min="8193" max="8193" width="24.7265625" style="294" bestFit="1" customWidth="1"/>
    <col min="8194" max="8194" width="18.7265625" style="294" bestFit="1" customWidth="1"/>
    <col min="8195" max="8195" width="8.1796875" style="294" bestFit="1" customWidth="1"/>
    <col min="8196" max="8197" width="8.26953125" style="294" bestFit="1" customWidth="1"/>
    <col min="8198" max="8198" width="7.26953125" style="294" bestFit="1" customWidth="1"/>
    <col min="8199" max="8199" width="30.26953125" style="294" customWidth="1"/>
    <col min="8200" max="8200" width="17.1796875" style="294" bestFit="1" customWidth="1"/>
    <col min="8201" max="8201" width="23.26953125" style="294" customWidth="1"/>
    <col min="8202" max="8202" width="28.7265625" style="294" bestFit="1" customWidth="1"/>
    <col min="8203" max="8204" width="9.1796875" style="294"/>
    <col min="8205" max="8205" width="13.26953125" style="294" customWidth="1"/>
    <col min="8206" max="8448" width="9.1796875" style="294"/>
    <col min="8449" max="8449" width="24.7265625" style="294" bestFit="1" customWidth="1"/>
    <col min="8450" max="8450" width="18.7265625" style="294" bestFit="1" customWidth="1"/>
    <col min="8451" max="8451" width="8.1796875" style="294" bestFit="1" customWidth="1"/>
    <col min="8452" max="8453" width="8.26953125" style="294" bestFit="1" customWidth="1"/>
    <col min="8454" max="8454" width="7.26953125" style="294" bestFit="1" customWidth="1"/>
    <col min="8455" max="8455" width="30.26953125" style="294" customWidth="1"/>
    <col min="8456" max="8456" width="17.1796875" style="294" bestFit="1" customWidth="1"/>
    <col min="8457" max="8457" width="23.26953125" style="294" customWidth="1"/>
    <col min="8458" max="8458" width="28.7265625" style="294" bestFit="1" customWidth="1"/>
    <col min="8459" max="8460" width="9.1796875" style="294"/>
    <col min="8461" max="8461" width="13.26953125" style="294" customWidth="1"/>
    <col min="8462" max="8704" width="9.1796875" style="294"/>
    <col min="8705" max="8705" width="24.7265625" style="294" bestFit="1" customWidth="1"/>
    <col min="8706" max="8706" width="18.7265625" style="294" bestFit="1" customWidth="1"/>
    <col min="8707" max="8707" width="8.1796875" style="294" bestFit="1" customWidth="1"/>
    <col min="8708" max="8709" width="8.26953125" style="294" bestFit="1" customWidth="1"/>
    <col min="8710" max="8710" width="7.26953125" style="294" bestFit="1" customWidth="1"/>
    <col min="8711" max="8711" width="30.26953125" style="294" customWidth="1"/>
    <col min="8712" max="8712" width="17.1796875" style="294" bestFit="1" customWidth="1"/>
    <col min="8713" max="8713" width="23.26953125" style="294" customWidth="1"/>
    <col min="8714" max="8714" width="28.7265625" style="294" bestFit="1" customWidth="1"/>
    <col min="8715" max="8716" width="9.1796875" style="294"/>
    <col min="8717" max="8717" width="13.26953125" style="294" customWidth="1"/>
    <col min="8718" max="8960" width="9.1796875" style="294"/>
    <col min="8961" max="8961" width="24.7265625" style="294" bestFit="1" customWidth="1"/>
    <col min="8962" max="8962" width="18.7265625" style="294" bestFit="1" customWidth="1"/>
    <col min="8963" max="8963" width="8.1796875" style="294" bestFit="1" customWidth="1"/>
    <col min="8964" max="8965" width="8.26953125" style="294" bestFit="1" customWidth="1"/>
    <col min="8966" max="8966" width="7.26953125" style="294" bestFit="1" customWidth="1"/>
    <col min="8967" max="8967" width="30.26953125" style="294" customWidth="1"/>
    <col min="8968" max="8968" width="17.1796875" style="294" bestFit="1" customWidth="1"/>
    <col min="8969" max="8969" width="23.26953125" style="294" customWidth="1"/>
    <col min="8970" max="8970" width="28.7265625" style="294" bestFit="1" customWidth="1"/>
    <col min="8971" max="8972" width="9.1796875" style="294"/>
    <col min="8973" max="8973" width="13.26953125" style="294" customWidth="1"/>
    <col min="8974" max="9216" width="9.1796875" style="294"/>
    <col min="9217" max="9217" width="24.7265625" style="294" bestFit="1" customWidth="1"/>
    <col min="9218" max="9218" width="18.7265625" style="294" bestFit="1" customWidth="1"/>
    <col min="9219" max="9219" width="8.1796875" style="294" bestFit="1" customWidth="1"/>
    <col min="9220" max="9221" width="8.26953125" style="294" bestFit="1" customWidth="1"/>
    <col min="9222" max="9222" width="7.26953125" style="294" bestFit="1" customWidth="1"/>
    <col min="9223" max="9223" width="30.26953125" style="294" customWidth="1"/>
    <col min="9224" max="9224" width="17.1796875" style="294" bestFit="1" customWidth="1"/>
    <col min="9225" max="9225" width="23.26953125" style="294" customWidth="1"/>
    <col min="9226" max="9226" width="28.7265625" style="294" bestFit="1" customWidth="1"/>
    <col min="9227" max="9228" width="9.1796875" style="294"/>
    <col min="9229" max="9229" width="13.26953125" style="294" customWidth="1"/>
    <col min="9230" max="9472" width="9.1796875" style="294"/>
    <col min="9473" max="9473" width="24.7265625" style="294" bestFit="1" customWidth="1"/>
    <col min="9474" max="9474" width="18.7265625" style="294" bestFit="1" customWidth="1"/>
    <col min="9475" max="9475" width="8.1796875" style="294" bestFit="1" customWidth="1"/>
    <col min="9476" max="9477" width="8.26953125" style="294" bestFit="1" customWidth="1"/>
    <col min="9478" max="9478" width="7.26953125" style="294" bestFit="1" customWidth="1"/>
    <col min="9479" max="9479" width="30.26953125" style="294" customWidth="1"/>
    <col min="9480" max="9480" width="17.1796875" style="294" bestFit="1" customWidth="1"/>
    <col min="9481" max="9481" width="23.26953125" style="294" customWidth="1"/>
    <col min="9482" max="9482" width="28.7265625" style="294" bestFit="1" customWidth="1"/>
    <col min="9483" max="9484" width="9.1796875" style="294"/>
    <col min="9485" max="9485" width="13.26953125" style="294" customWidth="1"/>
    <col min="9486" max="9728" width="9.1796875" style="294"/>
    <col min="9729" max="9729" width="24.7265625" style="294" bestFit="1" customWidth="1"/>
    <col min="9730" max="9730" width="18.7265625" style="294" bestFit="1" customWidth="1"/>
    <col min="9731" max="9731" width="8.1796875" style="294" bestFit="1" customWidth="1"/>
    <col min="9732" max="9733" width="8.26953125" style="294" bestFit="1" customWidth="1"/>
    <col min="9734" max="9734" width="7.26953125" style="294" bestFit="1" customWidth="1"/>
    <col min="9735" max="9735" width="30.26953125" style="294" customWidth="1"/>
    <col min="9736" max="9736" width="17.1796875" style="294" bestFit="1" customWidth="1"/>
    <col min="9737" max="9737" width="23.26953125" style="294" customWidth="1"/>
    <col min="9738" max="9738" width="28.7265625" style="294" bestFit="1" customWidth="1"/>
    <col min="9739" max="9740" width="9.1796875" style="294"/>
    <col min="9741" max="9741" width="13.26953125" style="294" customWidth="1"/>
    <col min="9742" max="9984" width="9.1796875" style="294"/>
    <col min="9985" max="9985" width="24.7265625" style="294" bestFit="1" customWidth="1"/>
    <col min="9986" max="9986" width="18.7265625" style="294" bestFit="1" customWidth="1"/>
    <col min="9987" max="9987" width="8.1796875" style="294" bestFit="1" customWidth="1"/>
    <col min="9988" max="9989" width="8.26953125" style="294" bestFit="1" customWidth="1"/>
    <col min="9990" max="9990" width="7.26953125" style="294" bestFit="1" customWidth="1"/>
    <col min="9991" max="9991" width="30.26953125" style="294" customWidth="1"/>
    <col min="9992" max="9992" width="17.1796875" style="294" bestFit="1" customWidth="1"/>
    <col min="9993" max="9993" width="23.26953125" style="294" customWidth="1"/>
    <col min="9994" max="9994" width="28.7265625" style="294" bestFit="1" customWidth="1"/>
    <col min="9995" max="9996" width="9.1796875" style="294"/>
    <col min="9997" max="9997" width="13.26953125" style="294" customWidth="1"/>
    <col min="9998" max="10240" width="9.1796875" style="294"/>
    <col min="10241" max="10241" width="24.7265625" style="294" bestFit="1" customWidth="1"/>
    <col min="10242" max="10242" width="18.7265625" style="294" bestFit="1" customWidth="1"/>
    <col min="10243" max="10243" width="8.1796875" style="294" bestFit="1" customWidth="1"/>
    <col min="10244" max="10245" width="8.26953125" style="294" bestFit="1" customWidth="1"/>
    <col min="10246" max="10246" width="7.26953125" style="294" bestFit="1" customWidth="1"/>
    <col min="10247" max="10247" width="30.26953125" style="294" customWidth="1"/>
    <col min="10248" max="10248" width="17.1796875" style="294" bestFit="1" customWidth="1"/>
    <col min="10249" max="10249" width="23.26953125" style="294" customWidth="1"/>
    <col min="10250" max="10250" width="28.7265625" style="294" bestFit="1" customWidth="1"/>
    <col min="10251" max="10252" width="9.1796875" style="294"/>
    <col min="10253" max="10253" width="13.26953125" style="294" customWidth="1"/>
    <col min="10254" max="10496" width="9.1796875" style="294"/>
    <col min="10497" max="10497" width="24.7265625" style="294" bestFit="1" customWidth="1"/>
    <col min="10498" max="10498" width="18.7265625" style="294" bestFit="1" customWidth="1"/>
    <col min="10499" max="10499" width="8.1796875" style="294" bestFit="1" customWidth="1"/>
    <col min="10500" max="10501" width="8.26953125" style="294" bestFit="1" customWidth="1"/>
    <col min="10502" max="10502" width="7.26953125" style="294" bestFit="1" customWidth="1"/>
    <col min="10503" max="10503" width="30.26953125" style="294" customWidth="1"/>
    <col min="10504" max="10504" width="17.1796875" style="294" bestFit="1" customWidth="1"/>
    <col min="10505" max="10505" width="23.26953125" style="294" customWidth="1"/>
    <col min="10506" max="10506" width="28.7265625" style="294" bestFit="1" customWidth="1"/>
    <col min="10507" max="10508" width="9.1796875" style="294"/>
    <col min="10509" max="10509" width="13.26953125" style="294" customWidth="1"/>
    <col min="10510" max="10752" width="9.1796875" style="294"/>
    <col min="10753" max="10753" width="24.7265625" style="294" bestFit="1" customWidth="1"/>
    <col min="10754" max="10754" width="18.7265625" style="294" bestFit="1" customWidth="1"/>
    <col min="10755" max="10755" width="8.1796875" style="294" bestFit="1" customWidth="1"/>
    <col min="10756" max="10757" width="8.26953125" style="294" bestFit="1" customWidth="1"/>
    <col min="10758" max="10758" width="7.26953125" style="294" bestFit="1" customWidth="1"/>
    <col min="10759" max="10759" width="30.26953125" style="294" customWidth="1"/>
    <col min="10760" max="10760" width="17.1796875" style="294" bestFit="1" customWidth="1"/>
    <col min="10761" max="10761" width="23.26953125" style="294" customWidth="1"/>
    <col min="10762" max="10762" width="28.7265625" style="294" bestFit="1" customWidth="1"/>
    <col min="10763" max="10764" width="9.1796875" style="294"/>
    <col min="10765" max="10765" width="13.26953125" style="294" customWidth="1"/>
    <col min="10766" max="11008" width="9.1796875" style="294"/>
    <col min="11009" max="11009" width="24.7265625" style="294" bestFit="1" customWidth="1"/>
    <col min="11010" max="11010" width="18.7265625" style="294" bestFit="1" customWidth="1"/>
    <col min="11011" max="11011" width="8.1796875" style="294" bestFit="1" customWidth="1"/>
    <col min="11012" max="11013" width="8.26953125" style="294" bestFit="1" customWidth="1"/>
    <col min="11014" max="11014" width="7.26953125" style="294" bestFit="1" customWidth="1"/>
    <col min="11015" max="11015" width="30.26953125" style="294" customWidth="1"/>
    <col min="11016" max="11016" width="17.1796875" style="294" bestFit="1" customWidth="1"/>
    <col min="11017" max="11017" width="23.26953125" style="294" customWidth="1"/>
    <col min="11018" max="11018" width="28.7265625" style="294" bestFit="1" customWidth="1"/>
    <col min="11019" max="11020" width="9.1796875" style="294"/>
    <col min="11021" max="11021" width="13.26953125" style="294" customWidth="1"/>
    <col min="11022" max="11264" width="9.1796875" style="294"/>
    <col min="11265" max="11265" width="24.7265625" style="294" bestFit="1" customWidth="1"/>
    <col min="11266" max="11266" width="18.7265625" style="294" bestFit="1" customWidth="1"/>
    <col min="11267" max="11267" width="8.1796875" style="294" bestFit="1" customWidth="1"/>
    <col min="11268" max="11269" width="8.26953125" style="294" bestFit="1" customWidth="1"/>
    <col min="11270" max="11270" width="7.26953125" style="294" bestFit="1" customWidth="1"/>
    <col min="11271" max="11271" width="30.26953125" style="294" customWidth="1"/>
    <col min="11272" max="11272" width="17.1796875" style="294" bestFit="1" customWidth="1"/>
    <col min="11273" max="11273" width="23.26953125" style="294" customWidth="1"/>
    <col min="11274" max="11274" width="28.7265625" style="294" bestFit="1" customWidth="1"/>
    <col min="11275" max="11276" width="9.1796875" style="294"/>
    <col min="11277" max="11277" width="13.26953125" style="294" customWidth="1"/>
    <col min="11278" max="11520" width="9.1796875" style="294"/>
    <col min="11521" max="11521" width="24.7265625" style="294" bestFit="1" customWidth="1"/>
    <col min="11522" max="11522" width="18.7265625" style="294" bestFit="1" customWidth="1"/>
    <col min="11523" max="11523" width="8.1796875" style="294" bestFit="1" customWidth="1"/>
    <col min="11524" max="11525" width="8.26953125" style="294" bestFit="1" customWidth="1"/>
    <col min="11526" max="11526" width="7.26953125" style="294" bestFit="1" customWidth="1"/>
    <col min="11527" max="11527" width="30.26953125" style="294" customWidth="1"/>
    <col min="11528" max="11528" width="17.1796875" style="294" bestFit="1" customWidth="1"/>
    <col min="11529" max="11529" width="23.26953125" style="294" customWidth="1"/>
    <col min="11530" max="11530" width="28.7265625" style="294" bestFit="1" customWidth="1"/>
    <col min="11531" max="11532" width="9.1796875" style="294"/>
    <col min="11533" max="11533" width="13.26953125" style="294" customWidth="1"/>
    <col min="11534" max="11776" width="9.1796875" style="294"/>
    <col min="11777" max="11777" width="24.7265625" style="294" bestFit="1" customWidth="1"/>
    <col min="11778" max="11778" width="18.7265625" style="294" bestFit="1" customWidth="1"/>
    <col min="11779" max="11779" width="8.1796875" style="294" bestFit="1" customWidth="1"/>
    <col min="11780" max="11781" width="8.26953125" style="294" bestFit="1" customWidth="1"/>
    <col min="11782" max="11782" width="7.26953125" style="294" bestFit="1" customWidth="1"/>
    <col min="11783" max="11783" width="30.26953125" style="294" customWidth="1"/>
    <col min="11784" max="11784" width="17.1796875" style="294" bestFit="1" customWidth="1"/>
    <col min="11785" max="11785" width="23.26953125" style="294" customWidth="1"/>
    <col min="11786" max="11786" width="28.7265625" style="294" bestFit="1" customWidth="1"/>
    <col min="11787" max="11788" width="9.1796875" style="294"/>
    <col min="11789" max="11789" width="13.26953125" style="294" customWidth="1"/>
    <col min="11790" max="12032" width="9.1796875" style="294"/>
    <col min="12033" max="12033" width="24.7265625" style="294" bestFit="1" customWidth="1"/>
    <col min="12034" max="12034" width="18.7265625" style="294" bestFit="1" customWidth="1"/>
    <col min="12035" max="12035" width="8.1796875" style="294" bestFit="1" customWidth="1"/>
    <col min="12036" max="12037" width="8.26953125" style="294" bestFit="1" customWidth="1"/>
    <col min="12038" max="12038" width="7.26953125" style="294" bestFit="1" customWidth="1"/>
    <col min="12039" max="12039" width="30.26953125" style="294" customWidth="1"/>
    <col min="12040" max="12040" width="17.1796875" style="294" bestFit="1" customWidth="1"/>
    <col min="12041" max="12041" width="23.26953125" style="294" customWidth="1"/>
    <col min="12042" max="12042" width="28.7265625" style="294" bestFit="1" customWidth="1"/>
    <col min="12043" max="12044" width="9.1796875" style="294"/>
    <col min="12045" max="12045" width="13.26953125" style="294" customWidth="1"/>
    <col min="12046" max="12288" width="9.1796875" style="294"/>
    <col min="12289" max="12289" width="24.7265625" style="294" bestFit="1" customWidth="1"/>
    <col min="12290" max="12290" width="18.7265625" style="294" bestFit="1" customWidth="1"/>
    <col min="12291" max="12291" width="8.1796875" style="294" bestFit="1" customWidth="1"/>
    <col min="12292" max="12293" width="8.26953125" style="294" bestFit="1" customWidth="1"/>
    <col min="12294" max="12294" width="7.26953125" style="294" bestFit="1" customWidth="1"/>
    <col min="12295" max="12295" width="30.26953125" style="294" customWidth="1"/>
    <col min="12296" max="12296" width="17.1796875" style="294" bestFit="1" customWidth="1"/>
    <col min="12297" max="12297" width="23.26953125" style="294" customWidth="1"/>
    <col min="12298" max="12298" width="28.7265625" style="294" bestFit="1" customWidth="1"/>
    <col min="12299" max="12300" width="9.1796875" style="294"/>
    <col min="12301" max="12301" width="13.26953125" style="294" customWidth="1"/>
    <col min="12302" max="12544" width="9.1796875" style="294"/>
    <col min="12545" max="12545" width="24.7265625" style="294" bestFit="1" customWidth="1"/>
    <col min="12546" max="12546" width="18.7265625" style="294" bestFit="1" customWidth="1"/>
    <col min="12547" max="12547" width="8.1796875" style="294" bestFit="1" customWidth="1"/>
    <col min="12548" max="12549" width="8.26953125" style="294" bestFit="1" customWidth="1"/>
    <col min="12550" max="12550" width="7.26953125" style="294" bestFit="1" customWidth="1"/>
    <col min="12551" max="12551" width="30.26953125" style="294" customWidth="1"/>
    <col min="12552" max="12552" width="17.1796875" style="294" bestFit="1" customWidth="1"/>
    <col min="12553" max="12553" width="23.26953125" style="294" customWidth="1"/>
    <col min="12554" max="12554" width="28.7265625" style="294" bestFit="1" customWidth="1"/>
    <col min="12555" max="12556" width="9.1796875" style="294"/>
    <col min="12557" max="12557" width="13.26953125" style="294" customWidth="1"/>
    <col min="12558" max="12800" width="9.1796875" style="294"/>
    <col min="12801" max="12801" width="24.7265625" style="294" bestFit="1" customWidth="1"/>
    <col min="12802" max="12802" width="18.7265625" style="294" bestFit="1" customWidth="1"/>
    <col min="12803" max="12803" width="8.1796875" style="294" bestFit="1" customWidth="1"/>
    <col min="12804" max="12805" width="8.26953125" style="294" bestFit="1" customWidth="1"/>
    <col min="12806" max="12806" width="7.26953125" style="294" bestFit="1" customWidth="1"/>
    <col min="12807" max="12807" width="30.26953125" style="294" customWidth="1"/>
    <col min="12808" max="12808" width="17.1796875" style="294" bestFit="1" customWidth="1"/>
    <col min="12809" max="12809" width="23.26953125" style="294" customWidth="1"/>
    <col min="12810" max="12810" width="28.7265625" style="294" bestFit="1" customWidth="1"/>
    <col min="12811" max="12812" width="9.1796875" style="294"/>
    <col min="12813" max="12813" width="13.26953125" style="294" customWidth="1"/>
    <col min="12814" max="13056" width="9.1796875" style="294"/>
    <col min="13057" max="13057" width="24.7265625" style="294" bestFit="1" customWidth="1"/>
    <col min="13058" max="13058" width="18.7265625" style="294" bestFit="1" customWidth="1"/>
    <col min="13059" max="13059" width="8.1796875" style="294" bestFit="1" customWidth="1"/>
    <col min="13060" max="13061" width="8.26953125" style="294" bestFit="1" customWidth="1"/>
    <col min="13062" max="13062" width="7.26953125" style="294" bestFit="1" customWidth="1"/>
    <col min="13063" max="13063" width="30.26953125" style="294" customWidth="1"/>
    <col min="13064" max="13064" width="17.1796875" style="294" bestFit="1" customWidth="1"/>
    <col min="13065" max="13065" width="23.26953125" style="294" customWidth="1"/>
    <col min="13066" max="13066" width="28.7265625" style="294" bestFit="1" customWidth="1"/>
    <col min="13067" max="13068" width="9.1796875" style="294"/>
    <col min="13069" max="13069" width="13.26953125" style="294" customWidth="1"/>
    <col min="13070" max="13312" width="9.1796875" style="294"/>
    <col min="13313" max="13313" width="24.7265625" style="294" bestFit="1" customWidth="1"/>
    <col min="13314" max="13314" width="18.7265625" style="294" bestFit="1" customWidth="1"/>
    <col min="13315" max="13315" width="8.1796875" style="294" bestFit="1" customWidth="1"/>
    <col min="13316" max="13317" width="8.26953125" style="294" bestFit="1" customWidth="1"/>
    <col min="13318" max="13318" width="7.26953125" style="294" bestFit="1" customWidth="1"/>
    <col min="13319" max="13319" width="30.26953125" style="294" customWidth="1"/>
    <col min="13320" max="13320" width="17.1796875" style="294" bestFit="1" customWidth="1"/>
    <col min="13321" max="13321" width="23.26953125" style="294" customWidth="1"/>
    <col min="13322" max="13322" width="28.7265625" style="294" bestFit="1" customWidth="1"/>
    <col min="13323" max="13324" width="9.1796875" style="294"/>
    <col min="13325" max="13325" width="13.26953125" style="294" customWidth="1"/>
    <col min="13326" max="13568" width="9.1796875" style="294"/>
    <col min="13569" max="13569" width="24.7265625" style="294" bestFit="1" customWidth="1"/>
    <col min="13570" max="13570" width="18.7265625" style="294" bestFit="1" customWidth="1"/>
    <col min="13571" max="13571" width="8.1796875" style="294" bestFit="1" customWidth="1"/>
    <col min="13572" max="13573" width="8.26953125" style="294" bestFit="1" customWidth="1"/>
    <col min="13574" max="13574" width="7.26953125" style="294" bestFit="1" customWidth="1"/>
    <col min="13575" max="13575" width="30.26953125" style="294" customWidth="1"/>
    <col min="13576" max="13576" width="17.1796875" style="294" bestFit="1" customWidth="1"/>
    <col min="13577" max="13577" width="23.26953125" style="294" customWidth="1"/>
    <col min="13578" max="13578" width="28.7265625" style="294" bestFit="1" customWidth="1"/>
    <col min="13579" max="13580" width="9.1796875" style="294"/>
    <col min="13581" max="13581" width="13.26953125" style="294" customWidth="1"/>
    <col min="13582" max="13824" width="9.1796875" style="294"/>
    <col min="13825" max="13825" width="24.7265625" style="294" bestFit="1" customWidth="1"/>
    <col min="13826" max="13826" width="18.7265625" style="294" bestFit="1" customWidth="1"/>
    <col min="13827" max="13827" width="8.1796875" style="294" bestFit="1" customWidth="1"/>
    <col min="13828" max="13829" width="8.26953125" style="294" bestFit="1" customWidth="1"/>
    <col min="13830" max="13830" width="7.26953125" style="294" bestFit="1" customWidth="1"/>
    <col min="13831" max="13831" width="30.26953125" style="294" customWidth="1"/>
    <col min="13832" max="13832" width="17.1796875" style="294" bestFit="1" customWidth="1"/>
    <col min="13833" max="13833" width="23.26953125" style="294" customWidth="1"/>
    <col min="13834" max="13834" width="28.7265625" style="294" bestFit="1" customWidth="1"/>
    <col min="13835" max="13836" width="9.1796875" style="294"/>
    <col min="13837" max="13837" width="13.26953125" style="294" customWidth="1"/>
    <col min="13838" max="14080" width="9.1796875" style="294"/>
    <col min="14081" max="14081" width="24.7265625" style="294" bestFit="1" customWidth="1"/>
    <col min="14082" max="14082" width="18.7265625" style="294" bestFit="1" customWidth="1"/>
    <col min="14083" max="14083" width="8.1796875" style="294" bestFit="1" customWidth="1"/>
    <col min="14084" max="14085" width="8.26953125" style="294" bestFit="1" customWidth="1"/>
    <col min="14086" max="14086" width="7.26953125" style="294" bestFit="1" customWidth="1"/>
    <col min="14087" max="14087" width="30.26953125" style="294" customWidth="1"/>
    <col min="14088" max="14088" width="17.1796875" style="294" bestFit="1" customWidth="1"/>
    <col min="14089" max="14089" width="23.26953125" style="294" customWidth="1"/>
    <col min="14090" max="14090" width="28.7265625" style="294" bestFit="1" customWidth="1"/>
    <col min="14091" max="14092" width="9.1796875" style="294"/>
    <col min="14093" max="14093" width="13.26953125" style="294" customWidth="1"/>
    <col min="14094" max="14336" width="9.1796875" style="294"/>
    <col min="14337" max="14337" width="24.7265625" style="294" bestFit="1" customWidth="1"/>
    <col min="14338" max="14338" width="18.7265625" style="294" bestFit="1" customWidth="1"/>
    <col min="14339" max="14339" width="8.1796875" style="294" bestFit="1" customWidth="1"/>
    <col min="14340" max="14341" width="8.26953125" style="294" bestFit="1" customWidth="1"/>
    <col min="14342" max="14342" width="7.26953125" style="294" bestFit="1" customWidth="1"/>
    <col min="14343" max="14343" width="30.26953125" style="294" customWidth="1"/>
    <col min="14344" max="14344" width="17.1796875" style="294" bestFit="1" customWidth="1"/>
    <col min="14345" max="14345" width="23.26953125" style="294" customWidth="1"/>
    <col min="14346" max="14346" width="28.7265625" style="294" bestFit="1" customWidth="1"/>
    <col min="14347" max="14348" width="9.1796875" style="294"/>
    <col min="14349" max="14349" width="13.26953125" style="294" customWidth="1"/>
    <col min="14350" max="14592" width="9.1796875" style="294"/>
    <col min="14593" max="14593" width="24.7265625" style="294" bestFit="1" customWidth="1"/>
    <col min="14594" max="14594" width="18.7265625" style="294" bestFit="1" customWidth="1"/>
    <col min="14595" max="14595" width="8.1796875" style="294" bestFit="1" customWidth="1"/>
    <col min="14596" max="14597" width="8.26953125" style="294" bestFit="1" customWidth="1"/>
    <col min="14598" max="14598" width="7.26953125" style="294" bestFit="1" customWidth="1"/>
    <col min="14599" max="14599" width="30.26953125" style="294" customWidth="1"/>
    <col min="14600" max="14600" width="17.1796875" style="294" bestFit="1" customWidth="1"/>
    <col min="14601" max="14601" width="23.26953125" style="294" customWidth="1"/>
    <col min="14602" max="14602" width="28.7265625" style="294" bestFit="1" customWidth="1"/>
    <col min="14603" max="14604" width="9.1796875" style="294"/>
    <col min="14605" max="14605" width="13.26953125" style="294" customWidth="1"/>
    <col min="14606" max="14848" width="9.1796875" style="294"/>
    <col min="14849" max="14849" width="24.7265625" style="294" bestFit="1" customWidth="1"/>
    <col min="14850" max="14850" width="18.7265625" style="294" bestFit="1" customWidth="1"/>
    <col min="14851" max="14851" width="8.1796875" style="294" bestFit="1" customWidth="1"/>
    <col min="14852" max="14853" width="8.26953125" style="294" bestFit="1" customWidth="1"/>
    <col min="14854" max="14854" width="7.26953125" style="294" bestFit="1" customWidth="1"/>
    <col min="14855" max="14855" width="30.26953125" style="294" customWidth="1"/>
    <col min="14856" max="14856" width="17.1796875" style="294" bestFit="1" customWidth="1"/>
    <col min="14857" max="14857" width="23.26953125" style="294" customWidth="1"/>
    <col min="14858" max="14858" width="28.7265625" style="294" bestFit="1" customWidth="1"/>
    <col min="14859" max="14860" width="9.1796875" style="294"/>
    <col min="14861" max="14861" width="13.26953125" style="294" customWidth="1"/>
    <col min="14862" max="15104" width="9.1796875" style="294"/>
    <col min="15105" max="15105" width="24.7265625" style="294" bestFit="1" customWidth="1"/>
    <col min="15106" max="15106" width="18.7265625" style="294" bestFit="1" customWidth="1"/>
    <col min="15107" max="15107" width="8.1796875" style="294" bestFit="1" customWidth="1"/>
    <col min="15108" max="15109" width="8.26953125" style="294" bestFit="1" customWidth="1"/>
    <col min="15110" max="15110" width="7.26953125" style="294" bestFit="1" customWidth="1"/>
    <col min="15111" max="15111" width="30.26953125" style="294" customWidth="1"/>
    <col min="15112" max="15112" width="17.1796875" style="294" bestFit="1" customWidth="1"/>
    <col min="15113" max="15113" width="23.26953125" style="294" customWidth="1"/>
    <col min="15114" max="15114" width="28.7265625" style="294" bestFit="1" customWidth="1"/>
    <col min="15115" max="15116" width="9.1796875" style="294"/>
    <col min="15117" max="15117" width="13.26953125" style="294" customWidth="1"/>
    <col min="15118" max="15360" width="9.1796875" style="294"/>
    <col min="15361" max="15361" width="24.7265625" style="294" bestFit="1" customWidth="1"/>
    <col min="15362" max="15362" width="18.7265625" style="294" bestFit="1" customWidth="1"/>
    <col min="15363" max="15363" width="8.1796875" style="294" bestFit="1" customWidth="1"/>
    <col min="15364" max="15365" width="8.26953125" style="294" bestFit="1" customWidth="1"/>
    <col min="15366" max="15366" width="7.26953125" style="294" bestFit="1" customWidth="1"/>
    <col min="15367" max="15367" width="30.26953125" style="294" customWidth="1"/>
    <col min="15368" max="15368" width="17.1796875" style="294" bestFit="1" customWidth="1"/>
    <col min="15369" max="15369" width="23.26953125" style="294" customWidth="1"/>
    <col min="15370" max="15370" width="28.7265625" style="294" bestFit="1" customWidth="1"/>
    <col min="15371" max="15372" width="9.1796875" style="294"/>
    <col min="15373" max="15373" width="13.26953125" style="294" customWidth="1"/>
    <col min="15374" max="15616" width="9.1796875" style="294"/>
    <col min="15617" max="15617" width="24.7265625" style="294" bestFit="1" customWidth="1"/>
    <col min="15618" max="15618" width="18.7265625" style="294" bestFit="1" customWidth="1"/>
    <col min="15619" max="15619" width="8.1796875" style="294" bestFit="1" customWidth="1"/>
    <col min="15620" max="15621" width="8.26953125" style="294" bestFit="1" customWidth="1"/>
    <col min="15622" max="15622" width="7.26953125" style="294" bestFit="1" customWidth="1"/>
    <col min="15623" max="15623" width="30.26953125" style="294" customWidth="1"/>
    <col min="15624" max="15624" width="17.1796875" style="294" bestFit="1" customWidth="1"/>
    <col min="15625" max="15625" width="23.26953125" style="294" customWidth="1"/>
    <col min="15626" max="15626" width="28.7265625" style="294" bestFit="1" customWidth="1"/>
    <col min="15627" max="15628" width="9.1796875" style="294"/>
    <col min="15629" max="15629" width="13.26953125" style="294" customWidth="1"/>
    <col min="15630" max="15872" width="9.1796875" style="294"/>
    <col min="15873" max="15873" width="24.7265625" style="294" bestFit="1" customWidth="1"/>
    <col min="15874" max="15874" width="18.7265625" style="294" bestFit="1" customWidth="1"/>
    <col min="15875" max="15875" width="8.1796875" style="294" bestFit="1" customWidth="1"/>
    <col min="15876" max="15877" width="8.26953125" style="294" bestFit="1" customWidth="1"/>
    <col min="15878" max="15878" width="7.26953125" style="294" bestFit="1" customWidth="1"/>
    <col min="15879" max="15879" width="30.26953125" style="294" customWidth="1"/>
    <col min="15880" max="15880" width="17.1796875" style="294" bestFit="1" customWidth="1"/>
    <col min="15881" max="15881" width="23.26953125" style="294" customWidth="1"/>
    <col min="15882" max="15882" width="28.7265625" style="294" bestFit="1" customWidth="1"/>
    <col min="15883" max="15884" width="9.1796875" style="294"/>
    <col min="15885" max="15885" width="13.26953125" style="294" customWidth="1"/>
    <col min="15886" max="16128" width="9.1796875" style="294"/>
    <col min="16129" max="16129" width="24.7265625" style="294" bestFit="1" customWidth="1"/>
    <col min="16130" max="16130" width="18.7265625" style="294" bestFit="1" customWidth="1"/>
    <col min="16131" max="16131" width="8.1796875" style="294" bestFit="1" customWidth="1"/>
    <col min="16132" max="16133" width="8.26953125" style="294" bestFit="1" customWidth="1"/>
    <col min="16134" max="16134" width="7.26953125" style="294" bestFit="1" customWidth="1"/>
    <col min="16135" max="16135" width="30.26953125" style="294" customWidth="1"/>
    <col min="16136" max="16136" width="17.1796875" style="294" bestFit="1" customWidth="1"/>
    <col min="16137" max="16137" width="23.26953125" style="294" customWidth="1"/>
    <col min="16138" max="16138" width="28.7265625" style="294" bestFit="1" customWidth="1"/>
    <col min="16139" max="16140" width="9.1796875" style="294"/>
    <col min="16141" max="16141" width="13.26953125" style="294" customWidth="1"/>
    <col min="16142" max="16384" width="9.1796875" style="294"/>
  </cols>
  <sheetData>
    <row r="1" spans="1:14" s="289" customFormat="1" ht="57.75" customHeight="1">
      <c r="A1" s="286" t="s">
        <v>0</v>
      </c>
      <c r="B1" s="287" t="s">
        <v>1</v>
      </c>
      <c r="C1" s="287" t="s">
        <v>2</v>
      </c>
      <c r="D1" s="287" t="s">
        <v>3</v>
      </c>
      <c r="E1" s="287" t="s">
        <v>4</v>
      </c>
      <c r="F1" s="287" t="s">
        <v>5</v>
      </c>
      <c r="G1" s="444" t="s">
        <v>6</v>
      </c>
      <c r="H1" s="287" t="s">
        <v>703</v>
      </c>
      <c r="I1" s="287" t="s">
        <v>704</v>
      </c>
      <c r="J1" s="287" t="s">
        <v>705</v>
      </c>
      <c r="K1" s="287" t="s">
        <v>10</v>
      </c>
      <c r="L1" s="287" t="s">
        <v>706</v>
      </c>
      <c r="M1" s="288" t="s">
        <v>12</v>
      </c>
    </row>
    <row r="2" spans="1:14" ht="10.5">
      <c r="A2" s="290" t="s">
        <v>1878</v>
      </c>
      <c r="B2" s="291" t="s">
        <v>14</v>
      </c>
      <c r="C2" s="291" t="s">
        <v>879</v>
      </c>
      <c r="D2" s="291">
        <v>1</v>
      </c>
      <c r="E2" s="291">
        <f>E8</f>
        <v>50</v>
      </c>
      <c r="F2" s="291">
        <f>SUM(F3:F8)</f>
        <v>50</v>
      </c>
      <c r="G2" s="445"/>
      <c r="H2" s="292"/>
      <c r="I2" s="292"/>
      <c r="J2" s="291"/>
      <c r="K2" s="291"/>
      <c r="L2" s="291"/>
      <c r="M2" s="423" t="s">
        <v>16</v>
      </c>
    </row>
    <row r="3" spans="1:14" ht="24" hidden="1" customHeight="1">
      <c r="A3" s="295" t="s">
        <v>17</v>
      </c>
      <c r="B3" s="296" t="s">
        <v>18</v>
      </c>
      <c r="C3" s="297">
        <v>1</v>
      </c>
      <c r="D3" s="297">
        <v>1</v>
      </c>
      <c r="E3" s="297">
        <f t="shared" ref="E3:E8" si="0">D3+F3-1</f>
        <v>1</v>
      </c>
      <c r="F3" s="297">
        <v>1</v>
      </c>
      <c r="G3" s="446" t="s">
        <v>19</v>
      </c>
      <c r="H3" s="307" t="s">
        <v>999</v>
      </c>
      <c r="I3" s="298"/>
      <c r="J3" s="297"/>
      <c r="K3" s="297"/>
      <c r="L3" s="297"/>
      <c r="M3" s="293" t="s">
        <v>16</v>
      </c>
    </row>
    <row r="4" spans="1:14" s="23" customFormat="1" hidden="1">
      <c r="A4" s="18" t="s">
        <v>710</v>
      </c>
      <c r="B4" s="18" t="s">
        <v>711</v>
      </c>
      <c r="C4" s="19">
        <v>2</v>
      </c>
      <c r="D4" s="19">
        <f>E3+1</f>
        <v>2</v>
      </c>
      <c r="E4" s="19">
        <f t="shared" si="0"/>
        <v>16</v>
      </c>
      <c r="F4" s="19">
        <v>15</v>
      </c>
      <c r="G4" s="18" t="s">
        <v>1000</v>
      </c>
      <c r="H4" s="20"/>
      <c r="I4" s="20"/>
      <c r="J4" s="18"/>
      <c r="K4" s="19"/>
      <c r="L4" s="19"/>
      <c r="M4" s="21"/>
      <c r="N4" s="22"/>
    </row>
    <row r="5" spans="1:14" s="23" customFormat="1" hidden="1">
      <c r="A5" s="18" t="s">
        <v>713</v>
      </c>
      <c r="B5" s="18" t="s">
        <v>714</v>
      </c>
      <c r="C5" s="19">
        <v>3</v>
      </c>
      <c r="D5" s="19">
        <f>E4+1</f>
        <v>17</v>
      </c>
      <c r="E5" s="19">
        <f t="shared" si="0"/>
        <v>26</v>
      </c>
      <c r="F5" s="19">
        <v>10</v>
      </c>
      <c r="G5" s="18" t="s">
        <v>715</v>
      </c>
      <c r="H5" s="20"/>
      <c r="I5" s="20"/>
      <c r="J5" s="18"/>
      <c r="K5" s="19"/>
      <c r="L5" s="19"/>
      <c r="M5" s="21"/>
      <c r="N5" s="22"/>
    </row>
    <row r="6" spans="1:14" s="23" customFormat="1" ht="10.5" hidden="1">
      <c r="A6" s="18" t="s">
        <v>1001</v>
      </c>
      <c r="B6" s="18" t="s">
        <v>1002</v>
      </c>
      <c r="C6" s="19">
        <v>4</v>
      </c>
      <c r="D6" s="19">
        <f>E5+1</f>
        <v>27</v>
      </c>
      <c r="E6" s="19">
        <f t="shared" si="0"/>
        <v>34</v>
      </c>
      <c r="F6" s="19">
        <v>8</v>
      </c>
      <c r="G6" s="18" t="s">
        <v>1003</v>
      </c>
      <c r="H6" s="24"/>
      <c r="I6" s="24"/>
      <c r="J6" s="18"/>
      <c r="K6" s="19"/>
      <c r="L6" s="19"/>
      <c r="M6" s="21"/>
      <c r="N6" s="22"/>
    </row>
    <row r="7" spans="1:14" ht="12.5" hidden="1">
      <c r="A7" s="12" t="s">
        <v>717</v>
      </c>
      <c r="B7" s="13" t="s">
        <v>1004</v>
      </c>
      <c r="C7" s="297">
        <v>5</v>
      </c>
      <c r="D7" s="19">
        <f>E6+1</f>
        <v>35</v>
      </c>
      <c r="E7" s="14">
        <f t="shared" si="0"/>
        <v>49</v>
      </c>
      <c r="F7" s="14">
        <v>15</v>
      </c>
      <c r="G7" s="447" t="s">
        <v>1935</v>
      </c>
      <c r="H7" s="307" t="s">
        <v>999</v>
      </c>
      <c r="I7" s="301"/>
      <c r="J7" s="297"/>
      <c r="K7" s="297"/>
      <c r="L7" s="297"/>
      <c r="M7" s="293" t="s">
        <v>16</v>
      </c>
    </row>
    <row r="8" spans="1:14" s="23" customFormat="1" hidden="1">
      <c r="A8" s="18" t="s">
        <v>719</v>
      </c>
      <c r="B8" s="18" t="s">
        <v>720</v>
      </c>
      <c r="C8" s="19">
        <v>6</v>
      </c>
      <c r="D8" s="19">
        <f>E7+1</f>
        <v>50</v>
      </c>
      <c r="E8" s="14">
        <f t="shared" si="0"/>
        <v>50</v>
      </c>
      <c r="F8" s="19">
        <v>1</v>
      </c>
      <c r="G8" s="18" t="s">
        <v>721</v>
      </c>
      <c r="H8" s="20"/>
      <c r="I8" s="20"/>
      <c r="J8" s="18"/>
      <c r="K8" s="19"/>
      <c r="L8" s="19"/>
      <c r="M8" s="21"/>
      <c r="N8" s="22"/>
    </row>
    <row r="9" spans="1:14" ht="10.5">
      <c r="A9" s="290" t="s">
        <v>1879</v>
      </c>
      <c r="B9" s="291" t="s">
        <v>14</v>
      </c>
      <c r="C9" s="302" t="s">
        <v>879</v>
      </c>
      <c r="D9" s="291">
        <v>1</v>
      </c>
      <c r="E9" s="291">
        <f>E27</f>
        <v>230</v>
      </c>
      <c r="F9" s="291">
        <f>SUM(F10:F27)</f>
        <v>230</v>
      </c>
      <c r="G9" s="448"/>
      <c r="H9" s="303"/>
      <c r="I9" s="303"/>
      <c r="J9" s="291"/>
      <c r="K9" s="291"/>
      <c r="L9" s="291"/>
      <c r="M9" s="423" t="s">
        <v>16</v>
      </c>
    </row>
    <row r="10" spans="1:14" ht="21">
      <c r="A10" s="304" t="s">
        <v>723</v>
      </c>
      <c r="B10" s="296" t="s">
        <v>18</v>
      </c>
      <c r="C10" s="297">
        <v>7</v>
      </c>
      <c r="D10" s="305">
        <v>1</v>
      </c>
      <c r="E10" s="297">
        <f t="shared" ref="E10:E24" si="1">D10+F10-1</f>
        <v>1</v>
      </c>
      <c r="F10" s="305">
        <v>1</v>
      </c>
      <c r="G10" s="446" t="s">
        <v>38</v>
      </c>
      <c r="H10" s="307" t="s">
        <v>999</v>
      </c>
      <c r="I10" s="298"/>
      <c r="J10" s="305"/>
      <c r="K10" s="310" t="s">
        <v>1880</v>
      </c>
      <c r="L10" s="305"/>
      <c r="M10" s="293" t="s">
        <v>16</v>
      </c>
    </row>
    <row r="11" spans="1:14" s="427" customFormat="1">
      <c r="A11" s="425" t="s">
        <v>1065</v>
      </c>
      <c r="B11" s="425" t="s">
        <v>1881</v>
      </c>
      <c r="C11" s="307">
        <v>8</v>
      </c>
      <c r="D11" s="307">
        <f>E10+1</f>
        <v>2</v>
      </c>
      <c r="E11" s="307">
        <f t="shared" si="1"/>
        <v>12</v>
      </c>
      <c r="F11" s="307">
        <v>11</v>
      </c>
      <c r="G11" s="449" t="s">
        <v>1882</v>
      </c>
      <c r="H11" s="307" t="s">
        <v>999</v>
      </c>
      <c r="I11" s="425" t="s">
        <v>1883</v>
      </c>
      <c r="J11" s="426" t="s">
        <v>1884</v>
      </c>
      <c r="K11" s="310" t="s">
        <v>1880</v>
      </c>
      <c r="L11" s="426"/>
      <c r="M11" s="293" t="s">
        <v>16</v>
      </c>
    </row>
    <row r="12" spans="1:14" s="427" customFormat="1">
      <c r="A12" s="450" t="s">
        <v>1885</v>
      </c>
      <c r="B12" s="425" t="s">
        <v>1886</v>
      </c>
      <c r="C12" s="307">
        <v>9</v>
      </c>
      <c r="D12" s="307">
        <f>E11+1</f>
        <v>13</v>
      </c>
      <c r="E12" s="307">
        <f t="shared" si="1"/>
        <v>20</v>
      </c>
      <c r="F12" s="307">
        <v>8</v>
      </c>
      <c r="G12" s="451" t="s">
        <v>1887</v>
      </c>
      <c r="H12" s="307" t="s">
        <v>999</v>
      </c>
      <c r="I12" s="425" t="s">
        <v>1883</v>
      </c>
      <c r="J12" s="426" t="s">
        <v>1888</v>
      </c>
      <c r="K12" s="310" t="s">
        <v>1880</v>
      </c>
      <c r="L12" s="452" t="s">
        <v>1889</v>
      </c>
      <c r="M12" s="293" t="s">
        <v>16</v>
      </c>
    </row>
    <row r="13" spans="1:14" s="427" customFormat="1">
      <c r="A13" s="450" t="s">
        <v>1890</v>
      </c>
      <c r="B13" s="425" t="s">
        <v>1891</v>
      </c>
      <c r="C13" s="297">
        <v>10</v>
      </c>
      <c r="D13" s="307">
        <f t="shared" ref="D13:D24" si="2">E12+1</f>
        <v>21</v>
      </c>
      <c r="E13" s="307">
        <f t="shared" si="1"/>
        <v>32</v>
      </c>
      <c r="F13" s="307">
        <v>12</v>
      </c>
      <c r="G13" s="453" t="s">
        <v>1892</v>
      </c>
      <c r="H13" s="307" t="s">
        <v>999</v>
      </c>
      <c r="I13" s="425" t="s">
        <v>1883</v>
      </c>
      <c r="J13" s="426" t="s">
        <v>1893</v>
      </c>
      <c r="K13" s="310" t="s">
        <v>1880</v>
      </c>
      <c r="L13" s="452" t="s">
        <v>1894</v>
      </c>
      <c r="M13" s="293" t="s">
        <v>16</v>
      </c>
    </row>
    <row r="14" spans="1:14" s="427" customFormat="1">
      <c r="A14" s="450" t="s">
        <v>1820</v>
      </c>
      <c r="B14" s="425" t="s">
        <v>1075</v>
      </c>
      <c r="C14" s="307">
        <v>11</v>
      </c>
      <c r="D14" s="307">
        <f t="shared" si="2"/>
        <v>33</v>
      </c>
      <c r="E14" s="307">
        <f t="shared" si="1"/>
        <v>40</v>
      </c>
      <c r="F14" s="307">
        <v>8</v>
      </c>
      <c r="G14" s="451" t="s">
        <v>1895</v>
      </c>
      <c r="H14" s="307" t="s">
        <v>999</v>
      </c>
      <c r="I14" s="425" t="s">
        <v>1883</v>
      </c>
      <c r="J14" s="426" t="s">
        <v>1822</v>
      </c>
      <c r="K14" s="310" t="s">
        <v>1880</v>
      </c>
      <c r="L14" s="452"/>
      <c r="M14" s="293" t="s">
        <v>16</v>
      </c>
    </row>
    <row r="15" spans="1:14" s="427" customFormat="1">
      <c r="A15" s="450" t="s">
        <v>1896</v>
      </c>
      <c r="B15" s="425" t="s">
        <v>1827</v>
      </c>
      <c r="C15" s="307">
        <v>12</v>
      </c>
      <c r="D15" s="307">
        <f t="shared" si="2"/>
        <v>41</v>
      </c>
      <c r="E15" s="307">
        <f t="shared" si="1"/>
        <v>44</v>
      </c>
      <c r="F15" s="307">
        <v>4</v>
      </c>
      <c r="G15" s="454" t="s">
        <v>1897</v>
      </c>
      <c r="H15" s="307" t="s">
        <v>999</v>
      </c>
      <c r="I15" s="425" t="s">
        <v>1883</v>
      </c>
      <c r="J15" s="426" t="s">
        <v>1898</v>
      </c>
      <c r="K15" s="310" t="s">
        <v>1880</v>
      </c>
      <c r="L15" s="452" t="s">
        <v>1899</v>
      </c>
      <c r="M15" s="293" t="s">
        <v>16</v>
      </c>
    </row>
    <row r="16" spans="1:14" s="427" customFormat="1">
      <c r="A16" s="450" t="s">
        <v>1900</v>
      </c>
      <c r="B16" s="425" t="s">
        <v>1901</v>
      </c>
      <c r="C16" s="297">
        <v>13</v>
      </c>
      <c r="D16" s="307">
        <f t="shared" si="2"/>
        <v>45</v>
      </c>
      <c r="E16" s="307">
        <f t="shared" si="1"/>
        <v>64</v>
      </c>
      <c r="F16" s="307">
        <v>20</v>
      </c>
      <c r="G16" s="451" t="s">
        <v>1902</v>
      </c>
      <c r="H16" s="307" t="s">
        <v>999</v>
      </c>
      <c r="I16" s="425" t="s">
        <v>1883</v>
      </c>
      <c r="J16" s="426" t="s">
        <v>1833</v>
      </c>
      <c r="K16" s="310" t="s">
        <v>1880</v>
      </c>
      <c r="L16" s="452" t="s">
        <v>1903</v>
      </c>
      <c r="M16" s="293" t="s">
        <v>16</v>
      </c>
    </row>
    <row r="17" spans="1:14" s="427" customFormat="1">
      <c r="A17" s="450" t="s">
        <v>1835</v>
      </c>
      <c r="B17" s="425" t="s">
        <v>1901</v>
      </c>
      <c r="C17" s="307">
        <v>14</v>
      </c>
      <c r="D17" s="307">
        <f t="shared" si="2"/>
        <v>65</v>
      </c>
      <c r="E17" s="307">
        <f t="shared" si="1"/>
        <v>84</v>
      </c>
      <c r="F17" s="307">
        <v>20</v>
      </c>
      <c r="G17" s="451" t="s">
        <v>1836</v>
      </c>
      <c r="H17" s="307" t="s">
        <v>999</v>
      </c>
      <c r="I17" s="425" t="s">
        <v>1883</v>
      </c>
      <c r="J17" s="426" t="s">
        <v>1904</v>
      </c>
      <c r="K17" s="310" t="s">
        <v>1880</v>
      </c>
      <c r="L17" s="452" t="s">
        <v>1905</v>
      </c>
      <c r="M17" s="293" t="s">
        <v>16</v>
      </c>
    </row>
    <row r="18" spans="1:14" s="427" customFormat="1">
      <c r="A18" s="455" t="s">
        <v>1843</v>
      </c>
      <c r="B18" s="425" t="s">
        <v>1906</v>
      </c>
      <c r="C18" s="307">
        <v>15</v>
      </c>
      <c r="D18" s="307">
        <f t="shared" si="2"/>
        <v>85</v>
      </c>
      <c r="E18" s="307">
        <f t="shared" si="1"/>
        <v>104</v>
      </c>
      <c r="F18" s="307">
        <v>20</v>
      </c>
      <c r="G18" s="451" t="s">
        <v>1907</v>
      </c>
      <c r="H18" s="307" t="s">
        <v>999</v>
      </c>
      <c r="I18" s="425" t="s">
        <v>1883</v>
      </c>
      <c r="J18" s="426" t="s">
        <v>1908</v>
      </c>
      <c r="K18" s="310" t="s">
        <v>1880</v>
      </c>
      <c r="L18" s="452" t="s">
        <v>1909</v>
      </c>
      <c r="M18" s="293" t="s">
        <v>16</v>
      </c>
    </row>
    <row r="19" spans="1:14" s="427" customFormat="1">
      <c r="A19" s="455" t="s">
        <v>1848</v>
      </c>
      <c r="B19" s="425" t="s">
        <v>1901</v>
      </c>
      <c r="C19" s="297">
        <v>16</v>
      </c>
      <c r="D19" s="307">
        <f t="shared" si="2"/>
        <v>105</v>
      </c>
      <c r="E19" s="307">
        <f t="shared" si="1"/>
        <v>124</v>
      </c>
      <c r="F19" s="307">
        <v>20</v>
      </c>
      <c r="G19" s="451" t="s">
        <v>1910</v>
      </c>
      <c r="H19" s="307" t="s">
        <v>999</v>
      </c>
      <c r="I19" s="425" t="s">
        <v>1883</v>
      </c>
      <c r="J19" s="426" t="s">
        <v>1911</v>
      </c>
      <c r="K19" s="310" t="s">
        <v>1880</v>
      </c>
      <c r="L19" s="452" t="s">
        <v>1912</v>
      </c>
      <c r="M19" s="293" t="s">
        <v>16</v>
      </c>
    </row>
    <row r="20" spans="1:14" s="427" customFormat="1">
      <c r="A20" s="456" t="s">
        <v>1852</v>
      </c>
      <c r="B20" s="425" t="s">
        <v>1901</v>
      </c>
      <c r="C20" s="307">
        <v>17</v>
      </c>
      <c r="D20" s="307">
        <f t="shared" si="2"/>
        <v>125</v>
      </c>
      <c r="E20" s="307">
        <f t="shared" si="1"/>
        <v>144</v>
      </c>
      <c r="F20" s="307">
        <v>20</v>
      </c>
      <c r="G20" s="451" t="s">
        <v>1913</v>
      </c>
      <c r="H20" s="307" t="s">
        <v>999</v>
      </c>
      <c r="I20" s="425" t="s">
        <v>1883</v>
      </c>
      <c r="J20" s="426" t="s">
        <v>1914</v>
      </c>
      <c r="K20" s="310" t="s">
        <v>1880</v>
      </c>
      <c r="L20" s="452" t="s">
        <v>1915</v>
      </c>
      <c r="M20" s="293" t="s">
        <v>16</v>
      </c>
    </row>
    <row r="21" spans="1:14" s="427" customFormat="1">
      <c r="A21" s="455" t="s">
        <v>1860</v>
      </c>
      <c r="B21" s="425" t="s">
        <v>1901</v>
      </c>
      <c r="C21" s="307">
        <v>18</v>
      </c>
      <c r="D21" s="307">
        <f t="shared" si="2"/>
        <v>145</v>
      </c>
      <c r="E21" s="307">
        <f t="shared" si="1"/>
        <v>164</v>
      </c>
      <c r="F21" s="307">
        <v>20</v>
      </c>
      <c r="G21" s="451" t="s">
        <v>1916</v>
      </c>
      <c r="H21" s="307" t="s">
        <v>999</v>
      </c>
      <c r="I21" s="425" t="s">
        <v>1883</v>
      </c>
      <c r="J21" s="426" t="s">
        <v>1917</v>
      </c>
      <c r="K21" s="310" t="s">
        <v>1880</v>
      </c>
      <c r="L21" s="452" t="s">
        <v>1918</v>
      </c>
      <c r="M21" s="293" t="s">
        <v>16</v>
      </c>
    </row>
    <row r="22" spans="1:14" s="427" customFormat="1">
      <c r="A22" s="450" t="s">
        <v>1919</v>
      </c>
      <c r="B22" s="425" t="s">
        <v>714</v>
      </c>
      <c r="C22" s="297">
        <v>19</v>
      </c>
      <c r="D22" s="307">
        <f t="shared" si="2"/>
        <v>165</v>
      </c>
      <c r="E22" s="307">
        <f t="shared" si="1"/>
        <v>174</v>
      </c>
      <c r="F22" s="307">
        <v>10</v>
      </c>
      <c r="G22" s="457" t="s">
        <v>1920</v>
      </c>
      <c r="H22" s="307" t="s">
        <v>999</v>
      </c>
      <c r="I22" s="425" t="s">
        <v>1883</v>
      </c>
      <c r="J22" s="426" t="s">
        <v>1921</v>
      </c>
      <c r="K22" s="310" t="s">
        <v>1880</v>
      </c>
      <c r="L22" s="452" t="s">
        <v>1922</v>
      </c>
      <c r="M22" s="293" t="s">
        <v>16</v>
      </c>
    </row>
    <row r="23" spans="1:14" s="427" customFormat="1">
      <c r="A23" s="455" t="s">
        <v>1923</v>
      </c>
      <c r="B23" s="425" t="s">
        <v>1901</v>
      </c>
      <c r="C23" s="307">
        <v>20</v>
      </c>
      <c r="D23" s="307">
        <f t="shared" si="2"/>
        <v>175</v>
      </c>
      <c r="E23" s="307">
        <f t="shared" si="1"/>
        <v>194</v>
      </c>
      <c r="F23" s="307">
        <v>20</v>
      </c>
      <c r="G23" s="449" t="s">
        <v>1924</v>
      </c>
      <c r="H23" s="307" t="s">
        <v>999</v>
      </c>
      <c r="I23" s="425" t="s">
        <v>1883</v>
      </c>
      <c r="J23" s="426" t="s">
        <v>1925</v>
      </c>
      <c r="K23" s="310" t="s">
        <v>1880</v>
      </c>
      <c r="L23" s="452" t="s">
        <v>1926</v>
      </c>
      <c r="M23" s="293" t="s">
        <v>16</v>
      </c>
    </row>
    <row r="24" spans="1:14" s="427" customFormat="1">
      <c r="A24" s="455" t="s">
        <v>1927</v>
      </c>
      <c r="B24" s="425" t="s">
        <v>1901</v>
      </c>
      <c r="C24" s="307">
        <v>21</v>
      </c>
      <c r="D24" s="307">
        <f t="shared" si="2"/>
        <v>195</v>
      </c>
      <c r="E24" s="307">
        <f t="shared" si="1"/>
        <v>214</v>
      </c>
      <c r="F24" s="307">
        <v>20</v>
      </c>
      <c r="G24" s="449" t="s">
        <v>1928</v>
      </c>
      <c r="H24" s="307" t="s">
        <v>999</v>
      </c>
      <c r="I24" s="425" t="s">
        <v>1883</v>
      </c>
      <c r="J24" s="426" t="s">
        <v>1929</v>
      </c>
      <c r="K24" s="310" t="s">
        <v>1880</v>
      </c>
      <c r="L24" s="452" t="s">
        <v>1930</v>
      </c>
      <c r="M24" s="293" t="s">
        <v>16</v>
      </c>
    </row>
    <row r="25" spans="1:14" s="427" customFormat="1">
      <c r="A25" s="455" t="s">
        <v>1931</v>
      </c>
      <c r="B25" s="425" t="s">
        <v>714</v>
      </c>
      <c r="C25" s="307">
        <v>22</v>
      </c>
      <c r="D25" s="307">
        <f>E24+1</f>
        <v>215</v>
      </c>
      <c r="E25" s="307">
        <f>D25+F25-1</f>
        <v>224</v>
      </c>
      <c r="F25" s="307">
        <v>10</v>
      </c>
      <c r="G25" s="449" t="s">
        <v>1932</v>
      </c>
      <c r="H25" s="307" t="s">
        <v>999</v>
      </c>
      <c r="I25" s="425" t="s">
        <v>1883</v>
      </c>
      <c r="J25" s="426" t="s">
        <v>1933</v>
      </c>
      <c r="K25" s="310" t="s">
        <v>1880</v>
      </c>
      <c r="L25" s="452"/>
      <c r="M25" s="293" t="s">
        <v>16</v>
      </c>
    </row>
    <row r="26" spans="1:14" s="11" customFormat="1">
      <c r="A26" s="33" t="s">
        <v>1868</v>
      </c>
      <c r="B26" s="32" t="s">
        <v>200</v>
      </c>
      <c r="C26" s="14">
        <v>23</v>
      </c>
      <c r="D26" s="14">
        <f>E25+1</f>
        <v>225</v>
      </c>
      <c r="E26" s="14">
        <f>D26+F26-1</f>
        <v>229</v>
      </c>
      <c r="F26" s="14">
        <v>5</v>
      </c>
      <c r="G26" s="34" t="s">
        <v>1870</v>
      </c>
      <c r="H26" s="16" t="s">
        <v>20</v>
      </c>
      <c r="I26" s="425" t="s">
        <v>1883</v>
      </c>
      <c r="J26" s="39" t="s">
        <v>202</v>
      </c>
      <c r="K26" s="310" t="s">
        <v>1880</v>
      </c>
      <c r="L26" s="36"/>
      <c r="M26" s="40" t="s">
        <v>16</v>
      </c>
    </row>
    <row r="27" spans="1:14" s="23" customFormat="1">
      <c r="A27" s="18" t="s">
        <v>719</v>
      </c>
      <c r="B27" s="18" t="s">
        <v>720</v>
      </c>
      <c r="C27" s="297">
        <v>24</v>
      </c>
      <c r="D27" s="307">
        <f>E26+1</f>
        <v>230</v>
      </c>
      <c r="E27" s="307">
        <f>D27+F27-1</f>
        <v>230</v>
      </c>
      <c r="F27" s="307">
        <v>1</v>
      </c>
      <c r="G27" s="18" t="s">
        <v>721</v>
      </c>
      <c r="H27" s="20"/>
      <c r="I27" s="20"/>
      <c r="J27" s="18"/>
      <c r="K27" s="19"/>
      <c r="L27" s="19"/>
      <c r="M27" s="21"/>
      <c r="N27" s="22"/>
    </row>
    <row r="28" spans="1:14" ht="10.5">
      <c r="A28" s="290" t="s">
        <v>1934</v>
      </c>
      <c r="B28" s="291" t="s">
        <v>14</v>
      </c>
      <c r="C28" s="302" t="s">
        <v>879</v>
      </c>
      <c r="D28" s="291">
        <v>1</v>
      </c>
      <c r="E28" s="291">
        <f>E31</f>
        <v>11</v>
      </c>
      <c r="F28" s="291">
        <f>SUM(F29:F31)</f>
        <v>11</v>
      </c>
      <c r="G28" s="448"/>
      <c r="H28" s="303"/>
      <c r="I28" s="303"/>
      <c r="J28" s="291"/>
      <c r="K28" s="316" t="s">
        <v>204</v>
      </c>
      <c r="L28" s="316"/>
      <c r="M28" s="316"/>
    </row>
    <row r="29" spans="1:14" ht="21">
      <c r="A29" s="304" t="s">
        <v>723</v>
      </c>
      <c r="B29" s="296" t="s">
        <v>18</v>
      </c>
      <c r="C29" s="307">
        <v>25</v>
      </c>
      <c r="D29" s="297">
        <v>1</v>
      </c>
      <c r="E29" s="297">
        <v>1</v>
      </c>
      <c r="F29" s="297">
        <v>1</v>
      </c>
      <c r="G29" s="446" t="s">
        <v>205</v>
      </c>
      <c r="H29" s="307" t="s">
        <v>999</v>
      </c>
      <c r="I29" s="298"/>
      <c r="J29" s="297"/>
      <c r="K29" s="297"/>
      <c r="L29" s="297"/>
      <c r="M29" s="293"/>
    </row>
    <row r="30" spans="1:14" ht="12.5">
      <c r="A30" s="317" t="s">
        <v>206</v>
      </c>
      <c r="B30" s="296" t="s">
        <v>207</v>
      </c>
      <c r="C30" s="307">
        <v>26</v>
      </c>
      <c r="D30" s="297">
        <v>2</v>
      </c>
      <c r="E30" s="297">
        <f>D30+F30-1</f>
        <v>10</v>
      </c>
      <c r="F30" s="297">
        <v>9</v>
      </c>
      <c r="G30" s="446" t="s">
        <v>1098</v>
      </c>
      <c r="H30" s="307" t="s">
        <v>999</v>
      </c>
      <c r="I30" s="298"/>
      <c r="J30" s="297"/>
      <c r="K30" s="297"/>
      <c r="L30" s="297"/>
      <c r="M30" s="293"/>
    </row>
    <row r="31" spans="1:14" s="23" customFormat="1">
      <c r="A31" s="18" t="s">
        <v>719</v>
      </c>
      <c r="B31" s="18" t="s">
        <v>720</v>
      </c>
      <c r="C31" s="19">
        <v>27</v>
      </c>
      <c r="D31" s="19">
        <f>E30+1</f>
        <v>11</v>
      </c>
      <c r="E31" s="14">
        <f>D31+F31-1</f>
        <v>11</v>
      </c>
      <c r="F31" s="19">
        <v>1</v>
      </c>
      <c r="G31" s="18" t="s">
        <v>721</v>
      </c>
      <c r="H31" s="20"/>
      <c r="I31" s="20"/>
      <c r="J31" s="18"/>
      <c r="K31" s="19"/>
      <c r="L31" s="19"/>
      <c r="M31" s="21"/>
      <c r="N31" s="22"/>
    </row>
    <row r="32" spans="1:14">
      <c r="M32" s="321"/>
    </row>
    <row r="33" spans="1:13">
      <c r="M33" s="321"/>
    </row>
    <row r="34" spans="1:13" s="289" customFormat="1" ht="57.75" hidden="1" customHeight="1">
      <c r="A34" s="286" t="s">
        <v>0</v>
      </c>
      <c r="B34" s="287" t="s">
        <v>1</v>
      </c>
      <c r="C34" s="287" t="s">
        <v>2</v>
      </c>
      <c r="D34" s="287" t="s">
        <v>3</v>
      </c>
      <c r="E34" s="287" t="s">
        <v>4</v>
      </c>
      <c r="F34" s="287" t="s">
        <v>5</v>
      </c>
      <c r="G34" s="444" t="s">
        <v>6</v>
      </c>
      <c r="H34" s="287" t="s">
        <v>703</v>
      </c>
      <c r="I34" s="287" t="s">
        <v>704</v>
      </c>
      <c r="J34" s="287" t="s">
        <v>705</v>
      </c>
      <c r="K34" s="287" t="s">
        <v>10</v>
      </c>
      <c r="L34" s="287" t="s">
        <v>706</v>
      </c>
      <c r="M34" s="288" t="s">
        <v>12</v>
      </c>
    </row>
    <row r="35" spans="1:13" ht="11.5" hidden="1">
      <c r="A35" s="322" t="s">
        <v>1099</v>
      </c>
      <c r="B35" s="297"/>
      <c r="C35" s="297"/>
      <c r="D35" s="297">
        <v>1</v>
      </c>
      <c r="E35" s="297">
        <v>20</v>
      </c>
      <c r="F35" s="297">
        <v>20</v>
      </c>
      <c r="G35" s="446" t="s">
        <v>210</v>
      </c>
      <c r="H35" s="298"/>
      <c r="I35" s="298"/>
      <c r="J35" s="297"/>
      <c r="K35" s="297"/>
      <c r="L35" s="297"/>
      <c r="M35" s="293" t="s">
        <v>16</v>
      </c>
    </row>
    <row r="36" spans="1:13" ht="10.5" hidden="1">
      <c r="A36" s="290" t="s">
        <v>1100</v>
      </c>
      <c r="B36" s="291" t="s">
        <v>14</v>
      </c>
      <c r="C36" s="291">
        <v>1</v>
      </c>
      <c r="D36" s="291">
        <v>1</v>
      </c>
      <c r="E36" s="291">
        <v>20</v>
      </c>
      <c r="F36" s="291">
        <v>20</v>
      </c>
      <c r="G36" s="445"/>
      <c r="H36" s="292"/>
      <c r="I36" s="292"/>
      <c r="J36" s="291"/>
      <c r="K36" s="291"/>
      <c r="L36" s="291"/>
      <c r="M36" s="293" t="s">
        <v>16</v>
      </c>
    </row>
    <row r="37" spans="1:13" ht="21" hidden="1">
      <c r="A37" s="295" t="s">
        <v>17</v>
      </c>
      <c r="B37" s="296" t="s">
        <v>18</v>
      </c>
      <c r="C37" s="297">
        <v>2</v>
      </c>
      <c r="D37" s="297">
        <v>1</v>
      </c>
      <c r="E37" s="297">
        <f>D37+F37-1</f>
        <v>1</v>
      </c>
      <c r="F37" s="297">
        <v>1</v>
      </c>
      <c r="G37" s="446" t="s">
        <v>19</v>
      </c>
      <c r="H37" s="298"/>
      <c r="I37" s="298"/>
      <c r="J37" s="297"/>
      <c r="K37" s="297"/>
      <c r="L37" s="297"/>
      <c r="M37" s="293" t="s">
        <v>16</v>
      </c>
    </row>
    <row r="38" spans="1:13" ht="12.5" hidden="1">
      <c r="A38" s="295" t="s">
        <v>212</v>
      </c>
      <c r="B38" s="296" t="s">
        <v>213</v>
      </c>
      <c r="C38" s="297">
        <v>3</v>
      </c>
      <c r="D38" s="297">
        <f>E37+1</f>
        <v>2</v>
      </c>
      <c r="E38" s="297">
        <f>D38+F38-1</f>
        <v>9</v>
      </c>
      <c r="F38" s="297">
        <v>8</v>
      </c>
      <c r="G38" s="447" t="s">
        <v>1101</v>
      </c>
      <c r="H38" s="301"/>
      <c r="I38" s="301"/>
      <c r="J38" s="297"/>
      <c r="K38" s="297"/>
      <c r="L38" s="297"/>
      <c r="M38" s="293" t="s">
        <v>16</v>
      </c>
    </row>
    <row r="39" spans="1:13" ht="12.5" hidden="1">
      <c r="A39" s="295" t="s">
        <v>215</v>
      </c>
      <c r="B39" s="296" t="s">
        <v>216</v>
      </c>
      <c r="C39" s="297">
        <v>4</v>
      </c>
      <c r="D39" s="297">
        <f>E38+1</f>
        <v>10</v>
      </c>
      <c r="E39" s="297">
        <f>D39+F39-1</f>
        <v>17</v>
      </c>
      <c r="F39" s="297">
        <v>8</v>
      </c>
      <c r="G39" s="447" t="s">
        <v>1003</v>
      </c>
      <c r="H39" s="301"/>
      <c r="I39" s="301"/>
      <c r="J39" s="297"/>
      <c r="K39" s="297"/>
      <c r="L39" s="297"/>
      <c r="M39" s="293" t="s">
        <v>16</v>
      </c>
    </row>
    <row r="40" spans="1:13" hidden="1">
      <c r="A40" s="317" t="s">
        <v>217</v>
      </c>
      <c r="B40" s="314" t="s">
        <v>218</v>
      </c>
      <c r="C40" s="297">
        <v>5</v>
      </c>
      <c r="D40" s="297">
        <f>E39+1</f>
        <v>18</v>
      </c>
      <c r="E40" s="297">
        <f>D40+F40-1</f>
        <v>20</v>
      </c>
      <c r="F40" s="297">
        <v>3</v>
      </c>
      <c r="G40" s="446" t="s">
        <v>219</v>
      </c>
      <c r="H40" s="298"/>
      <c r="I40" s="298"/>
      <c r="J40" s="297"/>
      <c r="K40" s="297"/>
      <c r="L40" s="297"/>
      <c r="M40" s="293" t="s">
        <v>16</v>
      </c>
    </row>
    <row r="41" spans="1:13" ht="10.5" hidden="1">
      <c r="A41" s="290" t="s">
        <v>1102</v>
      </c>
      <c r="B41" s="291" t="s">
        <v>14</v>
      </c>
      <c r="C41" s="302">
        <v>6</v>
      </c>
      <c r="D41" s="291">
        <v>1</v>
      </c>
      <c r="E41" s="291">
        <v>20</v>
      </c>
      <c r="F41" s="291">
        <v>20</v>
      </c>
      <c r="G41" s="448"/>
      <c r="H41" s="303"/>
      <c r="I41" s="303"/>
      <c r="J41" s="291"/>
      <c r="K41" s="291"/>
      <c r="L41" s="291"/>
      <c r="M41" s="293" t="s">
        <v>16</v>
      </c>
    </row>
    <row r="42" spans="1:13" ht="21" hidden="1">
      <c r="A42" s="304" t="s">
        <v>723</v>
      </c>
      <c r="B42" s="296" t="s">
        <v>18</v>
      </c>
      <c r="C42" s="297">
        <v>7</v>
      </c>
      <c r="D42" s="305">
        <v>1</v>
      </c>
      <c r="E42" s="297">
        <f>D42+F42-1</f>
        <v>1</v>
      </c>
      <c r="F42" s="305">
        <v>1</v>
      </c>
      <c r="G42" s="446" t="s">
        <v>38</v>
      </c>
      <c r="H42" s="298"/>
      <c r="I42" s="298"/>
      <c r="J42" s="305"/>
      <c r="K42" s="305"/>
      <c r="L42" s="305"/>
      <c r="M42" s="293" t="s">
        <v>16</v>
      </c>
    </row>
    <row r="43" spans="1:13" ht="24" hidden="1" customHeight="1">
      <c r="A43" s="312" t="s">
        <v>1103</v>
      </c>
      <c r="B43" s="296" t="s">
        <v>1104</v>
      </c>
      <c r="C43" s="297">
        <v>8</v>
      </c>
      <c r="D43" s="297">
        <f>E42+1</f>
        <v>2</v>
      </c>
      <c r="E43" s="297">
        <f>D43+F43-1</f>
        <v>5</v>
      </c>
      <c r="F43" s="297">
        <v>4</v>
      </c>
      <c r="G43" s="323" t="s">
        <v>1105</v>
      </c>
      <c r="H43" s="298" t="s">
        <v>20</v>
      </c>
      <c r="I43" s="298" t="s">
        <v>224</v>
      </c>
      <c r="J43" s="324" t="s">
        <v>1106</v>
      </c>
      <c r="K43" s="314" t="s">
        <v>1107</v>
      </c>
      <c r="L43" s="325">
        <v>611</v>
      </c>
      <c r="M43" s="293" t="s">
        <v>16</v>
      </c>
    </row>
    <row r="44" spans="1:13" ht="24" hidden="1" customHeight="1">
      <c r="A44" s="312" t="s">
        <v>226</v>
      </c>
      <c r="B44" s="296" t="s">
        <v>1108</v>
      </c>
      <c r="C44" s="297">
        <v>8</v>
      </c>
      <c r="D44" s="297">
        <f>E43+1</f>
        <v>6</v>
      </c>
      <c r="E44" s="297">
        <f>D44+F44-1</f>
        <v>17</v>
      </c>
      <c r="F44" s="297">
        <v>12</v>
      </c>
      <c r="G44" s="323" t="s">
        <v>1109</v>
      </c>
      <c r="H44" s="298" t="s">
        <v>20</v>
      </c>
      <c r="I44" s="298" t="s">
        <v>224</v>
      </c>
      <c r="J44" s="324" t="s">
        <v>1110</v>
      </c>
      <c r="K44" s="314" t="s">
        <v>1107</v>
      </c>
      <c r="L44" s="325">
        <v>611</v>
      </c>
      <c r="M44" s="293" t="s">
        <v>16</v>
      </c>
    </row>
    <row r="45" spans="1:13" ht="12.5" hidden="1">
      <c r="A45" s="295" t="s">
        <v>229</v>
      </c>
      <c r="B45" s="296" t="s">
        <v>1111</v>
      </c>
      <c r="C45" s="297">
        <v>9</v>
      </c>
      <c r="D45" s="297">
        <f>E44+1</f>
        <v>18</v>
      </c>
      <c r="E45" s="297">
        <f>D45+F45-1</f>
        <v>20</v>
      </c>
      <c r="F45" s="297">
        <v>3</v>
      </c>
      <c r="G45" s="323" t="s">
        <v>1112</v>
      </c>
      <c r="H45" s="298" t="s">
        <v>20</v>
      </c>
      <c r="I45" s="298" t="s">
        <v>224</v>
      </c>
      <c r="J45" s="324" t="s">
        <v>1113</v>
      </c>
      <c r="K45" s="314" t="s">
        <v>1107</v>
      </c>
      <c r="L45" s="325"/>
      <c r="M45" s="293" t="s">
        <v>16</v>
      </c>
    </row>
    <row r="46" spans="1:13" ht="31.5" hidden="1">
      <c r="A46" s="290" t="s">
        <v>1114</v>
      </c>
      <c r="B46" s="291" t="s">
        <v>14</v>
      </c>
      <c r="C46" s="302">
        <v>35</v>
      </c>
      <c r="D46" s="291">
        <v>1</v>
      </c>
      <c r="E46" s="291">
        <v>20</v>
      </c>
      <c r="F46" s="291">
        <v>20</v>
      </c>
      <c r="G46" s="448"/>
      <c r="H46" s="303"/>
      <c r="I46" s="303"/>
      <c r="J46" s="291"/>
      <c r="K46" s="316" t="s">
        <v>204</v>
      </c>
      <c r="L46" s="316"/>
      <c r="M46" s="316"/>
    </row>
    <row r="47" spans="1:13" ht="21" hidden="1">
      <c r="A47" s="304" t="s">
        <v>723</v>
      </c>
      <c r="B47" s="296" t="s">
        <v>18</v>
      </c>
      <c r="C47" s="297">
        <v>36</v>
      </c>
      <c r="D47" s="297">
        <v>1</v>
      </c>
      <c r="E47" s="297">
        <v>1</v>
      </c>
      <c r="F47" s="297">
        <v>1</v>
      </c>
      <c r="G47" s="446" t="s">
        <v>205</v>
      </c>
      <c r="H47" s="298"/>
      <c r="I47" s="298"/>
      <c r="J47" s="297"/>
      <c r="K47" s="297"/>
      <c r="L47" s="297"/>
      <c r="M47" s="293"/>
    </row>
    <row r="48" spans="1:13" ht="12.5" hidden="1">
      <c r="A48" s="317" t="s">
        <v>206</v>
      </c>
      <c r="B48" s="296" t="s">
        <v>207</v>
      </c>
      <c r="C48" s="297">
        <v>37</v>
      </c>
      <c r="D48" s="297">
        <v>2</v>
      </c>
      <c r="E48" s="297">
        <f>D48+F48-1</f>
        <v>10</v>
      </c>
      <c r="F48" s="297">
        <v>9</v>
      </c>
      <c r="G48" s="446" t="s">
        <v>233</v>
      </c>
      <c r="H48" s="298"/>
      <c r="I48" s="298"/>
      <c r="J48" s="297"/>
      <c r="K48" s="297"/>
      <c r="L48" s="297"/>
      <c r="M48" s="293"/>
    </row>
    <row r="49" spans="1:13" ht="13" hidden="1" thickBot="1">
      <c r="A49" s="326" t="s">
        <v>217</v>
      </c>
      <c r="B49" s="327" t="s">
        <v>714</v>
      </c>
      <c r="C49" s="328">
        <v>38</v>
      </c>
      <c r="D49" s="328">
        <v>11</v>
      </c>
      <c r="E49" s="328">
        <f>D49+F49-1</f>
        <v>20</v>
      </c>
      <c r="F49" s="328">
        <v>10</v>
      </c>
      <c r="G49" s="459" t="s">
        <v>219</v>
      </c>
      <c r="H49" s="329"/>
      <c r="I49" s="329"/>
      <c r="J49" s="328"/>
      <c r="K49" s="328"/>
      <c r="L49" s="328"/>
      <c r="M49" s="293"/>
    </row>
    <row r="50" spans="1:13" hidden="1">
      <c r="M50" s="321"/>
    </row>
    <row r="51" spans="1:13" s="289" customFormat="1" ht="57.75" hidden="1" customHeight="1">
      <c r="A51" s="286" t="s">
        <v>0</v>
      </c>
      <c r="B51" s="287" t="s">
        <v>1</v>
      </c>
      <c r="C51" s="287" t="s">
        <v>2</v>
      </c>
      <c r="D51" s="287" t="s">
        <v>3</v>
      </c>
      <c r="E51" s="287" t="s">
        <v>4</v>
      </c>
      <c r="F51" s="287" t="s">
        <v>5</v>
      </c>
      <c r="G51" s="444" t="s">
        <v>6</v>
      </c>
      <c r="H51" s="287" t="s">
        <v>703</v>
      </c>
      <c r="I51" s="287" t="s">
        <v>704</v>
      </c>
      <c r="J51" s="287" t="s">
        <v>705</v>
      </c>
      <c r="K51" s="287" t="s">
        <v>10</v>
      </c>
      <c r="L51" s="287" t="s">
        <v>706</v>
      </c>
      <c r="M51" s="288" t="s">
        <v>12</v>
      </c>
    </row>
    <row r="52" spans="1:13" ht="11.5" hidden="1">
      <c r="A52" s="322" t="s">
        <v>1115</v>
      </c>
      <c r="B52" s="297"/>
      <c r="C52" s="297"/>
      <c r="D52" s="297">
        <v>1</v>
      </c>
      <c r="E52" s="297">
        <v>103</v>
      </c>
      <c r="F52" s="297">
        <v>103</v>
      </c>
      <c r="G52" s="446" t="s">
        <v>210</v>
      </c>
      <c r="H52" s="298"/>
      <c r="I52" s="298"/>
      <c r="J52" s="297"/>
      <c r="K52" s="297"/>
      <c r="L52" s="297"/>
      <c r="M52" s="293" t="s">
        <v>16</v>
      </c>
    </row>
    <row r="53" spans="1:13" ht="10.5" hidden="1">
      <c r="A53" s="290" t="s">
        <v>1116</v>
      </c>
      <c r="B53" s="291" t="s">
        <v>14</v>
      </c>
      <c r="C53" s="291">
        <v>1</v>
      </c>
      <c r="D53" s="291">
        <v>1</v>
      </c>
      <c r="E53" s="291">
        <v>103</v>
      </c>
      <c r="F53" s="291">
        <v>103</v>
      </c>
      <c r="G53" s="445"/>
      <c r="H53" s="292"/>
      <c r="I53" s="292"/>
      <c r="J53" s="291"/>
      <c r="K53" s="291"/>
      <c r="L53" s="291"/>
      <c r="M53" s="293" t="s">
        <v>16</v>
      </c>
    </row>
    <row r="54" spans="1:13" ht="21" hidden="1">
      <c r="A54" s="295" t="s">
        <v>17</v>
      </c>
      <c r="B54" s="296" t="s">
        <v>18</v>
      </c>
      <c r="C54" s="297">
        <v>2</v>
      </c>
      <c r="D54" s="297">
        <v>1</v>
      </c>
      <c r="E54" s="297">
        <f>D54+F54-1</f>
        <v>1</v>
      </c>
      <c r="F54" s="297">
        <v>1</v>
      </c>
      <c r="G54" s="446" t="s">
        <v>19</v>
      </c>
      <c r="H54" s="298"/>
      <c r="I54" s="298"/>
      <c r="J54" s="297"/>
      <c r="K54" s="297"/>
      <c r="L54" s="297"/>
      <c r="M54" s="293" t="s">
        <v>16</v>
      </c>
    </row>
    <row r="55" spans="1:13" ht="12.5" hidden="1">
      <c r="A55" s="295" t="s">
        <v>212</v>
      </c>
      <c r="B55" s="296" t="s">
        <v>213</v>
      </c>
      <c r="C55" s="297">
        <v>3</v>
      </c>
      <c r="D55" s="297">
        <f>E54+1</f>
        <v>2</v>
      </c>
      <c r="E55" s="297">
        <f>D55+F55-1</f>
        <v>9</v>
      </c>
      <c r="F55" s="297">
        <v>8</v>
      </c>
      <c r="G55" s="447" t="s">
        <v>1101</v>
      </c>
      <c r="H55" s="301"/>
      <c r="I55" s="301"/>
      <c r="J55" s="297"/>
      <c r="K55" s="297"/>
      <c r="L55" s="297"/>
      <c r="M55" s="293" t="s">
        <v>16</v>
      </c>
    </row>
    <row r="56" spans="1:13" ht="12.5" hidden="1">
      <c r="A56" s="295" t="s">
        <v>215</v>
      </c>
      <c r="B56" s="296" t="s">
        <v>216</v>
      </c>
      <c r="C56" s="297">
        <v>4</v>
      </c>
      <c r="D56" s="297">
        <f>E55+1</f>
        <v>10</v>
      </c>
      <c r="E56" s="297">
        <f>D56+F56-1</f>
        <v>17</v>
      </c>
      <c r="F56" s="297">
        <v>8</v>
      </c>
      <c r="G56" s="447" t="s">
        <v>1003</v>
      </c>
      <c r="H56" s="301"/>
      <c r="I56" s="301"/>
      <c r="J56" s="297"/>
      <c r="K56" s="297"/>
      <c r="L56" s="297"/>
      <c r="M56" s="293" t="s">
        <v>16</v>
      </c>
    </row>
    <row r="57" spans="1:13" hidden="1">
      <c r="A57" s="317" t="s">
        <v>217</v>
      </c>
      <c r="B57" s="314" t="s">
        <v>236</v>
      </c>
      <c r="C57" s="297">
        <v>5</v>
      </c>
      <c r="D57" s="297">
        <f>E56+1</f>
        <v>18</v>
      </c>
      <c r="E57" s="297">
        <f>D57+F57-1</f>
        <v>103</v>
      </c>
      <c r="F57" s="297">
        <v>86</v>
      </c>
      <c r="G57" s="446" t="s">
        <v>219</v>
      </c>
      <c r="H57" s="298"/>
      <c r="I57" s="298"/>
      <c r="J57" s="297"/>
      <c r="K57" s="297"/>
      <c r="L57" s="297"/>
      <c r="M57" s="293" t="s">
        <v>16</v>
      </c>
    </row>
    <row r="58" spans="1:13" ht="10.5" hidden="1">
      <c r="A58" s="290" t="s">
        <v>1117</v>
      </c>
      <c r="B58" s="291" t="s">
        <v>14</v>
      </c>
      <c r="C58" s="302">
        <v>6</v>
      </c>
      <c r="D58" s="291">
        <v>1</v>
      </c>
      <c r="E58" s="291">
        <v>103</v>
      </c>
      <c r="F58" s="291">
        <v>103</v>
      </c>
      <c r="G58" s="448"/>
      <c r="H58" s="303"/>
      <c r="I58" s="303"/>
      <c r="J58" s="291"/>
      <c r="K58" s="291"/>
      <c r="L58" s="291"/>
      <c r="M58" s="293" t="s">
        <v>16</v>
      </c>
    </row>
    <row r="59" spans="1:13" ht="21" hidden="1">
      <c r="A59" s="304" t="s">
        <v>723</v>
      </c>
      <c r="B59" s="296" t="s">
        <v>18</v>
      </c>
      <c r="C59" s="297">
        <v>7</v>
      </c>
      <c r="D59" s="305">
        <v>1</v>
      </c>
      <c r="E59" s="297">
        <f>D59+F59-1</f>
        <v>1</v>
      </c>
      <c r="F59" s="305">
        <v>1</v>
      </c>
      <c r="G59" s="446" t="s">
        <v>38</v>
      </c>
      <c r="H59" s="298"/>
      <c r="I59" s="298"/>
      <c r="J59" s="305"/>
      <c r="K59" s="305"/>
      <c r="L59" s="305"/>
      <c r="M59" s="293" t="s">
        <v>16</v>
      </c>
    </row>
    <row r="60" spans="1:13" ht="24" hidden="1" customHeight="1">
      <c r="A60" s="312" t="s">
        <v>238</v>
      </c>
      <c r="B60" s="296" t="s">
        <v>854</v>
      </c>
      <c r="C60" s="297">
        <v>8</v>
      </c>
      <c r="D60" s="297">
        <f>E59+1</f>
        <v>2</v>
      </c>
      <c r="E60" s="297">
        <f>D60+F60-1</f>
        <v>3</v>
      </c>
      <c r="F60" s="297">
        <v>2</v>
      </c>
      <c r="G60" s="323" t="s">
        <v>1118</v>
      </c>
      <c r="H60" s="298" t="s">
        <v>20</v>
      </c>
      <c r="I60" s="298" t="s">
        <v>1119</v>
      </c>
      <c r="J60" s="324" t="s">
        <v>1120</v>
      </c>
      <c r="K60" s="314" t="s">
        <v>1107</v>
      </c>
      <c r="L60" s="325">
        <v>611</v>
      </c>
      <c r="M60" s="293" t="s">
        <v>16</v>
      </c>
    </row>
    <row r="61" spans="1:13" ht="24" hidden="1" customHeight="1">
      <c r="A61" s="312" t="s">
        <v>243</v>
      </c>
      <c r="B61" s="296" t="s">
        <v>1039</v>
      </c>
      <c r="C61" s="297">
        <v>8</v>
      </c>
      <c r="D61" s="297">
        <f>E60+1</f>
        <v>4</v>
      </c>
      <c r="E61" s="297">
        <f>D61+F61-1</f>
        <v>103</v>
      </c>
      <c r="F61" s="297">
        <v>100</v>
      </c>
      <c r="G61" s="323" t="s">
        <v>1121</v>
      </c>
      <c r="H61" s="298" t="s">
        <v>20</v>
      </c>
      <c r="I61" s="298" t="s">
        <v>1119</v>
      </c>
      <c r="J61" s="324" t="s">
        <v>1122</v>
      </c>
      <c r="K61" s="314" t="s">
        <v>1107</v>
      </c>
      <c r="L61" s="325">
        <v>611</v>
      </c>
      <c r="M61" s="293" t="s">
        <v>16</v>
      </c>
    </row>
    <row r="62" spans="1:13" ht="31.5" hidden="1">
      <c r="A62" s="290" t="s">
        <v>1123</v>
      </c>
      <c r="B62" s="291" t="s">
        <v>14</v>
      </c>
      <c r="C62" s="302">
        <v>35</v>
      </c>
      <c r="D62" s="291">
        <v>1</v>
      </c>
      <c r="E62" s="291">
        <v>103</v>
      </c>
      <c r="F62" s="291">
        <v>103</v>
      </c>
      <c r="G62" s="448"/>
      <c r="H62" s="303"/>
      <c r="I62" s="303"/>
      <c r="J62" s="291"/>
      <c r="K62" s="316" t="s">
        <v>204</v>
      </c>
      <c r="L62" s="316"/>
      <c r="M62" s="316"/>
    </row>
    <row r="63" spans="1:13" ht="21" hidden="1">
      <c r="A63" s="304" t="s">
        <v>723</v>
      </c>
      <c r="B63" s="296" t="s">
        <v>18</v>
      </c>
      <c r="C63" s="297">
        <v>36</v>
      </c>
      <c r="D63" s="297">
        <v>1</v>
      </c>
      <c r="E63" s="297">
        <v>1</v>
      </c>
      <c r="F63" s="297">
        <v>1</v>
      </c>
      <c r="G63" s="446" t="s">
        <v>205</v>
      </c>
      <c r="H63" s="298"/>
      <c r="I63" s="298"/>
      <c r="J63" s="297"/>
      <c r="K63" s="297"/>
      <c r="L63" s="297"/>
      <c r="M63" s="293"/>
    </row>
    <row r="64" spans="1:13" ht="12.5" hidden="1">
      <c r="A64" s="317" t="s">
        <v>206</v>
      </c>
      <c r="B64" s="296" t="s">
        <v>207</v>
      </c>
      <c r="C64" s="297">
        <v>37</v>
      </c>
      <c r="D64" s="297">
        <v>2</v>
      </c>
      <c r="E64" s="297">
        <f>D64+F64-1</f>
        <v>10</v>
      </c>
      <c r="F64" s="297">
        <v>9</v>
      </c>
      <c r="G64" s="446" t="s">
        <v>233</v>
      </c>
      <c r="H64" s="298"/>
      <c r="I64" s="298"/>
      <c r="J64" s="297"/>
      <c r="K64" s="297"/>
      <c r="L64" s="297"/>
      <c r="M64" s="293"/>
    </row>
    <row r="65" spans="1:13" ht="13" hidden="1" thickBot="1">
      <c r="A65" s="326" t="s">
        <v>217</v>
      </c>
      <c r="B65" s="327" t="s">
        <v>1124</v>
      </c>
      <c r="C65" s="328">
        <v>38</v>
      </c>
      <c r="D65" s="328">
        <v>11</v>
      </c>
      <c r="E65" s="328">
        <f>D65+F65-1</f>
        <v>103</v>
      </c>
      <c r="F65" s="328">
        <v>93</v>
      </c>
      <c r="G65" s="459" t="s">
        <v>219</v>
      </c>
      <c r="H65" s="329"/>
      <c r="I65" s="329"/>
      <c r="J65" s="328"/>
      <c r="K65" s="328"/>
      <c r="L65" s="328"/>
      <c r="M65" s="293"/>
    </row>
    <row r="66" spans="1:13" hidden="1"/>
    <row r="67" spans="1:13" hidden="1"/>
    <row r="68" spans="1:13" s="289" customFormat="1" ht="57.75" hidden="1" customHeight="1">
      <c r="A68" s="286" t="s">
        <v>0</v>
      </c>
      <c r="B68" s="287" t="s">
        <v>1</v>
      </c>
      <c r="C68" s="287" t="s">
        <v>2</v>
      </c>
      <c r="D68" s="287" t="s">
        <v>3</v>
      </c>
      <c r="E68" s="287" t="s">
        <v>4</v>
      </c>
      <c r="F68" s="287" t="s">
        <v>5</v>
      </c>
      <c r="G68" s="444" t="s">
        <v>6</v>
      </c>
      <c r="H68" s="287" t="s">
        <v>703</v>
      </c>
      <c r="I68" s="287" t="s">
        <v>704</v>
      </c>
      <c r="J68" s="287" t="s">
        <v>705</v>
      </c>
      <c r="K68" s="287" t="s">
        <v>10</v>
      </c>
      <c r="L68" s="287" t="s">
        <v>706</v>
      </c>
      <c r="M68" s="288" t="s">
        <v>12</v>
      </c>
    </row>
    <row r="69" spans="1:13" ht="11.5" hidden="1">
      <c r="A69" s="322" t="s">
        <v>1125</v>
      </c>
      <c r="B69" s="297"/>
      <c r="C69" s="297"/>
      <c r="D69" s="297">
        <v>1</v>
      </c>
      <c r="E69" s="297">
        <v>33</v>
      </c>
      <c r="F69" s="297">
        <v>33</v>
      </c>
      <c r="G69" s="446" t="s">
        <v>210</v>
      </c>
      <c r="H69" s="298"/>
      <c r="I69" s="298"/>
      <c r="J69" s="297"/>
      <c r="K69" s="297"/>
      <c r="L69" s="297"/>
      <c r="M69" s="293" t="s">
        <v>16</v>
      </c>
    </row>
    <row r="70" spans="1:13" ht="10.5" hidden="1">
      <c r="A70" s="290" t="s">
        <v>1126</v>
      </c>
      <c r="B70" s="291" t="s">
        <v>14</v>
      </c>
      <c r="C70" s="291">
        <v>1</v>
      </c>
      <c r="D70" s="291">
        <v>1</v>
      </c>
      <c r="E70" s="291">
        <v>33</v>
      </c>
      <c r="F70" s="291">
        <v>33</v>
      </c>
      <c r="G70" s="445"/>
      <c r="H70" s="292"/>
      <c r="I70" s="292"/>
      <c r="J70" s="291"/>
      <c r="K70" s="291"/>
      <c r="L70" s="291"/>
      <c r="M70" s="293" t="s">
        <v>16</v>
      </c>
    </row>
    <row r="71" spans="1:13" ht="21" hidden="1">
      <c r="A71" s="295" t="s">
        <v>17</v>
      </c>
      <c r="B71" s="296" t="s">
        <v>18</v>
      </c>
      <c r="C71" s="297">
        <v>2</v>
      </c>
      <c r="D71" s="297">
        <v>1</v>
      </c>
      <c r="E71" s="297">
        <f>D71+F71-1</f>
        <v>1</v>
      </c>
      <c r="F71" s="297">
        <v>1</v>
      </c>
      <c r="G71" s="446" t="s">
        <v>19</v>
      </c>
      <c r="H71" s="298"/>
      <c r="I71" s="298"/>
      <c r="J71" s="297"/>
      <c r="K71" s="297"/>
      <c r="L71" s="297"/>
      <c r="M71" s="293" t="s">
        <v>16</v>
      </c>
    </row>
    <row r="72" spans="1:13" ht="12.5" hidden="1">
      <c r="A72" s="295" t="s">
        <v>212</v>
      </c>
      <c r="B72" s="296" t="s">
        <v>213</v>
      </c>
      <c r="C72" s="297">
        <v>3</v>
      </c>
      <c r="D72" s="297">
        <f>E71+1</f>
        <v>2</v>
      </c>
      <c r="E72" s="297">
        <f>D72+F72-1</f>
        <v>9</v>
      </c>
      <c r="F72" s="297">
        <v>8</v>
      </c>
      <c r="G72" s="447" t="s">
        <v>1101</v>
      </c>
      <c r="H72" s="301"/>
      <c r="I72" s="301"/>
      <c r="J72" s="297"/>
      <c r="K72" s="297"/>
      <c r="L72" s="297"/>
      <c r="M72" s="293" t="s">
        <v>16</v>
      </c>
    </row>
    <row r="73" spans="1:13" ht="12.5" hidden="1">
      <c r="A73" s="295" t="s">
        <v>215</v>
      </c>
      <c r="B73" s="296" t="s">
        <v>216</v>
      </c>
      <c r="C73" s="297">
        <v>4</v>
      </c>
      <c r="D73" s="297">
        <f>E72+1</f>
        <v>10</v>
      </c>
      <c r="E73" s="297">
        <f>D73+F73-1</f>
        <v>17</v>
      </c>
      <c r="F73" s="297">
        <v>8</v>
      </c>
      <c r="G73" s="447" t="s">
        <v>1003</v>
      </c>
      <c r="H73" s="301"/>
      <c r="I73" s="301"/>
      <c r="J73" s="297"/>
      <c r="K73" s="297"/>
      <c r="L73" s="297"/>
      <c r="M73" s="293" t="s">
        <v>16</v>
      </c>
    </row>
    <row r="74" spans="1:13" hidden="1">
      <c r="A74" s="317" t="s">
        <v>217</v>
      </c>
      <c r="B74" s="314" t="s">
        <v>250</v>
      </c>
      <c r="C74" s="297">
        <v>5</v>
      </c>
      <c r="D74" s="297">
        <f>E73+1</f>
        <v>18</v>
      </c>
      <c r="E74" s="297">
        <f>D74+F74-1</f>
        <v>33</v>
      </c>
      <c r="F74" s="297">
        <v>16</v>
      </c>
      <c r="G74" s="446" t="s">
        <v>219</v>
      </c>
      <c r="H74" s="298"/>
      <c r="I74" s="298"/>
      <c r="J74" s="297"/>
      <c r="K74" s="297"/>
      <c r="L74" s="297"/>
      <c r="M74" s="293" t="s">
        <v>16</v>
      </c>
    </row>
    <row r="75" spans="1:13" ht="10.5" hidden="1">
      <c r="A75" s="290" t="s">
        <v>1127</v>
      </c>
      <c r="B75" s="291" t="s">
        <v>14</v>
      </c>
      <c r="C75" s="302">
        <v>6</v>
      </c>
      <c r="D75" s="291">
        <v>1</v>
      </c>
      <c r="E75" s="291">
        <v>33</v>
      </c>
      <c r="F75" s="291">
        <v>33</v>
      </c>
      <c r="G75" s="448"/>
      <c r="H75" s="303"/>
      <c r="I75" s="303"/>
      <c r="J75" s="291"/>
      <c r="K75" s="291"/>
      <c r="L75" s="291"/>
      <c r="M75" s="293" t="s">
        <v>16</v>
      </c>
    </row>
    <row r="76" spans="1:13" ht="21" hidden="1">
      <c r="A76" s="304" t="s">
        <v>723</v>
      </c>
      <c r="B76" s="296" t="s">
        <v>18</v>
      </c>
      <c r="C76" s="297">
        <v>7</v>
      </c>
      <c r="D76" s="305">
        <v>1</v>
      </c>
      <c r="E76" s="297">
        <f>D76+F76-1</f>
        <v>1</v>
      </c>
      <c r="F76" s="305">
        <v>1</v>
      </c>
      <c r="G76" s="446" t="s">
        <v>38</v>
      </c>
      <c r="H76" s="298"/>
      <c r="I76" s="298"/>
      <c r="J76" s="305"/>
      <c r="K76" s="305"/>
      <c r="L76" s="305"/>
      <c r="M76" s="293" t="s">
        <v>16</v>
      </c>
    </row>
    <row r="77" spans="1:13" ht="24" hidden="1" customHeight="1">
      <c r="A77" s="312" t="s">
        <v>252</v>
      </c>
      <c r="B77" s="296" t="s">
        <v>1128</v>
      </c>
      <c r="C77" s="297">
        <v>8</v>
      </c>
      <c r="D77" s="297">
        <f>E76+1</f>
        <v>2</v>
      </c>
      <c r="E77" s="297">
        <f>D77+F77-1</f>
        <v>3</v>
      </c>
      <c r="F77" s="297">
        <v>2</v>
      </c>
      <c r="G77" s="323" t="s">
        <v>1129</v>
      </c>
      <c r="H77" s="298" t="s">
        <v>20</v>
      </c>
      <c r="I77" s="298" t="s">
        <v>255</v>
      </c>
      <c r="J77" s="324" t="s">
        <v>1130</v>
      </c>
      <c r="K77" s="314" t="s">
        <v>1107</v>
      </c>
      <c r="L77" s="325">
        <v>611</v>
      </c>
      <c r="M77" s="293" t="s">
        <v>16</v>
      </c>
    </row>
    <row r="78" spans="1:13" ht="24" hidden="1" customHeight="1">
      <c r="A78" s="312" t="s">
        <v>257</v>
      </c>
      <c r="B78" s="296" t="s">
        <v>1128</v>
      </c>
      <c r="C78" s="297">
        <v>8</v>
      </c>
      <c r="D78" s="297">
        <f>E77+1</f>
        <v>4</v>
      </c>
      <c r="E78" s="297">
        <f>D78+F78-1</f>
        <v>33</v>
      </c>
      <c r="F78" s="297">
        <v>30</v>
      </c>
      <c r="G78" s="323" t="s">
        <v>1131</v>
      </c>
      <c r="H78" s="298" t="s">
        <v>20</v>
      </c>
      <c r="I78" s="298" t="s">
        <v>255</v>
      </c>
      <c r="J78" s="324" t="s">
        <v>1132</v>
      </c>
      <c r="K78" s="314" t="s">
        <v>1107</v>
      </c>
      <c r="L78" s="325">
        <v>611</v>
      </c>
      <c r="M78" s="293" t="s">
        <v>16</v>
      </c>
    </row>
    <row r="79" spans="1:13" ht="31.5" hidden="1">
      <c r="A79" s="290" t="s">
        <v>1133</v>
      </c>
      <c r="B79" s="291" t="s">
        <v>14</v>
      </c>
      <c r="C79" s="302">
        <v>35</v>
      </c>
      <c r="D79" s="291">
        <v>1</v>
      </c>
      <c r="E79" s="291">
        <v>33</v>
      </c>
      <c r="F79" s="291">
        <v>33</v>
      </c>
      <c r="G79" s="448"/>
      <c r="H79" s="303"/>
      <c r="I79" s="303"/>
      <c r="J79" s="291"/>
      <c r="K79" s="316" t="s">
        <v>204</v>
      </c>
      <c r="L79" s="316"/>
      <c r="M79" s="316"/>
    </row>
    <row r="80" spans="1:13" ht="21" hidden="1">
      <c r="A80" s="304" t="s">
        <v>723</v>
      </c>
      <c r="B80" s="296" t="s">
        <v>18</v>
      </c>
      <c r="C80" s="297">
        <v>36</v>
      </c>
      <c r="D80" s="297">
        <v>1</v>
      </c>
      <c r="E80" s="297">
        <v>1</v>
      </c>
      <c r="F80" s="297">
        <v>1</v>
      </c>
      <c r="G80" s="446" t="s">
        <v>205</v>
      </c>
      <c r="H80" s="298"/>
      <c r="I80" s="298"/>
      <c r="J80" s="297"/>
      <c r="K80" s="297"/>
      <c r="L80" s="297"/>
      <c r="M80" s="293"/>
    </row>
    <row r="81" spans="1:13" ht="12.5" hidden="1">
      <c r="A81" s="317" t="s">
        <v>206</v>
      </c>
      <c r="B81" s="296" t="s">
        <v>207</v>
      </c>
      <c r="C81" s="297">
        <v>37</v>
      </c>
      <c r="D81" s="297">
        <v>2</v>
      </c>
      <c r="E81" s="297">
        <f>D81+F81-1</f>
        <v>10</v>
      </c>
      <c r="F81" s="297">
        <v>9</v>
      </c>
      <c r="G81" s="446" t="s">
        <v>233</v>
      </c>
      <c r="H81" s="298"/>
      <c r="I81" s="298"/>
      <c r="J81" s="297"/>
      <c r="K81" s="297"/>
      <c r="L81" s="297"/>
      <c r="M81" s="293"/>
    </row>
    <row r="82" spans="1:13" ht="13" hidden="1" thickBot="1">
      <c r="A82" s="326" t="s">
        <v>217</v>
      </c>
      <c r="B82" s="327" t="s">
        <v>1134</v>
      </c>
      <c r="C82" s="328">
        <v>38</v>
      </c>
      <c r="D82" s="328">
        <v>11</v>
      </c>
      <c r="E82" s="328">
        <f>D82+F82-1</f>
        <v>33</v>
      </c>
      <c r="F82" s="328">
        <v>23</v>
      </c>
      <c r="G82" s="459" t="s">
        <v>219</v>
      </c>
      <c r="H82" s="329"/>
      <c r="I82" s="329"/>
      <c r="J82" s="328"/>
      <c r="K82" s="328"/>
      <c r="L82" s="328"/>
      <c r="M82" s="293"/>
    </row>
    <row r="83" spans="1:13" hidden="1"/>
    <row r="84" spans="1:13" hidden="1"/>
    <row r="85" spans="1:13" s="289" customFormat="1" ht="57.75" hidden="1" customHeight="1">
      <c r="A85" s="286" t="s">
        <v>0</v>
      </c>
      <c r="B85" s="287" t="s">
        <v>1</v>
      </c>
      <c r="C85" s="287" t="s">
        <v>2</v>
      </c>
      <c r="D85" s="287" t="s">
        <v>3</v>
      </c>
      <c r="E85" s="287" t="s">
        <v>4</v>
      </c>
      <c r="F85" s="287" t="s">
        <v>5</v>
      </c>
      <c r="G85" s="444" t="s">
        <v>6</v>
      </c>
      <c r="H85" s="287" t="s">
        <v>703</v>
      </c>
      <c r="I85" s="287" t="s">
        <v>704</v>
      </c>
      <c r="J85" s="287" t="s">
        <v>705</v>
      </c>
      <c r="K85" s="287" t="s">
        <v>10</v>
      </c>
      <c r="L85" s="287" t="s">
        <v>706</v>
      </c>
      <c r="M85" s="288" t="s">
        <v>12</v>
      </c>
    </row>
    <row r="86" spans="1:13" ht="11.5" hidden="1">
      <c r="A86" s="322" t="s">
        <v>1135</v>
      </c>
      <c r="B86" s="297"/>
      <c r="C86" s="297"/>
      <c r="D86" s="297">
        <v>1</v>
      </c>
      <c r="E86" s="297">
        <v>33</v>
      </c>
      <c r="F86" s="297">
        <v>33</v>
      </c>
      <c r="G86" s="446" t="s">
        <v>210</v>
      </c>
      <c r="H86" s="298"/>
      <c r="I86" s="298"/>
      <c r="J86" s="297"/>
      <c r="K86" s="297"/>
      <c r="L86" s="297"/>
      <c r="M86" s="293" t="s">
        <v>16</v>
      </c>
    </row>
    <row r="87" spans="1:13" ht="10.5" hidden="1">
      <c r="A87" s="290" t="s">
        <v>1136</v>
      </c>
      <c r="B87" s="291" t="s">
        <v>14</v>
      </c>
      <c r="C87" s="291">
        <v>1</v>
      </c>
      <c r="D87" s="291">
        <v>1</v>
      </c>
      <c r="E87" s="291">
        <v>33</v>
      </c>
      <c r="F87" s="291">
        <v>33</v>
      </c>
      <c r="G87" s="445"/>
      <c r="H87" s="292"/>
      <c r="I87" s="292"/>
      <c r="J87" s="291"/>
      <c r="K87" s="291"/>
      <c r="L87" s="291"/>
      <c r="M87" s="293" t="s">
        <v>16</v>
      </c>
    </row>
    <row r="88" spans="1:13" ht="21" hidden="1">
      <c r="A88" s="295" t="s">
        <v>17</v>
      </c>
      <c r="B88" s="296" t="s">
        <v>18</v>
      </c>
      <c r="C88" s="297">
        <v>2</v>
      </c>
      <c r="D88" s="297">
        <v>1</v>
      </c>
      <c r="E88" s="297">
        <f>D88+F88-1</f>
        <v>1</v>
      </c>
      <c r="F88" s="297">
        <v>1</v>
      </c>
      <c r="G88" s="446" t="s">
        <v>19</v>
      </c>
      <c r="H88" s="298"/>
      <c r="I88" s="298"/>
      <c r="J88" s="297"/>
      <c r="K88" s="297"/>
      <c r="L88" s="297"/>
      <c r="M88" s="293" t="s">
        <v>16</v>
      </c>
    </row>
    <row r="89" spans="1:13" ht="12.5" hidden="1">
      <c r="A89" s="295" t="s">
        <v>212</v>
      </c>
      <c r="B89" s="296" t="s">
        <v>213</v>
      </c>
      <c r="C89" s="297">
        <v>3</v>
      </c>
      <c r="D89" s="297">
        <f>E88+1</f>
        <v>2</v>
      </c>
      <c r="E89" s="297">
        <f>D89+F89-1</f>
        <v>9</v>
      </c>
      <c r="F89" s="297">
        <v>8</v>
      </c>
      <c r="G89" s="447" t="s">
        <v>1101</v>
      </c>
      <c r="H89" s="301"/>
      <c r="I89" s="301"/>
      <c r="J89" s="297"/>
      <c r="K89" s="297"/>
      <c r="L89" s="297"/>
      <c r="M89" s="293" t="s">
        <v>16</v>
      </c>
    </row>
    <row r="90" spans="1:13" ht="12.5" hidden="1">
      <c r="A90" s="295" t="s">
        <v>215</v>
      </c>
      <c r="B90" s="296" t="s">
        <v>216</v>
      </c>
      <c r="C90" s="297">
        <v>4</v>
      </c>
      <c r="D90" s="297">
        <f>E89+1</f>
        <v>10</v>
      </c>
      <c r="E90" s="297">
        <f>D90+F90-1</f>
        <v>17</v>
      </c>
      <c r="F90" s="297">
        <v>8</v>
      </c>
      <c r="G90" s="447" t="s">
        <v>1003</v>
      </c>
      <c r="H90" s="301"/>
      <c r="I90" s="301"/>
      <c r="J90" s="297"/>
      <c r="K90" s="297"/>
      <c r="L90" s="297"/>
      <c r="M90" s="293" t="s">
        <v>16</v>
      </c>
    </row>
    <row r="91" spans="1:13" hidden="1">
      <c r="A91" s="317" t="s">
        <v>217</v>
      </c>
      <c r="B91" s="314" t="s">
        <v>250</v>
      </c>
      <c r="C91" s="297">
        <v>5</v>
      </c>
      <c r="D91" s="297">
        <f>E90+1</f>
        <v>18</v>
      </c>
      <c r="E91" s="297">
        <f>D91+F91-1</f>
        <v>33</v>
      </c>
      <c r="F91" s="297">
        <v>16</v>
      </c>
      <c r="G91" s="446" t="s">
        <v>219</v>
      </c>
      <c r="H91" s="298"/>
      <c r="I91" s="298"/>
      <c r="J91" s="297"/>
      <c r="K91" s="297"/>
      <c r="L91" s="297"/>
      <c r="M91" s="293" t="s">
        <v>16</v>
      </c>
    </row>
    <row r="92" spans="1:13" ht="10.5" hidden="1">
      <c r="A92" s="290" t="s">
        <v>1137</v>
      </c>
      <c r="B92" s="291" t="s">
        <v>14</v>
      </c>
      <c r="C92" s="302">
        <v>6</v>
      </c>
      <c r="D92" s="291">
        <v>1</v>
      </c>
      <c r="E92" s="291">
        <v>33</v>
      </c>
      <c r="F92" s="291">
        <v>33</v>
      </c>
      <c r="G92" s="448"/>
      <c r="H92" s="303"/>
      <c r="I92" s="303"/>
      <c r="J92" s="291"/>
      <c r="K92" s="291"/>
      <c r="L92" s="291"/>
      <c r="M92" s="293" t="s">
        <v>16</v>
      </c>
    </row>
    <row r="93" spans="1:13" ht="21" hidden="1">
      <c r="A93" s="304" t="s">
        <v>723</v>
      </c>
      <c r="B93" s="296" t="s">
        <v>18</v>
      </c>
      <c r="C93" s="297">
        <v>7</v>
      </c>
      <c r="D93" s="305">
        <v>1</v>
      </c>
      <c r="E93" s="297">
        <f>D93+F93-1</f>
        <v>1</v>
      </c>
      <c r="F93" s="305">
        <v>1</v>
      </c>
      <c r="G93" s="446" t="s">
        <v>38</v>
      </c>
      <c r="H93" s="298"/>
      <c r="I93" s="298"/>
      <c r="J93" s="305"/>
      <c r="K93" s="305"/>
      <c r="L93" s="305"/>
      <c r="M93" s="293" t="s">
        <v>16</v>
      </c>
    </row>
    <row r="94" spans="1:13" ht="24" hidden="1" customHeight="1">
      <c r="A94" s="312" t="s">
        <v>265</v>
      </c>
      <c r="B94" s="296" t="s">
        <v>1128</v>
      </c>
      <c r="C94" s="297">
        <v>8</v>
      </c>
      <c r="D94" s="297">
        <f>E93+1</f>
        <v>2</v>
      </c>
      <c r="E94" s="297">
        <f>D94+F94-1</f>
        <v>3</v>
      </c>
      <c r="F94" s="297">
        <v>2</v>
      </c>
      <c r="G94" s="323" t="s">
        <v>1138</v>
      </c>
      <c r="H94" s="298" t="s">
        <v>20</v>
      </c>
      <c r="I94" s="298" t="s">
        <v>1139</v>
      </c>
      <c r="J94" s="324" t="s">
        <v>1140</v>
      </c>
      <c r="K94" s="314" t="s">
        <v>1107</v>
      </c>
      <c r="L94" s="325">
        <v>611</v>
      </c>
      <c r="M94" s="293" t="s">
        <v>16</v>
      </c>
    </row>
    <row r="95" spans="1:13" ht="24" hidden="1" customHeight="1">
      <c r="A95" s="312" t="s">
        <v>269</v>
      </c>
      <c r="B95" s="296" t="s">
        <v>1128</v>
      </c>
      <c r="C95" s="297">
        <v>8</v>
      </c>
      <c r="D95" s="297">
        <f>E94+1</f>
        <v>4</v>
      </c>
      <c r="E95" s="297">
        <f>D95+F95-1</f>
        <v>33</v>
      </c>
      <c r="F95" s="297">
        <v>30</v>
      </c>
      <c r="G95" s="323" t="s">
        <v>1141</v>
      </c>
      <c r="H95" s="298" t="s">
        <v>20</v>
      </c>
      <c r="I95" s="298" t="s">
        <v>271</v>
      </c>
      <c r="J95" s="324" t="s">
        <v>1142</v>
      </c>
      <c r="K95" s="314" t="s">
        <v>1107</v>
      </c>
      <c r="L95" s="325">
        <v>611</v>
      </c>
      <c r="M95" s="293" t="s">
        <v>16</v>
      </c>
    </row>
    <row r="96" spans="1:13" ht="31.5" hidden="1">
      <c r="A96" s="290" t="s">
        <v>1143</v>
      </c>
      <c r="B96" s="291" t="s">
        <v>14</v>
      </c>
      <c r="C96" s="302">
        <v>35</v>
      </c>
      <c r="D96" s="291">
        <v>1</v>
      </c>
      <c r="E96" s="291">
        <v>33</v>
      </c>
      <c r="F96" s="291">
        <v>33</v>
      </c>
      <c r="G96" s="448"/>
      <c r="H96" s="303"/>
      <c r="I96" s="303"/>
      <c r="J96" s="291"/>
      <c r="K96" s="316" t="s">
        <v>204</v>
      </c>
      <c r="L96" s="316"/>
      <c r="M96" s="316"/>
    </row>
    <row r="97" spans="1:13" ht="21" hidden="1">
      <c r="A97" s="304" t="s">
        <v>723</v>
      </c>
      <c r="B97" s="296" t="s">
        <v>18</v>
      </c>
      <c r="C97" s="297">
        <v>36</v>
      </c>
      <c r="D97" s="297">
        <v>1</v>
      </c>
      <c r="E97" s="297">
        <v>1</v>
      </c>
      <c r="F97" s="297">
        <v>1</v>
      </c>
      <c r="G97" s="446" t="s">
        <v>205</v>
      </c>
      <c r="H97" s="298"/>
      <c r="I97" s="298"/>
      <c r="J97" s="297"/>
      <c r="K97" s="297"/>
      <c r="L97" s="297"/>
      <c r="M97" s="293"/>
    </row>
    <row r="98" spans="1:13" ht="12.5" hidden="1">
      <c r="A98" s="317" t="s">
        <v>206</v>
      </c>
      <c r="B98" s="296" t="s">
        <v>207</v>
      </c>
      <c r="C98" s="297">
        <v>37</v>
      </c>
      <c r="D98" s="297">
        <v>2</v>
      </c>
      <c r="E98" s="297">
        <f>D98+F98-1</f>
        <v>10</v>
      </c>
      <c r="F98" s="297">
        <v>9</v>
      </c>
      <c r="G98" s="446" t="s">
        <v>233</v>
      </c>
      <c r="H98" s="298"/>
      <c r="I98" s="298"/>
      <c r="J98" s="297"/>
      <c r="K98" s="297"/>
      <c r="L98" s="297"/>
      <c r="M98" s="293"/>
    </row>
    <row r="99" spans="1:13" ht="13" hidden="1" thickBot="1">
      <c r="A99" s="326" t="s">
        <v>217</v>
      </c>
      <c r="B99" s="327" t="s">
        <v>1134</v>
      </c>
      <c r="C99" s="328">
        <v>38</v>
      </c>
      <c r="D99" s="328">
        <v>11</v>
      </c>
      <c r="E99" s="328">
        <f>D99+F99-1</f>
        <v>33</v>
      </c>
      <c r="F99" s="328">
        <v>23</v>
      </c>
      <c r="G99" s="459" t="s">
        <v>219</v>
      </c>
      <c r="H99" s="329"/>
      <c r="I99" s="329"/>
      <c r="J99" s="328"/>
      <c r="K99" s="328"/>
      <c r="L99" s="328"/>
      <c r="M99" s="293"/>
    </row>
    <row r="100" spans="1:13" hidden="1"/>
    <row r="101" spans="1:13" hidden="1"/>
    <row r="102" spans="1:13" s="289" customFormat="1" ht="57.75" hidden="1" customHeight="1">
      <c r="A102" s="286" t="s">
        <v>0</v>
      </c>
      <c r="B102" s="287" t="s">
        <v>1</v>
      </c>
      <c r="C102" s="287" t="s">
        <v>2</v>
      </c>
      <c r="D102" s="287" t="s">
        <v>3</v>
      </c>
      <c r="E102" s="287" t="s">
        <v>4</v>
      </c>
      <c r="F102" s="287" t="s">
        <v>5</v>
      </c>
      <c r="G102" s="444" t="s">
        <v>6</v>
      </c>
      <c r="H102" s="287" t="s">
        <v>703</v>
      </c>
      <c r="I102" s="287" t="s">
        <v>704</v>
      </c>
      <c r="J102" s="287" t="s">
        <v>705</v>
      </c>
      <c r="K102" s="287" t="s">
        <v>10</v>
      </c>
      <c r="L102" s="287" t="s">
        <v>706</v>
      </c>
      <c r="M102" s="288" t="s">
        <v>12</v>
      </c>
    </row>
    <row r="103" spans="1:13" ht="11.5" hidden="1">
      <c r="A103" s="322" t="s">
        <v>1144</v>
      </c>
      <c r="B103" s="297"/>
      <c r="C103" s="297"/>
      <c r="D103" s="297">
        <v>1</v>
      </c>
      <c r="E103" s="297">
        <v>24</v>
      </c>
      <c r="F103" s="297">
        <v>24</v>
      </c>
      <c r="G103" s="446" t="s">
        <v>210</v>
      </c>
      <c r="H103" s="298"/>
      <c r="I103" s="298"/>
      <c r="J103" s="297"/>
      <c r="K103" s="297"/>
      <c r="L103" s="297"/>
      <c r="M103" s="293" t="s">
        <v>16</v>
      </c>
    </row>
    <row r="104" spans="1:13" ht="10.5" hidden="1">
      <c r="A104" s="290" t="s">
        <v>1145</v>
      </c>
      <c r="B104" s="291" t="s">
        <v>14</v>
      </c>
      <c r="C104" s="291">
        <v>1</v>
      </c>
      <c r="D104" s="291">
        <v>1</v>
      </c>
      <c r="E104" s="291">
        <v>24</v>
      </c>
      <c r="F104" s="291">
        <v>24</v>
      </c>
      <c r="G104" s="445"/>
      <c r="H104" s="292"/>
      <c r="I104" s="292"/>
      <c r="J104" s="291"/>
      <c r="K104" s="291"/>
      <c r="L104" s="291"/>
      <c r="M104" s="293" t="s">
        <v>16</v>
      </c>
    </row>
    <row r="105" spans="1:13" ht="21" hidden="1">
      <c r="A105" s="295" t="s">
        <v>17</v>
      </c>
      <c r="B105" s="296" t="s">
        <v>18</v>
      </c>
      <c r="C105" s="297">
        <v>2</v>
      </c>
      <c r="D105" s="297">
        <v>1</v>
      </c>
      <c r="E105" s="297">
        <f>D105+F105-1</f>
        <v>1</v>
      </c>
      <c r="F105" s="297">
        <v>1</v>
      </c>
      <c r="G105" s="446" t="s">
        <v>19</v>
      </c>
      <c r="H105" s="298"/>
      <c r="I105" s="298"/>
      <c r="J105" s="297"/>
      <c r="K105" s="297"/>
      <c r="L105" s="297"/>
      <c r="M105" s="293" t="s">
        <v>16</v>
      </c>
    </row>
    <row r="106" spans="1:13" ht="12.5" hidden="1">
      <c r="A106" s="295" t="s">
        <v>212</v>
      </c>
      <c r="B106" s="296" t="s">
        <v>213</v>
      </c>
      <c r="C106" s="297">
        <v>3</v>
      </c>
      <c r="D106" s="297">
        <f>E105+1</f>
        <v>2</v>
      </c>
      <c r="E106" s="297">
        <f>D106+F106-1</f>
        <v>9</v>
      </c>
      <c r="F106" s="297">
        <v>8</v>
      </c>
      <c r="G106" s="447" t="s">
        <v>1101</v>
      </c>
      <c r="H106" s="301"/>
      <c r="I106" s="301"/>
      <c r="J106" s="297"/>
      <c r="K106" s="297"/>
      <c r="L106" s="297"/>
      <c r="M106" s="293" t="s">
        <v>16</v>
      </c>
    </row>
    <row r="107" spans="1:13" ht="12.5" hidden="1">
      <c r="A107" s="295" t="s">
        <v>215</v>
      </c>
      <c r="B107" s="296" t="s">
        <v>216</v>
      </c>
      <c r="C107" s="297">
        <v>4</v>
      </c>
      <c r="D107" s="297">
        <f>E106+1</f>
        <v>10</v>
      </c>
      <c r="E107" s="297">
        <f>D107+F107-1</f>
        <v>17</v>
      </c>
      <c r="F107" s="297">
        <v>8</v>
      </c>
      <c r="G107" s="447" t="s">
        <v>1003</v>
      </c>
      <c r="H107" s="301"/>
      <c r="I107" s="301"/>
      <c r="J107" s="297"/>
      <c r="K107" s="297"/>
      <c r="L107" s="297"/>
      <c r="M107" s="293" t="s">
        <v>16</v>
      </c>
    </row>
    <row r="108" spans="1:13" hidden="1">
      <c r="A108" s="317" t="s">
        <v>217</v>
      </c>
      <c r="B108" s="314" t="s">
        <v>236</v>
      </c>
      <c r="C108" s="297">
        <v>5</v>
      </c>
      <c r="D108" s="297">
        <f>E107+1</f>
        <v>18</v>
      </c>
      <c r="E108" s="297">
        <f>D108+F108-1</f>
        <v>24</v>
      </c>
      <c r="F108" s="297">
        <v>7</v>
      </c>
      <c r="G108" s="446" t="s">
        <v>219</v>
      </c>
      <c r="H108" s="298"/>
      <c r="I108" s="298"/>
      <c r="J108" s="297"/>
      <c r="K108" s="297"/>
      <c r="L108" s="297"/>
      <c r="M108" s="293" t="s">
        <v>16</v>
      </c>
    </row>
    <row r="109" spans="1:13" ht="10.5" hidden="1">
      <c r="A109" s="290" t="s">
        <v>1146</v>
      </c>
      <c r="B109" s="291" t="s">
        <v>14</v>
      </c>
      <c r="C109" s="302">
        <v>6</v>
      </c>
      <c r="D109" s="291">
        <v>1</v>
      </c>
      <c r="E109" s="291">
        <v>24</v>
      </c>
      <c r="F109" s="291">
        <v>24</v>
      </c>
      <c r="G109" s="448"/>
      <c r="H109" s="303"/>
      <c r="I109" s="303"/>
      <c r="J109" s="291"/>
      <c r="K109" s="291"/>
      <c r="L109" s="291"/>
      <c r="M109" s="293" t="s">
        <v>16</v>
      </c>
    </row>
    <row r="110" spans="1:13" ht="21" hidden="1">
      <c r="A110" s="304" t="s">
        <v>723</v>
      </c>
      <c r="B110" s="296" t="s">
        <v>18</v>
      </c>
      <c r="C110" s="297">
        <v>7</v>
      </c>
      <c r="D110" s="305">
        <v>1</v>
      </c>
      <c r="E110" s="297">
        <f>D110+F110-1</f>
        <v>1</v>
      </c>
      <c r="F110" s="305">
        <v>1</v>
      </c>
      <c r="G110" s="446" t="s">
        <v>38</v>
      </c>
      <c r="H110" s="298"/>
      <c r="I110" s="298"/>
      <c r="J110" s="305"/>
      <c r="K110" s="305"/>
      <c r="L110" s="305"/>
      <c r="M110" s="293" t="s">
        <v>16</v>
      </c>
    </row>
    <row r="111" spans="1:13" ht="24" hidden="1" customHeight="1">
      <c r="A111" s="312" t="s">
        <v>277</v>
      </c>
      <c r="B111" s="296" t="s">
        <v>1111</v>
      </c>
      <c r="C111" s="297">
        <v>8</v>
      </c>
      <c r="D111" s="297">
        <f>E110+1</f>
        <v>2</v>
      </c>
      <c r="E111" s="297">
        <f>D111+F111-1</f>
        <v>4</v>
      </c>
      <c r="F111" s="297">
        <v>3</v>
      </c>
      <c r="G111" s="323" t="s">
        <v>1147</v>
      </c>
      <c r="H111" s="298" t="s">
        <v>20</v>
      </c>
      <c r="I111" s="298" t="s">
        <v>1148</v>
      </c>
      <c r="J111" s="324" t="s">
        <v>1149</v>
      </c>
      <c r="K111" s="314" t="s">
        <v>1107</v>
      </c>
      <c r="L111" s="325">
        <v>611</v>
      </c>
      <c r="M111" s="293" t="s">
        <v>16</v>
      </c>
    </row>
    <row r="112" spans="1:13" ht="24" hidden="1" customHeight="1">
      <c r="A112" s="312" t="s">
        <v>281</v>
      </c>
      <c r="B112" s="296" t="s">
        <v>1014</v>
      </c>
      <c r="C112" s="297">
        <v>8</v>
      </c>
      <c r="D112" s="297">
        <f>E111+1</f>
        <v>5</v>
      </c>
      <c r="E112" s="297">
        <f>D112+F112-1</f>
        <v>24</v>
      </c>
      <c r="F112" s="297">
        <v>20</v>
      </c>
      <c r="G112" s="323" t="s">
        <v>1150</v>
      </c>
      <c r="H112" s="298" t="s">
        <v>20</v>
      </c>
      <c r="I112" s="298" t="s">
        <v>283</v>
      </c>
      <c r="J112" s="324" t="s">
        <v>1151</v>
      </c>
      <c r="K112" s="314" t="s">
        <v>1107</v>
      </c>
      <c r="L112" s="325">
        <v>611</v>
      </c>
      <c r="M112" s="293" t="s">
        <v>16</v>
      </c>
    </row>
    <row r="113" spans="1:13" ht="31.5" hidden="1">
      <c r="A113" s="290" t="s">
        <v>1152</v>
      </c>
      <c r="B113" s="291" t="s">
        <v>14</v>
      </c>
      <c r="C113" s="302">
        <v>35</v>
      </c>
      <c r="D113" s="291">
        <v>1</v>
      </c>
      <c r="E113" s="291">
        <v>24</v>
      </c>
      <c r="F113" s="291">
        <v>24</v>
      </c>
      <c r="G113" s="448"/>
      <c r="H113" s="303"/>
      <c r="I113" s="303"/>
      <c r="J113" s="291"/>
      <c r="K113" s="316" t="s">
        <v>204</v>
      </c>
      <c r="L113" s="316"/>
      <c r="M113" s="316"/>
    </row>
    <row r="114" spans="1:13" ht="21" hidden="1">
      <c r="A114" s="304" t="s">
        <v>723</v>
      </c>
      <c r="B114" s="296" t="s">
        <v>18</v>
      </c>
      <c r="C114" s="297">
        <v>36</v>
      </c>
      <c r="D114" s="297">
        <v>1</v>
      </c>
      <c r="E114" s="297">
        <v>1</v>
      </c>
      <c r="F114" s="297">
        <v>1</v>
      </c>
      <c r="G114" s="446" t="s">
        <v>205</v>
      </c>
      <c r="H114" s="298"/>
      <c r="I114" s="298"/>
      <c r="J114" s="297"/>
      <c r="K114" s="297"/>
      <c r="L114" s="297"/>
      <c r="M114" s="293"/>
    </row>
    <row r="115" spans="1:13" ht="12.5" hidden="1">
      <c r="A115" s="317" t="s">
        <v>206</v>
      </c>
      <c r="B115" s="296" t="s">
        <v>207</v>
      </c>
      <c r="C115" s="297">
        <v>37</v>
      </c>
      <c r="D115" s="297">
        <v>2</v>
      </c>
      <c r="E115" s="297">
        <f>D115+F115-1</f>
        <v>10</v>
      </c>
      <c r="F115" s="297">
        <v>9</v>
      </c>
      <c r="G115" s="446" t="s">
        <v>233</v>
      </c>
      <c r="H115" s="298"/>
      <c r="I115" s="298"/>
      <c r="J115" s="297"/>
      <c r="K115" s="297"/>
      <c r="L115" s="297"/>
      <c r="M115" s="293"/>
    </row>
    <row r="116" spans="1:13" ht="13" hidden="1" thickBot="1">
      <c r="A116" s="326" t="s">
        <v>217</v>
      </c>
      <c r="B116" s="327" t="s">
        <v>1124</v>
      </c>
      <c r="C116" s="328">
        <v>38</v>
      </c>
      <c r="D116" s="328">
        <v>11</v>
      </c>
      <c r="E116" s="328">
        <f>D116+F116-1</f>
        <v>24</v>
      </c>
      <c r="F116" s="328">
        <v>14</v>
      </c>
      <c r="G116" s="459" t="s">
        <v>219</v>
      </c>
      <c r="H116" s="329"/>
      <c r="I116" s="329"/>
      <c r="J116" s="328"/>
      <c r="K116" s="328"/>
      <c r="L116" s="328"/>
      <c r="M116" s="293"/>
    </row>
    <row r="117" spans="1:13" hidden="1"/>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FBC3-E4FE-4353-96EB-E9FF2A6356F1}">
  <sheetPr codeName="Sheet4"/>
  <dimension ref="A1:N103"/>
  <sheetViews>
    <sheetView workbookViewId="0">
      <selection activeCell="I12" sqref="I12"/>
    </sheetView>
  </sheetViews>
  <sheetFormatPr defaultRowHeight="10"/>
  <cols>
    <col min="1" max="1" width="24.7265625" style="318" bestFit="1" customWidth="1"/>
    <col min="2" max="2" width="18.7265625" style="319" bestFit="1" customWidth="1"/>
    <col min="3" max="3" width="8.1796875" style="319" bestFit="1" customWidth="1"/>
    <col min="4" max="5" width="8.26953125" style="319" bestFit="1" customWidth="1"/>
    <col min="6" max="6" width="7.26953125" style="319" bestFit="1" customWidth="1"/>
    <col min="7" max="7" width="23.26953125" style="458" customWidth="1"/>
    <col min="8" max="8" width="17.1796875" style="320" bestFit="1" customWidth="1"/>
    <col min="9" max="9" width="23.26953125" style="320" customWidth="1"/>
    <col min="10" max="10" width="28.7265625" style="319" bestFit="1" customWidth="1"/>
    <col min="11" max="12" width="9.1796875" style="319"/>
    <col min="13" max="13" width="13.26953125" style="294" customWidth="1"/>
    <col min="14" max="256" width="9.1796875" style="294"/>
    <col min="257" max="257" width="24.7265625" style="294" bestFit="1" customWidth="1"/>
    <col min="258" max="258" width="18.7265625" style="294" bestFit="1" customWidth="1"/>
    <col min="259" max="259" width="8.1796875" style="294" bestFit="1" customWidth="1"/>
    <col min="260" max="261" width="8.26953125" style="294" bestFit="1" customWidth="1"/>
    <col min="262" max="262" width="7.26953125" style="294" bestFit="1" customWidth="1"/>
    <col min="263" max="263" width="23.26953125" style="294" customWidth="1"/>
    <col min="264" max="264" width="17.1796875" style="294" bestFit="1" customWidth="1"/>
    <col min="265" max="265" width="23.26953125" style="294" customWidth="1"/>
    <col min="266" max="266" width="28.7265625" style="294" bestFit="1" customWidth="1"/>
    <col min="267" max="268" width="9.1796875" style="294"/>
    <col min="269" max="269" width="13.26953125" style="294" customWidth="1"/>
    <col min="270" max="512" width="9.1796875" style="294"/>
    <col min="513" max="513" width="24.7265625" style="294" bestFit="1" customWidth="1"/>
    <col min="514" max="514" width="18.7265625" style="294" bestFit="1" customWidth="1"/>
    <col min="515" max="515" width="8.1796875" style="294" bestFit="1" customWidth="1"/>
    <col min="516" max="517" width="8.26953125" style="294" bestFit="1" customWidth="1"/>
    <col min="518" max="518" width="7.26953125" style="294" bestFit="1" customWidth="1"/>
    <col min="519" max="519" width="23.26953125" style="294" customWidth="1"/>
    <col min="520" max="520" width="17.1796875" style="294" bestFit="1" customWidth="1"/>
    <col min="521" max="521" width="23.26953125" style="294" customWidth="1"/>
    <col min="522" max="522" width="28.7265625" style="294" bestFit="1" customWidth="1"/>
    <col min="523" max="524" width="9.1796875" style="294"/>
    <col min="525" max="525" width="13.26953125" style="294" customWidth="1"/>
    <col min="526" max="768" width="9.1796875" style="294"/>
    <col min="769" max="769" width="24.7265625" style="294" bestFit="1" customWidth="1"/>
    <col min="770" max="770" width="18.7265625" style="294" bestFit="1" customWidth="1"/>
    <col min="771" max="771" width="8.1796875" style="294" bestFit="1" customWidth="1"/>
    <col min="772" max="773" width="8.26953125" style="294" bestFit="1" customWidth="1"/>
    <col min="774" max="774" width="7.26953125" style="294" bestFit="1" customWidth="1"/>
    <col min="775" max="775" width="23.26953125" style="294" customWidth="1"/>
    <col min="776" max="776" width="17.1796875" style="294" bestFit="1" customWidth="1"/>
    <col min="777" max="777" width="23.26953125" style="294" customWidth="1"/>
    <col min="778" max="778" width="28.7265625" style="294" bestFit="1" customWidth="1"/>
    <col min="779" max="780" width="9.1796875" style="294"/>
    <col min="781" max="781" width="13.26953125" style="294" customWidth="1"/>
    <col min="782" max="1024" width="9.1796875" style="294"/>
    <col min="1025" max="1025" width="24.7265625" style="294" bestFit="1" customWidth="1"/>
    <col min="1026" max="1026" width="18.7265625" style="294" bestFit="1" customWidth="1"/>
    <col min="1027" max="1027" width="8.1796875" style="294" bestFit="1" customWidth="1"/>
    <col min="1028" max="1029" width="8.26953125" style="294" bestFit="1" customWidth="1"/>
    <col min="1030" max="1030" width="7.26953125" style="294" bestFit="1" customWidth="1"/>
    <col min="1031" max="1031" width="23.26953125" style="294" customWidth="1"/>
    <col min="1032" max="1032" width="17.1796875" style="294" bestFit="1" customWidth="1"/>
    <col min="1033" max="1033" width="23.26953125" style="294" customWidth="1"/>
    <col min="1034" max="1034" width="28.7265625" style="294" bestFit="1" customWidth="1"/>
    <col min="1035" max="1036" width="9.1796875" style="294"/>
    <col min="1037" max="1037" width="13.26953125" style="294" customWidth="1"/>
    <col min="1038" max="1280" width="9.1796875" style="294"/>
    <col min="1281" max="1281" width="24.7265625" style="294" bestFit="1" customWidth="1"/>
    <col min="1282" max="1282" width="18.7265625" style="294" bestFit="1" customWidth="1"/>
    <col min="1283" max="1283" width="8.1796875" style="294" bestFit="1" customWidth="1"/>
    <col min="1284" max="1285" width="8.26953125" style="294" bestFit="1" customWidth="1"/>
    <col min="1286" max="1286" width="7.26953125" style="294" bestFit="1" customWidth="1"/>
    <col min="1287" max="1287" width="23.26953125" style="294" customWidth="1"/>
    <col min="1288" max="1288" width="17.1796875" style="294" bestFit="1" customWidth="1"/>
    <col min="1289" max="1289" width="23.26953125" style="294" customWidth="1"/>
    <col min="1290" max="1290" width="28.7265625" style="294" bestFit="1" customWidth="1"/>
    <col min="1291" max="1292" width="9.1796875" style="294"/>
    <col min="1293" max="1293" width="13.26953125" style="294" customWidth="1"/>
    <col min="1294" max="1536" width="9.1796875" style="294"/>
    <col min="1537" max="1537" width="24.7265625" style="294" bestFit="1" customWidth="1"/>
    <col min="1538" max="1538" width="18.7265625" style="294" bestFit="1" customWidth="1"/>
    <col min="1539" max="1539" width="8.1796875" style="294" bestFit="1" customWidth="1"/>
    <col min="1540" max="1541" width="8.26953125" style="294" bestFit="1" customWidth="1"/>
    <col min="1542" max="1542" width="7.26953125" style="294" bestFit="1" customWidth="1"/>
    <col min="1543" max="1543" width="23.26953125" style="294" customWidth="1"/>
    <col min="1544" max="1544" width="17.1796875" style="294" bestFit="1" customWidth="1"/>
    <col min="1545" max="1545" width="23.26953125" style="294" customWidth="1"/>
    <col min="1546" max="1546" width="28.7265625" style="294" bestFit="1" customWidth="1"/>
    <col min="1547" max="1548" width="9.1796875" style="294"/>
    <col min="1549" max="1549" width="13.26953125" style="294" customWidth="1"/>
    <col min="1550" max="1792" width="9.1796875" style="294"/>
    <col min="1793" max="1793" width="24.7265625" style="294" bestFit="1" customWidth="1"/>
    <col min="1794" max="1794" width="18.7265625" style="294" bestFit="1" customWidth="1"/>
    <col min="1795" max="1795" width="8.1796875" style="294" bestFit="1" customWidth="1"/>
    <col min="1796" max="1797" width="8.26953125" style="294" bestFit="1" customWidth="1"/>
    <col min="1798" max="1798" width="7.26953125" style="294" bestFit="1" customWidth="1"/>
    <col min="1799" max="1799" width="23.26953125" style="294" customWidth="1"/>
    <col min="1800" max="1800" width="17.1796875" style="294" bestFit="1" customWidth="1"/>
    <col min="1801" max="1801" width="23.26953125" style="294" customWidth="1"/>
    <col min="1802" max="1802" width="28.7265625" style="294" bestFit="1" customWidth="1"/>
    <col min="1803" max="1804" width="9.1796875" style="294"/>
    <col min="1805" max="1805" width="13.26953125" style="294" customWidth="1"/>
    <col min="1806" max="2048" width="9.1796875" style="294"/>
    <col min="2049" max="2049" width="24.7265625" style="294" bestFit="1" customWidth="1"/>
    <col min="2050" max="2050" width="18.7265625" style="294" bestFit="1" customWidth="1"/>
    <col min="2051" max="2051" width="8.1796875" style="294" bestFit="1" customWidth="1"/>
    <col min="2052" max="2053" width="8.26953125" style="294" bestFit="1" customWidth="1"/>
    <col min="2054" max="2054" width="7.26953125" style="294" bestFit="1" customWidth="1"/>
    <col min="2055" max="2055" width="23.26953125" style="294" customWidth="1"/>
    <col min="2056" max="2056" width="17.1796875" style="294" bestFit="1" customWidth="1"/>
    <col min="2057" max="2057" width="23.26953125" style="294" customWidth="1"/>
    <col min="2058" max="2058" width="28.7265625" style="294" bestFit="1" customWidth="1"/>
    <col min="2059" max="2060" width="9.1796875" style="294"/>
    <col min="2061" max="2061" width="13.26953125" style="294" customWidth="1"/>
    <col min="2062" max="2304" width="9.1796875" style="294"/>
    <col min="2305" max="2305" width="24.7265625" style="294" bestFit="1" customWidth="1"/>
    <col min="2306" max="2306" width="18.7265625" style="294" bestFit="1" customWidth="1"/>
    <col min="2307" max="2307" width="8.1796875" style="294" bestFit="1" customWidth="1"/>
    <col min="2308" max="2309" width="8.26953125" style="294" bestFit="1" customWidth="1"/>
    <col min="2310" max="2310" width="7.26953125" style="294" bestFit="1" customWidth="1"/>
    <col min="2311" max="2311" width="23.26953125" style="294" customWidth="1"/>
    <col min="2312" max="2312" width="17.1796875" style="294" bestFit="1" customWidth="1"/>
    <col min="2313" max="2313" width="23.26953125" style="294" customWidth="1"/>
    <col min="2314" max="2314" width="28.7265625" style="294" bestFit="1" customWidth="1"/>
    <col min="2315" max="2316" width="9.1796875" style="294"/>
    <col min="2317" max="2317" width="13.26953125" style="294" customWidth="1"/>
    <col min="2318" max="2560" width="9.1796875" style="294"/>
    <col min="2561" max="2561" width="24.7265625" style="294" bestFit="1" customWidth="1"/>
    <col min="2562" max="2562" width="18.7265625" style="294" bestFit="1" customWidth="1"/>
    <col min="2563" max="2563" width="8.1796875" style="294" bestFit="1" customWidth="1"/>
    <col min="2564" max="2565" width="8.26953125" style="294" bestFit="1" customWidth="1"/>
    <col min="2566" max="2566" width="7.26953125" style="294" bestFit="1" customWidth="1"/>
    <col min="2567" max="2567" width="23.26953125" style="294" customWidth="1"/>
    <col min="2568" max="2568" width="17.1796875" style="294" bestFit="1" customWidth="1"/>
    <col min="2569" max="2569" width="23.26953125" style="294" customWidth="1"/>
    <col min="2570" max="2570" width="28.7265625" style="294" bestFit="1" customWidth="1"/>
    <col min="2571" max="2572" width="9.1796875" style="294"/>
    <col min="2573" max="2573" width="13.26953125" style="294" customWidth="1"/>
    <col min="2574" max="2816" width="9.1796875" style="294"/>
    <col min="2817" max="2817" width="24.7265625" style="294" bestFit="1" customWidth="1"/>
    <col min="2818" max="2818" width="18.7265625" style="294" bestFit="1" customWidth="1"/>
    <col min="2819" max="2819" width="8.1796875" style="294" bestFit="1" customWidth="1"/>
    <col min="2820" max="2821" width="8.26953125" style="294" bestFit="1" customWidth="1"/>
    <col min="2822" max="2822" width="7.26953125" style="294" bestFit="1" customWidth="1"/>
    <col min="2823" max="2823" width="23.26953125" style="294" customWidth="1"/>
    <col min="2824" max="2824" width="17.1796875" style="294" bestFit="1" customWidth="1"/>
    <col min="2825" max="2825" width="23.26953125" style="294" customWidth="1"/>
    <col min="2826" max="2826" width="28.7265625" style="294" bestFit="1" customWidth="1"/>
    <col min="2827" max="2828" width="9.1796875" style="294"/>
    <col min="2829" max="2829" width="13.26953125" style="294" customWidth="1"/>
    <col min="2830" max="3072" width="9.1796875" style="294"/>
    <col min="3073" max="3073" width="24.7265625" style="294" bestFit="1" customWidth="1"/>
    <col min="3074" max="3074" width="18.7265625" style="294" bestFit="1" customWidth="1"/>
    <col min="3075" max="3075" width="8.1796875" style="294" bestFit="1" customWidth="1"/>
    <col min="3076" max="3077" width="8.26953125" style="294" bestFit="1" customWidth="1"/>
    <col min="3078" max="3078" width="7.26953125" style="294" bestFit="1" customWidth="1"/>
    <col min="3079" max="3079" width="23.26953125" style="294" customWidth="1"/>
    <col min="3080" max="3080" width="17.1796875" style="294" bestFit="1" customWidth="1"/>
    <col min="3081" max="3081" width="23.26953125" style="294" customWidth="1"/>
    <col min="3082" max="3082" width="28.7265625" style="294" bestFit="1" customWidth="1"/>
    <col min="3083" max="3084" width="9.1796875" style="294"/>
    <col min="3085" max="3085" width="13.26953125" style="294" customWidth="1"/>
    <col min="3086" max="3328" width="9.1796875" style="294"/>
    <col min="3329" max="3329" width="24.7265625" style="294" bestFit="1" customWidth="1"/>
    <col min="3330" max="3330" width="18.7265625" style="294" bestFit="1" customWidth="1"/>
    <col min="3331" max="3331" width="8.1796875" style="294" bestFit="1" customWidth="1"/>
    <col min="3332" max="3333" width="8.26953125" style="294" bestFit="1" customWidth="1"/>
    <col min="3334" max="3334" width="7.26953125" style="294" bestFit="1" customWidth="1"/>
    <col min="3335" max="3335" width="23.26953125" style="294" customWidth="1"/>
    <col min="3336" max="3336" width="17.1796875" style="294" bestFit="1" customWidth="1"/>
    <col min="3337" max="3337" width="23.26953125" style="294" customWidth="1"/>
    <col min="3338" max="3338" width="28.7265625" style="294" bestFit="1" customWidth="1"/>
    <col min="3339" max="3340" width="9.1796875" style="294"/>
    <col min="3341" max="3341" width="13.26953125" style="294" customWidth="1"/>
    <col min="3342" max="3584" width="9.1796875" style="294"/>
    <col min="3585" max="3585" width="24.7265625" style="294" bestFit="1" customWidth="1"/>
    <col min="3586" max="3586" width="18.7265625" style="294" bestFit="1" customWidth="1"/>
    <col min="3587" max="3587" width="8.1796875" style="294" bestFit="1" customWidth="1"/>
    <col min="3588" max="3589" width="8.26953125" style="294" bestFit="1" customWidth="1"/>
    <col min="3590" max="3590" width="7.26953125" style="294" bestFit="1" customWidth="1"/>
    <col min="3591" max="3591" width="23.26953125" style="294" customWidth="1"/>
    <col min="3592" max="3592" width="17.1796875" style="294" bestFit="1" customWidth="1"/>
    <col min="3593" max="3593" width="23.26953125" style="294" customWidth="1"/>
    <col min="3594" max="3594" width="28.7265625" style="294" bestFit="1" customWidth="1"/>
    <col min="3595" max="3596" width="9.1796875" style="294"/>
    <col min="3597" max="3597" width="13.26953125" style="294" customWidth="1"/>
    <col min="3598" max="3840" width="9.1796875" style="294"/>
    <col min="3841" max="3841" width="24.7265625" style="294" bestFit="1" customWidth="1"/>
    <col min="3842" max="3842" width="18.7265625" style="294" bestFit="1" customWidth="1"/>
    <col min="3843" max="3843" width="8.1796875" style="294" bestFit="1" customWidth="1"/>
    <col min="3844" max="3845" width="8.26953125" style="294" bestFit="1" customWidth="1"/>
    <col min="3846" max="3846" width="7.26953125" style="294" bestFit="1" customWidth="1"/>
    <col min="3847" max="3847" width="23.26953125" style="294" customWidth="1"/>
    <col min="3848" max="3848" width="17.1796875" style="294" bestFit="1" customWidth="1"/>
    <col min="3849" max="3849" width="23.26953125" style="294" customWidth="1"/>
    <col min="3850" max="3850" width="28.7265625" style="294" bestFit="1" customWidth="1"/>
    <col min="3851" max="3852" width="9.1796875" style="294"/>
    <col min="3853" max="3853" width="13.26953125" style="294" customWidth="1"/>
    <col min="3854" max="4096" width="9.1796875" style="294"/>
    <col min="4097" max="4097" width="24.7265625" style="294" bestFit="1" customWidth="1"/>
    <col min="4098" max="4098" width="18.7265625" style="294" bestFit="1" customWidth="1"/>
    <col min="4099" max="4099" width="8.1796875" style="294" bestFit="1" customWidth="1"/>
    <col min="4100" max="4101" width="8.26953125" style="294" bestFit="1" customWidth="1"/>
    <col min="4102" max="4102" width="7.26953125" style="294" bestFit="1" customWidth="1"/>
    <col min="4103" max="4103" width="23.26953125" style="294" customWidth="1"/>
    <col min="4104" max="4104" width="17.1796875" style="294" bestFit="1" customWidth="1"/>
    <col min="4105" max="4105" width="23.26953125" style="294" customWidth="1"/>
    <col min="4106" max="4106" width="28.7265625" style="294" bestFit="1" customWidth="1"/>
    <col min="4107" max="4108" width="9.1796875" style="294"/>
    <col min="4109" max="4109" width="13.26953125" style="294" customWidth="1"/>
    <col min="4110" max="4352" width="9.1796875" style="294"/>
    <col min="4353" max="4353" width="24.7265625" style="294" bestFit="1" customWidth="1"/>
    <col min="4354" max="4354" width="18.7265625" style="294" bestFit="1" customWidth="1"/>
    <col min="4355" max="4355" width="8.1796875" style="294" bestFit="1" customWidth="1"/>
    <col min="4356" max="4357" width="8.26953125" style="294" bestFit="1" customWidth="1"/>
    <col min="4358" max="4358" width="7.26953125" style="294" bestFit="1" customWidth="1"/>
    <col min="4359" max="4359" width="23.26953125" style="294" customWidth="1"/>
    <col min="4360" max="4360" width="17.1796875" style="294" bestFit="1" customWidth="1"/>
    <col min="4361" max="4361" width="23.26953125" style="294" customWidth="1"/>
    <col min="4362" max="4362" width="28.7265625" style="294" bestFit="1" customWidth="1"/>
    <col min="4363" max="4364" width="9.1796875" style="294"/>
    <col min="4365" max="4365" width="13.26953125" style="294" customWidth="1"/>
    <col min="4366" max="4608" width="9.1796875" style="294"/>
    <col min="4609" max="4609" width="24.7265625" style="294" bestFit="1" customWidth="1"/>
    <col min="4610" max="4610" width="18.7265625" style="294" bestFit="1" customWidth="1"/>
    <col min="4611" max="4611" width="8.1796875" style="294" bestFit="1" customWidth="1"/>
    <col min="4612" max="4613" width="8.26953125" style="294" bestFit="1" customWidth="1"/>
    <col min="4614" max="4614" width="7.26953125" style="294" bestFit="1" customWidth="1"/>
    <col min="4615" max="4615" width="23.26953125" style="294" customWidth="1"/>
    <col min="4616" max="4616" width="17.1796875" style="294" bestFit="1" customWidth="1"/>
    <col min="4617" max="4617" width="23.26953125" style="294" customWidth="1"/>
    <col min="4618" max="4618" width="28.7265625" style="294" bestFit="1" customWidth="1"/>
    <col min="4619" max="4620" width="9.1796875" style="294"/>
    <col min="4621" max="4621" width="13.26953125" style="294" customWidth="1"/>
    <col min="4622" max="4864" width="9.1796875" style="294"/>
    <col min="4865" max="4865" width="24.7265625" style="294" bestFit="1" customWidth="1"/>
    <col min="4866" max="4866" width="18.7265625" style="294" bestFit="1" customWidth="1"/>
    <col min="4867" max="4867" width="8.1796875" style="294" bestFit="1" customWidth="1"/>
    <col min="4868" max="4869" width="8.26953125" style="294" bestFit="1" customWidth="1"/>
    <col min="4870" max="4870" width="7.26953125" style="294" bestFit="1" customWidth="1"/>
    <col min="4871" max="4871" width="23.26953125" style="294" customWidth="1"/>
    <col min="4872" max="4872" width="17.1796875" style="294" bestFit="1" customWidth="1"/>
    <col min="4873" max="4873" width="23.26953125" style="294" customWidth="1"/>
    <col min="4874" max="4874" width="28.7265625" style="294" bestFit="1" customWidth="1"/>
    <col min="4875" max="4876" width="9.1796875" style="294"/>
    <col min="4877" max="4877" width="13.26953125" style="294" customWidth="1"/>
    <col min="4878" max="5120" width="9.1796875" style="294"/>
    <col min="5121" max="5121" width="24.7265625" style="294" bestFit="1" customWidth="1"/>
    <col min="5122" max="5122" width="18.7265625" style="294" bestFit="1" customWidth="1"/>
    <col min="5123" max="5123" width="8.1796875" style="294" bestFit="1" customWidth="1"/>
    <col min="5124" max="5125" width="8.26953125" style="294" bestFit="1" customWidth="1"/>
    <col min="5126" max="5126" width="7.26953125" style="294" bestFit="1" customWidth="1"/>
    <col min="5127" max="5127" width="23.26953125" style="294" customWidth="1"/>
    <col min="5128" max="5128" width="17.1796875" style="294" bestFit="1" customWidth="1"/>
    <col min="5129" max="5129" width="23.26953125" style="294" customWidth="1"/>
    <col min="5130" max="5130" width="28.7265625" style="294" bestFit="1" customWidth="1"/>
    <col min="5131" max="5132" width="9.1796875" style="294"/>
    <col min="5133" max="5133" width="13.26953125" style="294" customWidth="1"/>
    <col min="5134" max="5376" width="9.1796875" style="294"/>
    <col min="5377" max="5377" width="24.7265625" style="294" bestFit="1" customWidth="1"/>
    <col min="5378" max="5378" width="18.7265625" style="294" bestFit="1" customWidth="1"/>
    <col min="5379" max="5379" width="8.1796875" style="294" bestFit="1" customWidth="1"/>
    <col min="5380" max="5381" width="8.26953125" style="294" bestFit="1" customWidth="1"/>
    <col min="5382" max="5382" width="7.26953125" style="294" bestFit="1" customWidth="1"/>
    <col min="5383" max="5383" width="23.26953125" style="294" customWidth="1"/>
    <col min="5384" max="5384" width="17.1796875" style="294" bestFit="1" customWidth="1"/>
    <col min="5385" max="5385" width="23.26953125" style="294" customWidth="1"/>
    <col min="5386" max="5386" width="28.7265625" style="294" bestFit="1" customWidth="1"/>
    <col min="5387" max="5388" width="9.1796875" style="294"/>
    <col min="5389" max="5389" width="13.26953125" style="294" customWidth="1"/>
    <col min="5390" max="5632" width="9.1796875" style="294"/>
    <col min="5633" max="5633" width="24.7265625" style="294" bestFit="1" customWidth="1"/>
    <col min="5634" max="5634" width="18.7265625" style="294" bestFit="1" customWidth="1"/>
    <col min="5635" max="5635" width="8.1796875" style="294" bestFit="1" customWidth="1"/>
    <col min="5636" max="5637" width="8.26953125" style="294" bestFit="1" customWidth="1"/>
    <col min="5638" max="5638" width="7.26953125" style="294" bestFit="1" customWidth="1"/>
    <col min="5639" max="5639" width="23.26953125" style="294" customWidth="1"/>
    <col min="5640" max="5640" width="17.1796875" style="294" bestFit="1" customWidth="1"/>
    <col min="5641" max="5641" width="23.26953125" style="294" customWidth="1"/>
    <col min="5642" max="5642" width="28.7265625" style="294" bestFit="1" customWidth="1"/>
    <col min="5643" max="5644" width="9.1796875" style="294"/>
    <col min="5645" max="5645" width="13.26953125" style="294" customWidth="1"/>
    <col min="5646" max="5888" width="9.1796875" style="294"/>
    <col min="5889" max="5889" width="24.7265625" style="294" bestFit="1" customWidth="1"/>
    <col min="5890" max="5890" width="18.7265625" style="294" bestFit="1" customWidth="1"/>
    <col min="5891" max="5891" width="8.1796875" style="294" bestFit="1" customWidth="1"/>
    <col min="5892" max="5893" width="8.26953125" style="294" bestFit="1" customWidth="1"/>
    <col min="5894" max="5894" width="7.26953125" style="294" bestFit="1" customWidth="1"/>
    <col min="5895" max="5895" width="23.26953125" style="294" customWidth="1"/>
    <col min="5896" max="5896" width="17.1796875" style="294" bestFit="1" customWidth="1"/>
    <col min="5897" max="5897" width="23.26953125" style="294" customWidth="1"/>
    <col min="5898" max="5898" width="28.7265625" style="294" bestFit="1" customWidth="1"/>
    <col min="5899" max="5900" width="9.1796875" style="294"/>
    <col min="5901" max="5901" width="13.26953125" style="294" customWidth="1"/>
    <col min="5902" max="6144" width="9.1796875" style="294"/>
    <col min="6145" max="6145" width="24.7265625" style="294" bestFit="1" customWidth="1"/>
    <col min="6146" max="6146" width="18.7265625" style="294" bestFit="1" customWidth="1"/>
    <col min="6147" max="6147" width="8.1796875" style="294" bestFit="1" customWidth="1"/>
    <col min="6148" max="6149" width="8.26953125" style="294" bestFit="1" customWidth="1"/>
    <col min="6150" max="6150" width="7.26953125" style="294" bestFit="1" customWidth="1"/>
    <col min="6151" max="6151" width="23.26953125" style="294" customWidth="1"/>
    <col min="6152" max="6152" width="17.1796875" style="294" bestFit="1" customWidth="1"/>
    <col min="6153" max="6153" width="23.26953125" style="294" customWidth="1"/>
    <col min="6154" max="6154" width="28.7265625" style="294" bestFit="1" customWidth="1"/>
    <col min="6155" max="6156" width="9.1796875" style="294"/>
    <col min="6157" max="6157" width="13.26953125" style="294" customWidth="1"/>
    <col min="6158" max="6400" width="9.1796875" style="294"/>
    <col min="6401" max="6401" width="24.7265625" style="294" bestFit="1" customWidth="1"/>
    <col min="6402" max="6402" width="18.7265625" style="294" bestFit="1" customWidth="1"/>
    <col min="6403" max="6403" width="8.1796875" style="294" bestFit="1" customWidth="1"/>
    <col min="6404" max="6405" width="8.26953125" style="294" bestFit="1" customWidth="1"/>
    <col min="6406" max="6406" width="7.26953125" style="294" bestFit="1" customWidth="1"/>
    <col min="6407" max="6407" width="23.26953125" style="294" customWidth="1"/>
    <col min="6408" max="6408" width="17.1796875" style="294" bestFit="1" customWidth="1"/>
    <col min="6409" max="6409" width="23.26953125" style="294" customWidth="1"/>
    <col min="6410" max="6410" width="28.7265625" style="294" bestFit="1" customWidth="1"/>
    <col min="6411" max="6412" width="9.1796875" style="294"/>
    <col min="6413" max="6413" width="13.26953125" style="294" customWidth="1"/>
    <col min="6414" max="6656" width="9.1796875" style="294"/>
    <col min="6657" max="6657" width="24.7265625" style="294" bestFit="1" customWidth="1"/>
    <col min="6658" max="6658" width="18.7265625" style="294" bestFit="1" customWidth="1"/>
    <col min="6659" max="6659" width="8.1796875" style="294" bestFit="1" customWidth="1"/>
    <col min="6660" max="6661" width="8.26953125" style="294" bestFit="1" customWidth="1"/>
    <col min="6662" max="6662" width="7.26953125" style="294" bestFit="1" customWidth="1"/>
    <col min="6663" max="6663" width="23.26953125" style="294" customWidth="1"/>
    <col min="6664" max="6664" width="17.1796875" style="294" bestFit="1" customWidth="1"/>
    <col min="6665" max="6665" width="23.26953125" style="294" customWidth="1"/>
    <col min="6666" max="6666" width="28.7265625" style="294" bestFit="1" customWidth="1"/>
    <col min="6667" max="6668" width="9.1796875" style="294"/>
    <col min="6669" max="6669" width="13.26953125" style="294" customWidth="1"/>
    <col min="6670" max="6912" width="9.1796875" style="294"/>
    <col min="6913" max="6913" width="24.7265625" style="294" bestFit="1" customWidth="1"/>
    <col min="6914" max="6914" width="18.7265625" style="294" bestFit="1" customWidth="1"/>
    <col min="6915" max="6915" width="8.1796875" style="294" bestFit="1" customWidth="1"/>
    <col min="6916" max="6917" width="8.26953125" style="294" bestFit="1" customWidth="1"/>
    <col min="6918" max="6918" width="7.26953125" style="294" bestFit="1" customWidth="1"/>
    <col min="6919" max="6919" width="23.26953125" style="294" customWidth="1"/>
    <col min="6920" max="6920" width="17.1796875" style="294" bestFit="1" customWidth="1"/>
    <col min="6921" max="6921" width="23.26953125" style="294" customWidth="1"/>
    <col min="6922" max="6922" width="28.7265625" style="294" bestFit="1" customWidth="1"/>
    <col min="6923" max="6924" width="9.1796875" style="294"/>
    <col min="6925" max="6925" width="13.26953125" style="294" customWidth="1"/>
    <col min="6926" max="7168" width="9.1796875" style="294"/>
    <col min="7169" max="7169" width="24.7265625" style="294" bestFit="1" customWidth="1"/>
    <col min="7170" max="7170" width="18.7265625" style="294" bestFit="1" customWidth="1"/>
    <col min="7171" max="7171" width="8.1796875" style="294" bestFit="1" customWidth="1"/>
    <col min="7172" max="7173" width="8.26953125" style="294" bestFit="1" customWidth="1"/>
    <col min="7174" max="7174" width="7.26953125" style="294" bestFit="1" customWidth="1"/>
    <col min="7175" max="7175" width="23.26953125" style="294" customWidth="1"/>
    <col min="7176" max="7176" width="17.1796875" style="294" bestFit="1" customWidth="1"/>
    <col min="7177" max="7177" width="23.26953125" style="294" customWidth="1"/>
    <col min="7178" max="7178" width="28.7265625" style="294" bestFit="1" customWidth="1"/>
    <col min="7179" max="7180" width="9.1796875" style="294"/>
    <col min="7181" max="7181" width="13.26953125" style="294" customWidth="1"/>
    <col min="7182" max="7424" width="9.1796875" style="294"/>
    <col min="7425" max="7425" width="24.7265625" style="294" bestFit="1" customWidth="1"/>
    <col min="7426" max="7426" width="18.7265625" style="294" bestFit="1" customWidth="1"/>
    <col min="7427" max="7427" width="8.1796875" style="294" bestFit="1" customWidth="1"/>
    <col min="7428" max="7429" width="8.26953125" style="294" bestFit="1" customWidth="1"/>
    <col min="7430" max="7430" width="7.26953125" style="294" bestFit="1" customWidth="1"/>
    <col min="7431" max="7431" width="23.26953125" style="294" customWidth="1"/>
    <col min="7432" max="7432" width="17.1796875" style="294" bestFit="1" customWidth="1"/>
    <col min="7433" max="7433" width="23.26953125" style="294" customWidth="1"/>
    <col min="7434" max="7434" width="28.7265625" style="294" bestFit="1" customWidth="1"/>
    <col min="7435" max="7436" width="9.1796875" style="294"/>
    <col min="7437" max="7437" width="13.26953125" style="294" customWidth="1"/>
    <col min="7438" max="7680" width="9.1796875" style="294"/>
    <col min="7681" max="7681" width="24.7265625" style="294" bestFit="1" customWidth="1"/>
    <col min="7682" max="7682" width="18.7265625" style="294" bestFit="1" customWidth="1"/>
    <col min="7683" max="7683" width="8.1796875" style="294" bestFit="1" customWidth="1"/>
    <col min="7684" max="7685" width="8.26953125" style="294" bestFit="1" customWidth="1"/>
    <col min="7686" max="7686" width="7.26953125" style="294" bestFit="1" customWidth="1"/>
    <col min="7687" max="7687" width="23.26953125" style="294" customWidth="1"/>
    <col min="7688" max="7688" width="17.1796875" style="294" bestFit="1" customWidth="1"/>
    <col min="7689" max="7689" width="23.26953125" style="294" customWidth="1"/>
    <col min="7690" max="7690" width="28.7265625" style="294" bestFit="1" customWidth="1"/>
    <col min="7691" max="7692" width="9.1796875" style="294"/>
    <col min="7693" max="7693" width="13.26953125" style="294" customWidth="1"/>
    <col min="7694" max="7936" width="9.1796875" style="294"/>
    <col min="7937" max="7937" width="24.7265625" style="294" bestFit="1" customWidth="1"/>
    <col min="7938" max="7938" width="18.7265625" style="294" bestFit="1" customWidth="1"/>
    <col min="7939" max="7939" width="8.1796875" style="294" bestFit="1" customWidth="1"/>
    <col min="7940" max="7941" width="8.26953125" style="294" bestFit="1" customWidth="1"/>
    <col min="7942" max="7942" width="7.26953125" style="294" bestFit="1" customWidth="1"/>
    <col min="7943" max="7943" width="23.26953125" style="294" customWidth="1"/>
    <col min="7944" max="7944" width="17.1796875" style="294" bestFit="1" customWidth="1"/>
    <col min="7945" max="7945" width="23.26953125" style="294" customWidth="1"/>
    <col min="7946" max="7946" width="28.7265625" style="294" bestFit="1" customWidth="1"/>
    <col min="7947" max="7948" width="9.1796875" style="294"/>
    <col min="7949" max="7949" width="13.26953125" style="294" customWidth="1"/>
    <col min="7950" max="8192" width="9.1796875" style="294"/>
    <col min="8193" max="8193" width="24.7265625" style="294" bestFit="1" customWidth="1"/>
    <col min="8194" max="8194" width="18.7265625" style="294" bestFit="1" customWidth="1"/>
    <col min="8195" max="8195" width="8.1796875" style="294" bestFit="1" customWidth="1"/>
    <col min="8196" max="8197" width="8.26953125" style="294" bestFit="1" customWidth="1"/>
    <col min="8198" max="8198" width="7.26953125" style="294" bestFit="1" customWidth="1"/>
    <col min="8199" max="8199" width="23.26953125" style="294" customWidth="1"/>
    <col min="8200" max="8200" width="17.1796875" style="294" bestFit="1" customWidth="1"/>
    <col min="8201" max="8201" width="23.26953125" style="294" customWidth="1"/>
    <col min="8202" max="8202" width="28.7265625" style="294" bestFit="1" customWidth="1"/>
    <col min="8203" max="8204" width="9.1796875" style="294"/>
    <col min="8205" max="8205" width="13.26953125" style="294" customWidth="1"/>
    <col min="8206" max="8448" width="9.1796875" style="294"/>
    <col min="8449" max="8449" width="24.7265625" style="294" bestFit="1" customWidth="1"/>
    <col min="8450" max="8450" width="18.7265625" style="294" bestFit="1" customWidth="1"/>
    <col min="8451" max="8451" width="8.1796875" style="294" bestFit="1" customWidth="1"/>
    <col min="8452" max="8453" width="8.26953125" style="294" bestFit="1" customWidth="1"/>
    <col min="8454" max="8454" width="7.26953125" style="294" bestFit="1" customWidth="1"/>
    <col min="8455" max="8455" width="23.26953125" style="294" customWidth="1"/>
    <col min="8456" max="8456" width="17.1796875" style="294" bestFit="1" customWidth="1"/>
    <col min="8457" max="8457" width="23.26953125" style="294" customWidth="1"/>
    <col min="8458" max="8458" width="28.7265625" style="294" bestFit="1" customWidth="1"/>
    <col min="8459" max="8460" width="9.1796875" style="294"/>
    <col min="8461" max="8461" width="13.26953125" style="294" customWidth="1"/>
    <col min="8462" max="8704" width="9.1796875" style="294"/>
    <col min="8705" max="8705" width="24.7265625" style="294" bestFit="1" customWidth="1"/>
    <col min="8706" max="8706" width="18.7265625" style="294" bestFit="1" customWidth="1"/>
    <col min="8707" max="8707" width="8.1796875" style="294" bestFit="1" customWidth="1"/>
    <col min="8708" max="8709" width="8.26953125" style="294" bestFit="1" customWidth="1"/>
    <col min="8710" max="8710" width="7.26953125" style="294" bestFit="1" customWidth="1"/>
    <col min="8711" max="8711" width="23.26953125" style="294" customWidth="1"/>
    <col min="8712" max="8712" width="17.1796875" style="294" bestFit="1" customWidth="1"/>
    <col min="8713" max="8713" width="23.26953125" style="294" customWidth="1"/>
    <col min="8714" max="8714" width="28.7265625" style="294" bestFit="1" customWidth="1"/>
    <col min="8715" max="8716" width="9.1796875" style="294"/>
    <col min="8717" max="8717" width="13.26953125" style="294" customWidth="1"/>
    <col min="8718" max="8960" width="9.1796875" style="294"/>
    <col min="8961" max="8961" width="24.7265625" style="294" bestFit="1" customWidth="1"/>
    <col min="8962" max="8962" width="18.7265625" style="294" bestFit="1" customWidth="1"/>
    <col min="8963" max="8963" width="8.1796875" style="294" bestFit="1" customWidth="1"/>
    <col min="8964" max="8965" width="8.26953125" style="294" bestFit="1" customWidth="1"/>
    <col min="8966" max="8966" width="7.26953125" style="294" bestFit="1" customWidth="1"/>
    <col min="8967" max="8967" width="23.26953125" style="294" customWidth="1"/>
    <col min="8968" max="8968" width="17.1796875" style="294" bestFit="1" customWidth="1"/>
    <col min="8969" max="8969" width="23.26953125" style="294" customWidth="1"/>
    <col min="8970" max="8970" width="28.7265625" style="294" bestFit="1" customWidth="1"/>
    <col min="8971" max="8972" width="9.1796875" style="294"/>
    <col min="8973" max="8973" width="13.26953125" style="294" customWidth="1"/>
    <col min="8974" max="9216" width="9.1796875" style="294"/>
    <col min="9217" max="9217" width="24.7265625" style="294" bestFit="1" customWidth="1"/>
    <col min="9218" max="9218" width="18.7265625" style="294" bestFit="1" customWidth="1"/>
    <col min="9219" max="9219" width="8.1796875" style="294" bestFit="1" customWidth="1"/>
    <col min="9220" max="9221" width="8.26953125" style="294" bestFit="1" customWidth="1"/>
    <col min="9222" max="9222" width="7.26953125" style="294" bestFit="1" customWidth="1"/>
    <col min="9223" max="9223" width="23.26953125" style="294" customWidth="1"/>
    <col min="9224" max="9224" width="17.1796875" style="294" bestFit="1" customWidth="1"/>
    <col min="9225" max="9225" width="23.26953125" style="294" customWidth="1"/>
    <col min="9226" max="9226" width="28.7265625" style="294" bestFit="1" customWidth="1"/>
    <col min="9227" max="9228" width="9.1796875" style="294"/>
    <col min="9229" max="9229" width="13.26953125" style="294" customWidth="1"/>
    <col min="9230" max="9472" width="9.1796875" style="294"/>
    <col min="9473" max="9473" width="24.7265625" style="294" bestFit="1" customWidth="1"/>
    <col min="9474" max="9474" width="18.7265625" style="294" bestFit="1" customWidth="1"/>
    <col min="9475" max="9475" width="8.1796875" style="294" bestFit="1" customWidth="1"/>
    <col min="9476" max="9477" width="8.26953125" style="294" bestFit="1" customWidth="1"/>
    <col min="9478" max="9478" width="7.26953125" style="294" bestFit="1" customWidth="1"/>
    <col min="9479" max="9479" width="23.26953125" style="294" customWidth="1"/>
    <col min="9480" max="9480" width="17.1796875" style="294" bestFit="1" customWidth="1"/>
    <col min="9481" max="9481" width="23.26953125" style="294" customWidth="1"/>
    <col min="9482" max="9482" width="28.7265625" style="294" bestFit="1" customWidth="1"/>
    <col min="9483" max="9484" width="9.1796875" style="294"/>
    <col min="9485" max="9485" width="13.26953125" style="294" customWidth="1"/>
    <col min="9486" max="9728" width="9.1796875" style="294"/>
    <col min="9729" max="9729" width="24.7265625" style="294" bestFit="1" customWidth="1"/>
    <col min="9730" max="9730" width="18.7265625" style="294" bestFit="1" customWidth="1"/>
    <col min="9731" max="9731" width="8.1796875" style="294" bestFit="1" customWidth="1"/>
    <col min="9732" max="9733" width="8.26953125" style="294" bestFit="1" customWidth="1"/>
    <col min="9734" max="9734" width="7.26953125" style="294" bestFit="1" customWidth="1"/>
    <col min="9735" max="9735" width="23.26953125" style="294" customWidth="1"/>
    <col min="9736" max="9736" width="17.1796875" style="294" bestFit="1" customWidth="1"/>
    <col min="9737" max="9737" width="23.26953125" style="294" customWidth="1"/>
    <col min="9738" max="9738" width="28.7265625" style="294" bestFit="1" customWidth="1"/>
    <col min="9739" max="9740" width="9.1796875" style="294"/>
    <col min="9741" max="9741" width="13.26953125" style="294" customWidth="1"/>
    <col min="9742" max="9984" width="9.1796875" style="294"/>
    <col min="9985" max="9985" width="24.7265625" style="294" bestFit="1" customWidth="1"/>
    <col min="9986" max="9986" width="18.7265625" style="294" bestFit="1" customWidth="1"/>
    <col min="9987" max="9987" width="8.1796875" style="294" bestFit="1" customWidth="1"/>
    <col min="9988" max="9989" width="8.26953125" style="294" bestFit="1" customWidth="1"/>
    <col min="9990" max="9990" width="7.26953125" style="294" bestFit="1" customWidth="1"/>
    <col min="9991" max="9991" width="23.26953125" style="294" customWidth="1"/>
    <col min="9992" max="9992" width="17.1796875" style="294" bestFit="1" customWidth="1"/>
    <col min="9993" max="9993" width="23.26953125" style="294" customWidth="1"/>
    <col min="9994" max="9994" width="28.7265625" style="294" bestFit="1" customWidth="1"/>
    <col min="9995" max="9996" width="9.1796875" style="294"/>
    <col min="9997" max="9997" width="13.26953125" style="294" customWidth="1"/>
    <col min="9998" max="10240" width="9.1796875" style="294"/>
    <col min="10241" max="10241" width="24.7265625" style="294" bestFit="1" customWidth="1"/>
    <col min="10242" max="10242" width="18.7265625" style="294" bestFit="1" customWidth="1"/>
    <col min="10243" max="10243" width="8.1796875" style="294" bestFit="1" customWidth="1"/>
    <col min="10244" max="10245" width="8.26953125" style="294" bestFit="1" customWidth="1"/>
    <col min="10246" max="10246" width="7.26953125" style="294" bestFit="1" customWidth="1"/>
    <col min="10247" max="10247" width="23.26953125" style="294" customWidth="1"/>
    <col min="10248" max="10248" width="17.1796875" style="294" bestFit="1" customWidth="1"/>
    <col min="10249" max="10249" width="23.26953125" style="294" customWidth="1"/>
    <col min="10250" max="10250" width="28.7265625" style="294" bestFit="1" customWidth="1"/>
    <col min="10251" max="10252" width="9.1796875" style="294"/>
    <col min="10253" max="10253" width="13.26953125" style="294" customWidth="1"/>
    <col min="10254" max="10496" width="9.1796875" style="294"/>
    <col min="10497" max="10497" width="24.7265625" style="294" bestFit="1" customWidth="1"/>
    <col min="10498" max="10498" width="18.7265625" style="294" bestFit="1" customWidth="1"/>
    <col min="10499" max="10499" width="8.1796875" style="294" bestFit="1" customWidth="1"/>
    <col min="10500" max="10501" width="8.26953125" style="294" bestFit="1" customWidth="1"/>
    <col min="10502" max="10502" width="7.26953125" style="294" bestFit="1" customWidth="1"/>
    <col min="10503" max="10503" width="23.26953125" style="294" customWidth="1"/>
    <col min="10504" max="10504" width="17.1796875" style="294" bestFit="1" customWidth="1"/>
    <col min="10505" max="10505" width="23.26953125" style="294" customWidth="1"/>
    <col min="10506" max="10506" width="28.7265625" style="294" bestFit="1" customWidth="1"/>
    <col min="10507" max="10508" width="9.1796875" style="294"/>
    <col min="10509" max="10509" width="13.26953125" style="294" customWidth="1"/>
    <col min="10510" max="10752" width="9.1796875" style="294"/>
    <col min="10753" max="10753" width="24.7265625" style="294" bestFit="1" customWidth="1"/>
    <col min="10754" max="10754" width="18.7265625" style="294" bestFit="1" customWidth="1"/>
    <col min="10755" max="10755" width="8.1796875" style="294" bestFit="1" customWidth="1"/>
    <col min="10756" max="10757" width="8.26953125" style="294" bestFit="1" customWidth="1"/>
    <col min="10758" max="10758" width="7.26953125" style="294" bestFit="1" customWidth="1"/>
    <col min="10759" max="10759" width="23.26953125" style="294" customWidth="1"/>
    <col min="10760" max="10760" width="17.1796875" style="294" bestFit="1" customWidth="1"/>
    <col min="10761" max="10761" width="23.26953125" style="294" customWidth="1"/>
    <col min="10762" max="10762" width="28.7265625" style="294" bestFit="1" customWidth="1"/>
    <col min="10763" max="10764" width="9.1796875" style="294"/>
    <col min="10765" max="10765" width="13.26953125" style="294" customWidth="1"/>
    <col min="10766" max="11008" width="9.1796875" style="294"/>
    <col min="11009" max="11009" width="24.7265625" style="294" bestFit="1" customWidth="1"/>
    <col min="11010" max="11010" width="18.7265625" style="294" bestFit="1" customWidth="1"/>
    <col min="11011" max="11011" width="8.1796875" style="294" bestFit="1" customWidth="1"/>
    <col min="11012" max="11013" width="8.26953125" style="294" bestFit="1" customWidth="1"/>
    <col min="11014" max="11014" width="7.26953125" style="294" bestFit="1" customWidth="1"/>
    <col min="11015" max="11015" width="23.26953125" style="294" customWidth="1"/>
    <col min="11016" max="11016" width="17.1796875" style="294" bestFit="1" customWidth="1"/>
    <col min="11017" max="11017" width="23.26953125" style="294" customWidth="1"/>
    <col min="11018" max="11018" width="28.7265625" style="294" bestFit="1" customWidth="1"/>
    <col min="11019" max="11020" width="9.1796875" style="294"/>
    <col min="11021" max="11021" width="13.26953125" style="294" customWidth="1"/>
    <col min="11022" max="11264" width="9.1796875" style="294"/>
    <col min="11265" max="11265" width="24.7265625" style="294" bestFit="1" customWidth="1"/>
    <col min="11266" max="11266" width="18.7265625" style="294" bestFit="1" customWidth="1"/>
    <col min="11267" max="11267" width="8.1796875" style="294" bestFit="1" customWidth="1"/>
    <col min="11268" max="11269" width="8.26953125" style="294" bestFit="1" customWidth="1"/>
    <col min="11270" max="11270" width="7.26953125" style="294" bestFit="1" customWidth="1"/>
    <col min="11271" max="11271" width="23.26953125" style="294" customWidth="1"/>
    <col min="11272" max="11272" width="17.1796875" style="294" bestFit="1" customWidth="1"/>
    <col min="11273" max="11273" width="23.26953125" style="294" customWidth="1"/>
    <col min="11274" max="11274" width="28.7265625" style="294" bestFit="1" customWidth="1"/>
    <col min="11275" max="11276" width="9.1796875" style="294"/>
    <col min="11277" max="11277" width="13.26953125" style="294" customWidth="1"/>
    <col min="11278" max="11520" width="9.1796875" style="294"/>
    <col min="11521" max="11521" width="24.7265625" style="294" bestFit="1" customWidth="1"/>
    <col min="11522" max="11522" width="18.7265625" style="294" bestFit="1" customWidth="1"/>
    <col min="11523" max="11523" width="8.1796875" style="294" bestFit="1" customWidth="1"/>
    <col min="11524" max="11525" width="8.26953125" style="294" bestFit="1" customWidth="1"/>
    <col min="11526" max="11526" width="7.26953125" style="294" bestFit="1" customWidth="1"/>
    <col min="11527" max="11527" width="23.26953125" style="294" customWidth="1"/>
    <col min="11528" max="11528" width="17.1796875" style="294" bestFit="1" customWidth="1"/>
    <col min="11529" max="11529" width="23.26953125" style="294" customWidth="1"/>
    <col min="11530" max="11530" width="28.7265625" style="294" bestFit="1" customWidth="1"/>
    <col min="11531" max="11532" width="9.1796875" style="294"/>
    <col min="11533" max="11533" width="13.26953125" style="294" customWidth="1"/>
    <col min="11534" max="11776" width="9.1796875" style="294"/>
    <col min="11777" max="11777" width="24.7265625" style="294" bestFit="1" customWidth="1"/>
    <col min="11778" max="11778" width="18.7265625" style="294" bestFit="1" customWidth="1"/>
    <col min="11779" max="11779" width="8.1796875" style="294" bestFit="1" customWidth="1"/>
    <col min="11780" max="11781" width="8.26953125" style="294" bestFit="1" customWidth="1"/>
    <col min="11782" max="11782" width="7.26953125" style="294" bestFit="1" customWidth="1"/>
    <col min="11783" max="11783" width="23.26953125" style="294" customWidth="1"/>
    <col min="11784" max="11784" width="17.1796875" style="294" bestFit="1" customWidth="1"/>
    <col min="11785" max="11785" width="23.26953125" style="294" customWidth="1"/>
    <col min="11786" max="11786" width="28.7265625" style="294" bestFit="1" customWidth="1"/>
    <col min="11787" max="11788" width="9.1796875" style="294"/>
    <col min="11789" max="11789" width="13.26953125" style="294" customWidth="1"/>
    <col min="11790" max="12032" width="9.1796875" style="294"/>
    <col min="12033" max="12033" width="24.7265625" style="294" bestFit="1" customWidth="1"/>
    <col min="12034" max="12034" width="18.7265625" style="294" bestFit="1" customWidth="1"/>
    <col min="12035" max="12035" width="8.1796875" style="294" bestFit="1" customWidth="1"/>
    <col min="12036" max="12037" width="8.26953125" style="294" bestFit="1" customWidth="1"/>
    <col min="12038" max="12038" width="7.26953125" style="294" bestFit="1" customWidth="1"/>
    <col min="12039" max="12039" width="23.26953125" style="294" customWidth="1"/>
    <col min="12040" max="12040" width="17.1796875" style="294" bestFit="1" customWidth="1"/>
    <col min="12041" max="12041" width="23.26953125" style="294" customWidth="1"/>
    <col min="12042" max="12042" width="28.7265625" style="294" bestFit="1" customWidth="1"/>
    <col min="12043" max="12044" width="9.1796875" style="294"/>
    <col min="12045" max="12045" width="13.26953125" style="294" customWidth="1"/>
    <col min="12046" max="12288" width="9.1796875" style="294"/>
    <col min="12289" max="12289" width="24.7265625" style="294" bestFit="1" customWidth="1"/>
    <col min="12290" max="12290" width="18.7265625" style="294" bestFit="1" customWidth="1"/>
    <col min="12291" max="12291" width="8.1796875" style="294" bestFit="1" customWidth="1"/>
    <col min="12292" max="12293" width="8.26953125" style="294" bestFit="1" customWidth="1"/>
    <col min="12294" max="12294" width="7.26953125" style="294" bestFit="1" customWidth="1"/>
    <col min="12295" max="12295" width="23.26953125" style="294" customWidth="1"/>
    <col min="12296" max="12296" width="17.1796875" style="294" bestFit="1" customWidth="1"/>
    <col min="12297" max="12297" width="23.26953125" style="294" customWidth="1"/>
    <col min="12298" max="12298" width="28.7265625" style="294" bestFit="1" customWidth="1"/>
    <col min="12299" max="12300" width="9.1796875" style="294"/>
    <col min="12301" max="12301" width="13.26953125" style="294" customWidth="1"/>
    <col min="12302" max="12544" width="9.1796875" style="294"/>
    <col min="12545" max="12545" width="24.7265625" style="294" bestFit="1" customWidth="1"/>
    <col min="12546" max="12546" width="18.7265625" style="294" bestFit="1" customWidth="1"/>
    <col min="12547" max="12547" width="8.1796875" style="294" bestFit="1" customWidth="1"/>
    <col min="12548" max="12549" width="8.26953125" style="294" bestFit="1" customWidth="1"/>
    <col min="12550" max="12550" width="7.26953125" style="294" bestFit="1" customWidth="1"/>
    <col min="12551" max="12551" width="23.26953125" style="294" customWidth="1"/>
    <col min="12552" max="12552" width="17.1796875" style="294" bestFit="1" customWidth="1"/>
    <col min="12553" max="12553" width="23.26953125" style="294" customWidth="1"/>
    <col min="12554" max="12554" width="28.7265625" style="294" bestFit="1" customWidth="1"/>
    <col min="12555" max="12556" width="9.1796875" style="294"/>
    <col min="12557" max="12557" width="13.26953125" style="294" customWidth="1"/>
    <col min="12558" max="12800" width="9.1796875" style="294"/>
    <col min="12801" max="12801" width="24.7265625" style="294" bestFit="1" customWidth="1"/>
    <col min="12802" max="12802" width="18.7265625" style="294" bestFit="1" customWidth="1"/>
    <col min="12803" max="12803" width="8.1796875" style="294" bestFit="1" customWidth="1"/>
    <col min="12804" max="12805" width="8.26953125" style="294" bestFit="1" customWidth="1"/>
    <col min="12806" max="12806" width="7.26953125" style="294" bestFit="1" customWidth="1"/>
    <col min="12807" max="12807" width="23.26953125" style="294" customWidth="1"/>
    <col min="12808" max="12808" width="17.1796875" style="294" bestFit="1" customWidth="1"/>
    <col min="12809" max="12809" width="23.26953125" style="294" customWidth="1"/>
    <col min="12810" max="12810" width="28.7265625" style="294" bestFit="1" customWidth="1"/>
    <col min="12811" max="12812" width="9.1796875" style="294"/>
    <col min="12813" max="12813" width="13.26953125" style="294" customWidth="1"/>
    <col min="12814" max="13056" width="9.1796875" style="294"/>
    <col min="13057" max="13057" width="24.7265625" style="294" bestFit="1" customWidth="1"/>
    <col min="13058" max="13058" width="18.7265625" style="294" bestFit="1" customWidth="1"/>
    <col min="13059" max="13059" width="8.1796875" style="294" bestFit="1" customWidth="1"/>
    <col min="13060" max="13061" width="8.26953125" style="294" bestFit="1" customWidth="1"/>
    <col min="13062" max="13062" width="7.26953125" style="294" bestFit="1" customWidth="1"/>
    <col min="13063" max="13063" width="23.26953125" style="294" customWidth="1"/>
    <col min="13064" max="13064" width="17.1796875" style="294" bestFit="1" customWidth="1"/>
    <col min="13065" max="13065" width="23.26953125" style="294" customWidth="1"/>
    <col min="13066" max="13066" width="28.7265625" style="294" bestFit="1" customWidth="1"/>
    <col min="13067" max="13068" width="9.1796875" style="294"/>
    <col min="13069" max="13069" width="13.26953125" style="294" customWidth="1"/>
    <col min="13070" max="13312" width="9.1796875" style="294"/>
    <col min="13313" max="13313" width="24.7265625" style="294" bestFit="1" customWidth="1"/>
    <col min="13314" max="13314" width="18.7265625" style="294" bestFit="1" customWidth="1"/>
    <col min="13315" max="13315" width="8.1796875" style="294" bestFit="1" customWidth="1"/>
    <col min="13316" max="13317" width="8.26953125" style="294" bestFit="1" customWidth="1"/>
    <col min="13318" max="13318" width="7.26953125" style="294" bestFit="1" customWidth="1"/>
    <col min="13319" max="13319" width="23.26953125" style="294" customWidth="1"/>
    <col min="13320" max="13320" width="17.1796875" style="294" bestFit="1" customWidth="1"/>
    <col min="13321" max="13321" width="23.26953125" style="294" customWidth="1"/>
    <col min="13322" max="13322" width="28.7265625" style="294" bestFit="1" customWidth="1"/>
    <col min="13323" max="13324" width="9.1796875" style="294"/>
    <col min="13325" max="13325" width="13.26953125" style="294" customWidth="1"/>
    <col min="13326" max="13568" width="9.1796875" style="294"/>
    <col min="13569" max="13569" width="24.7265625" style="294" bestFit="1" customWidth="1"/>
    <col min="13570" max="13570" width="18.7265625" style="294" bestFit="1" customWidth="1"/>
    <col min="13571" max="13571" width="8.1796875" style="294" bestFit="1" customWidth="1"/>
    <col min="13572" max="13573" width="8.26953125" style="294" bestFit="1" customWidth="1"/>
    <col min="13574" max="13574" width="7.26953125" style="294" bestFit="1" customWidth="1"/>
    <col min="13575" max="13575" width="23.26953125" style="294" customWidth="1"/>
    <col min="13576" max="13576" width="17.1796875" style="294" bestFit="1" customWidth="1"/>
    <col min="13577" max="13577" width="23.26953125" style="294" customWidth="1"/>
    <col min="13578" max="13578" width="28.7265625" style="294" bestFit="1" customWidth="1"/>
    <col min="13579" max="13580" width="9.1796875" style="294"/>
    <col min="13581" max="13581" width="13.26953125" style="294" customWidth="1"/>
    <col min="13582" max="13824" width="9.1796875" style="294"/>
    <col min="13825" max="13825" width="24.7265625" style="294" bestFit="1" customWidth="1"/>
    <col min="13826" max="13826" width="18.7265625" style="294" bestFit="1" customWidth="1"/>
    <col min="13827" max="13827" width="8.1796875" style="294" bestFit="1" customWidth="1"/>
    <col min="13828" max="13829" width="8.26953125" style="294" bestFit="1" customWidth="1"/>
    <col min="13830" max="13830" width="7.26953125" style="294" bestFit="1" customWidth="1"/>
    <col min="13831" max="13831" width="23.26953125" style="294" customWidth="1"/>
    <col min="13832" max="13832" width="17.1796875" style="294" bestFit="1" customWidth="1"/>
    <col min="13833" max="13833" width="23.26953125" style="294" customWidth="1"/>
    <col min="13834" max="13834" width="28.7265625" style="294" bestFit="1" customWidth="1"/>
    <col min="13835" max="13836" width="9.1796875" style="294"/>
    <col min="13837" max="13837" width="13.26953125" style="294" customWidth="1"/>
    <col min="13838" max="14080" width="9.1796875" style="294"/>
    <col min="14081" max="14081" width="24.7265625" style="294" bestFit="1" customWidth="1"/>
    <col min="14082" max="14082" width="18.7265625" style="294" bestFit="1" customWidth="1"/>
    <col min="14083" max="14083" width="8.1796875" style="294" bestFit="1" customWidth="1"/>
    <col min="14084" max="14085" width="8.26953125" style="294" bestFit="1" customWidth="1"/>
    <col min="14086" max="14086" width="7.26953125" style="294" bestFit="1" customWidth="1"/>
    <col min="14087" max="14087" width="23.26953125" style="294" customWidth="1"/>
    <col min="14088" max="14088" width="17.1796875" style="294" bestFit="1" customWidth="1"/>
    <col min="14089" max="14089" width="23.26953125" style="294" customWidth="1"/>
    <col min="14090" max="14090" width="28.7265625" style="294" bestFit="1" customWidth="1"/>
    <col min="14091" max="14092" width="9.1796875" style="294"/>
    <col min="14093" max="14093" width="13.26953125" style="294" customWidth="1"/>
    <col min="14094" max="14336" width="9.1796875" style="294"/>
    <col min="14337" max="14337" width="24.7265625" style="294" bestFit="1" customWidth="1"/>
    <col min="14338" max="14338" width="18.7265625" style="294" bestFit="1" customWidth="1"/>
    <col min="14339" max="14339" width="8.1796875" style="294" bestFit="1" customWidth="1"/>
    <col min="14340" max="14341" width="8.26953125" style="294" bestFit="1" customWidth="1"/>
    <col min="14342" max="14342" width="7.26953125" style="294" bestFit="1" customWidth="1"/>
    <col min="14343" max="14343" width="23.26953125" style="294" customWidth="1"/>
    <col min="14344" max="14344" width="17.1796875" style="294" bestFit="1" customWidth="1"/>
    <col min="14345" max="14345" width="23.26953125" style="294" customWidth="1"/>
    <col min="14346" max="14346" width="28.7265625" style="294" bestFit="1" customWidth="1"/>
    <col min="14347" max="14348" width="9.1796875" style="294"/>
    <col min="14349" max="14349" width="13.26953125" style="294" customWidth="1"/>
    <col min="14350" max="14592" width="9.1796875" style="294"/>
    <col min="14593" max="14593" width="24.7265625" style="294" bestFit="1" customWidth="1"/>
    <col min="14594" max="14594" width="18.7265625" style="294" bestFit="1" customWidth="1"/>
    <col min="14595" max="14595" width="8.1796875" style="294" bestFit="1" customWidth="1"/>
    <col min="14596" max="14597" width="8.26953125" style="294" bestFit="1" customWidth="1"/>
    <col min="14598" max="14598" width="7.26953125" style="294" bestFit="1" customWidth="1"/>
    <col min="14599" max="14599" width="23.26953125" style="294" customWidth="1"/>
    <col min="14600" max="14600" width="17.1796875" style="294" bestFit="1" customWidth="1"/>
    <col min="14601" max="14601" width="23.26953125" style="294" customWidth="1"/>
    <col min="14602" max="14602" width="28.7265625" style="294" bestFit="1" customWidth="1"/>
    <col min="14603" max="14604" width="9.1796875" style="294"/>
    <col min="14605" max="14605" width="13.26953125" style="294" customWidth="1"/>
    <col min="14606" max="14848" width="9.1796875" style="294"/>
    <col min="14849" max="14849" width="24.7265625" style="294" bestFit="1" customWidth="1"/>
    <col min="14850" max="14850" width="18.7265625" style="294" bestFit="1" customWidth="1"/>
    <col min="14851" max="14851" width="8.1796875" style="294" bestFit="1" customWidth="1"/>
    <col min="14852" max="14853" width="8.26953125" style="294" bestFit="1" customWidth="1"/>
    <col min="14854" max="14854" width="7.26953125" style="294" bestFit="1" customWidth="1"/>
    <col min="14855" max="14855" width="23.26953125" style="294" customWidth="1"/>
    <col min="14856" max="14856" width="17.1796875" style="294" bestFit="1" customWidth="1"/>
    <col min="14857" max="14857" width="23.26953125" style="294" customWidth="1"/>
    <col min="14858" max="14858" width="28.7265625" style="294" bestFit="1" customWidth="1"/>
    <col min="14859" max="14860" width="9.1796875" style="294"/>
    <col min="14861" max="14861" width="13.26953125" style="294" customWidth="1"/>
    <col min="14862" max="15104" width="9.1796875" style="294"/>
    <col min="15105" max="15105" width="24.7265625" style="294" bestFit="1" customWidth="1"/>
    <col min="15106" max="15106" width="18.7265625" style="294" bestFit="1" customWidth="1"/>
    <col min="15107" max="15107" width="8.1796875" style="294" bestFit="1" customWidth="1"/>
    <col min="15108" max="15109" width="8.26953125" style="294" bestFit="1" customWidth="1"/>
    <col min="15110" max="15110" width="7.26953125" style="294" bestFit="1" customWidth="1"/>
    <col min="15111" max="15111" width="23.26953125" style="294" customWidth="1"/>
    <col min="15112" max="15112" width="17.1796875" style="294" bestFit="1" customWidth="1"/>
    <col min="15113" max="15113" width="23.26953125" style="294" customWidth="1"/>
    <col min="15114" max="15114" width="28.7265625" style="294" bestFit="1" customWidth="1"/>
    <col min="15115" max="15116" width="9.1796875" style="294"/>
    <col min="15117" max="15117" width="13.26953125" style="294" customWidth="1"/>
    <col min="15118" max="15360" width="9.1796875" style="294"/>
    <col min="15361" max="15361" width="24.7265625" style="294" bestFit="1" customWidth="1"/>
    <col min="15362" max="15362" width="18.7265625" style="294" bestFit="1" customWidth="1"/>
    <col min="15363" max="15363" width="8.1796875" style="294" bestFit="1" customWidth="1"/>
    <col min="15364" max="15365" width="8.26953125" style="294" bestFit="1" customWidth="1"/>
    <col min="15366" max="15366" width="7.26953125" style="294" bestFit="1" customWidth="1"/>
    <col min="15367" max="15367" width="23.26953125" style="294" customWidth="1"/>
    <col min="15368" max="15368" width="17.1796875" style="294" bestFit="1" customWidth="1"/>
    <col min="15369" max="15369" width="23.26953125" style="294" customWidth="1"/>
    <col min="15370" max="15370" width="28.7265625" style="294" bestFit="1" customWidth="1"/>
    <col min="15371" max="15372" width="9.1796875" style="294"/>
    <col min="15373" max="15373" width="13.26953125" style="294" customWidth="1"/>
    <col min="15374" max="15616" width="9.1796875" style="294"/>
    <col min="15617" max="15617" width="24.7265625" style="294" bestFit="1" customWidth="1"/>
    <col min="15618" max="15618" width="18.7265625" style="294" bestFit="1" customWidth="1"/>
    <col min="15619" max="15619" width="8.1796875" style="294" bestFit="1" customWidth="1"/>
    <col min="15620" max="15621" width="8.26953125" style="294" bestFit="1" customWidth="1"/>
    <col min="15622" max="15622" width="7.26953125" style="294" bestFit="1" customWidth="1"/>
    <col min="15623" max="15623" width="23.26953125" style="294" customWidth="1"/>
    <col min="15624" max="15624" width="17.1796875" style="294" bestFit="1" customWidth="1"/>
    <col min="15625" max="15625" width="23.26953125" style="294" customWidth="1"/>
    <col min="15626" max="15626" width="28.7265625" style="294" bestFit="1" customWidth="1"/>
    <col min="15627" max="15628" width="9.1796875" style="294"/>
    <col min="15629" max="15629" width="13.26953125" style="294" customWidth="1"/>
    <col min="15630" max="15872" width="9.1796875" style="294"/>
    <col min="15873" max="15873" width="24.7265625" style="294" bestFit="1" customWidth="1"/>
    <col min="15874" max="15874" width="18.7265625" style="294" bestFit="1" customWidth="1"/>
    <col min="15875" max="15875" width="8.1796875" style="294" bestFit="1" customWidth="1"/>
    <col min="15876" max="15877" width="8.26953125" style="294" bestFit="1" customWidth="1"/>
    <col min="15878" max="15878" width="7.26953125" style="294" bestFit="1" customWidth="1"/>
    <col min="15879" max="15879" width="23.26953125" style="294" customWidth="1"/>
    <col min="15880" max="15880" width="17.1796875" style="294" bestFit="1" customWidth="1"/>
    <col min="15881" max="15881" width="23.26953125" style="294" customWidth="1"/>
    <col min="15882" max="15882" width="28.7265625" style="294" bestFit="1" customWidth="1"/>
    <col min="15883" max="15884" width="9.1796875" style="294"/>
    <col min="15885" max="15885" width="13.26953125" style="294" customWidth="1"/>
    <col min="15886" max="16128" width="9.1796875" style="294"/>
    <col min="16129" max="16129" width="24.7265625" style="294" bestFit="1" customWidth="1"/>
    <col min="16130" max="16130" width="18.7265625" style="294" bestFit="1" customWidth="1"/>
    <col min="16131" max="16131" width="8.1796875" style="294" bestFit="1" customWidth="1"/>
    <col min="16132" max="16133" width="8.26953125" style="294" bestFit="1" customWidth="1"/>
    <col min="16134" max="16134" width="7.26953125" style="294" bestFit="1" customWidth="1"/>
    <col min="16135" max="16135" width="23.26953125" style="294" customWidth="1"/>
    <col min="16136" max="16136" width="17.1796875" style="294" bestFit="1" customWidth="1"/>
    <col min="16137" max="16137" width="23.26953125" style="294" customWidth="1"/>
    <col min="16138" max="16138" width="28.7265625" style="294" bestFit="1" customWidth="1"/>
    <col min="16139" max="16140" width="9.1796875" style="294"/>
    <col min="16141" max="16141" width="13.26953125" style="294" customWidth="1"/>
    <col min="16142" max="16384" width="9.1796875" style="294"/>
  </cols>
  <sheetData>
    <row r="1" spans="1:14" s="289" customFormat="1" ht="57.75" customHeight="1">
      <c r="A1" s="286" t="s">
        <v>0</v>
      </c>
      <c r="B1" s="287" t="s">
        <v>1</v>
      </c>
      <c r="C1" s="287" t="s">
        <v>2</v>
      </c>
      <c r="D1" s="287" t="s">
        <v>3</v>
      </c>
      <c r="E1" s="287" t="s">
        <v>4</v>
      </c>
      <c r="F1" s="287" t="s">
        <v>5</v>
      </c>
      <c r="G1" s="444" t="s">
        <v>6</v>
      </c>
      <c r="H1" s="287" t="s">
        <v>703</v>
      </c>
      <c r="I1" s="287" t="s">
        <v>704</v>
      </c>
      <c r="J1" s="287" t="s">
        <v>705</v>
      </c>
      <c r="K1" s="287" t="s">
        <v>10</v>
      </c>
      <c r="L1" s="287" t="s">
        <v>706</v>
      </c>
      <c r="M1" s="288" t="s">
        <v>12</v>
      </c>
    </row>
    <row r="2" spans="1:14" ht="10.5">
      <c r="A2" s="290" t="s">
        <v>1936</v>
      </c>
      <c r="B2" s="291" t="s">
        <v>14</v>
      </c>
      <c r="C2" s="291" t="s">
        <v>879</v>
      </c>
      <c r="D2" s="291">
        <v>1</v>
      </c>
      <c r="E2" s="291">
        <f>E8</f>
        <v>50</v>
      </c>
      <c r="F2" s="291">
        <f>SUM(F3:F8)</f>
        <v>50</v>
      </c>
      <c r="G2" s="445"/>
      <c r="H2" s="292"/>
      <c r="I2" s="292"/>
      <c r="J2" s="291"/>
      <c r="K2" s="291"/>
      <c r="L2" s="291"/>
      <c r="M2" s="423" t="s">
        <v>16</v>
      </c>
    </row>
    <row r="3" spans="1:14" ht="21">
      <c r="A3" s="295" t="s">
        <v>17</v>
      </c>
      <c r="B3" s="296" t="s">
        <v>18</v>
      </c>
      <c r="C3" s="297">
        <v>1</v>
      </c>
      <c r="D3" s="297">
        <v>1</v>
      </c>
      <c r="E3" s="297">
        <f t="shared" ref="E3:E8" si="0">D3+F3-1</f>
        <v>1</v>
      </c>
      <c r="F3" s="297">
        <v>1</v>
      </c>
      <c r="G3" s="446" t="s">
        <v>19</v>
      </c>
      <c r="H3" s="307" t="s">
        <v>999</v>
      </c>
      <c r="I3" s="298"/>
      <c r="J3" s="297"/>
      <c r="K3" s="297"/>
      <c r="L3" s="297"/>
      <c r="M3" s="293" t="s">
        <v>16</v>
      </c>
    </row>
    <row r="4" spans="1:14" s="23" customFormat="1">
      <c r="A4" s="18" t="s">
        <v>710</v>
      </c>
      <c r="B4" s="18" t="s">
        <v>711</v>
      </c>
      <c r="C4" s="19">
        <v>2</v>
      </c>
      <c r="D4" s="19">
        <f>E3+1</f>
        <v>2</v>
      </c>
      <c r="E4" s="19">
        <f t="shared" si="0"/>
        <v>16</v>
      </c>
      <c r="F4" s="19">
        <v>15</v>
      </c>
      <c r="G4" s="18" t="s">
        <v>1000</v>
      </c>
      <c r="H4" s="20"/>
      <c r="I4" s="20"/>
      <c r="J4" s="18"/>
      <c r="K4" s="19"/>
      <c r="L4" s="19"/>
      <c r="M4" s="21"/>
      <c r="N4" s="22"/>
    </row>
    <row r="5" spans="1:14" s="23" customFormat="1">
      <c r="A5" s="18" t="s">
        <v>713</v>
      </c>
      <c r="B5" s="18" t="s">
        <v>714</v>
      </c>
      <c r="C5" s="19">
        <v>3</v>
      </c>
      <c r="D5" s="19">
        <f>E4+1</f>
        <v>17</v>
      </c>
      <c r="E5" s="19">
        <f t="shared" si="0"/>
        <v>26</v>
      </c>
      <c r="F5" s="19">
        <v>10</v>
      </c>
      <c r="G5" s="18" t="s">
        <v>715</v>
      </c>
      <c r="H5" s="20"/>
      <c r="I5" s="20"/>
      <c r="J5" s="18"/>
      <c r="K5" s="19"/>
      <c r="L5" s="19"/>
      <c r="M5" s="21"/>
      <c r="N5" s="22"/>
    </row>
    <row r="6" spans="1:14" s="23" customFormat="1" ht="10.5">
      <c r="A6" s="18" t="s">
        <v>1001</v>
      </c>
      <c r="B6" s="18" t="s">
        <v>1002</v>
      </c>
      <c r="C6" s="19">
        <v>4</v>
      </c>
      <c r="D6" s="19">
        <f>E5+1</f>
        <v>27</v>
      </c>
      <c r="E6" s="19">
        <f t="shared" si="0"/>
        <v>34</v>
      </c>
      <c r="F6" s="19">
        <v>8</v>
      </c>
      <c r="G6" s="18" t="s">
        <v>1003</v>
      </c>
      <c r="H6" s="24"/>
      <c r="I6" s="24"/>
      <c r="J6" s="18"/>
      <c r="K6" s="19"/>
      <c r="L6" s="19"/>
      <c r="M6" s="21"/>
      <c r="N6" s="22"/>
    </row>
    <row r="7" spans="1:14" ht="12.5">
      <c r="A7" s="12" t="s">
        <v>717</v>
      </c>
      <c r="B7" s="13" t="s">
        <v>1004</v>
      </c>
      <c r="C7" s="14">
        <v>5</v>
      </c>
      <c r="D7" s="19">
        <f>E6+1</f>
        <v>35</v>
      </c>
      <c r="E7" s="14">
        <f t="shared" si="0"/>
        <v>49</v>
      </c>
      <c r="F7" s="14">
        <v>15</v>
      </c>
      <c r="G7" s="447" t="s">
        <v>1937</v>
      </c>
      <c r="H7" s="307" t="s">
        <v>999</v>
      </c>
      <c r="I7" s="301"/>
      <c r="J7" s="297"/>
      <c r="K7" s="297"/>
      <c r="L7" s="297"/>
      <c r="M7" s="293" t="s">
        <v>16</v>
      </c>
    </row>
    <row r="8" spans="1:14" s="23" customFormat="1">
      <c r="A8" s="18" t="s">
        <v>719</v>
      </c>
      <c r="B8" s="18" t="s">
        <v>720</v>
      </c>
      <c r="C8" s="297">
        <v>6</v>
      </c>
      <c r="D8" s="19">
        <f>E7+1</f>
        <v>50</v>
      </c>
      <c r="E8" s="14">
        <f t="shared" si="0"/>
        <v>50</v>
      </c>
      <c r="F8" s="19">
        <v>1</v>
      </c>
      <c r="G8" s="18" t="s">
        <v>721</v>
      </c>
      <c r="H8" s="20"/>
      <c r="I8" s="20"/>
      <c r="J8" s="18"/>
      <c r="K8" s="19"/>
      <c r="L8" s="19"/>
      <c r="M8" s="21"/>
      <c r="N8" s="22"/>
    </row>
    <row r="9" spans="1:14" ht="10.5">
      <c r="A9" s="290" t="s">
        <v>1938</v>
      </c>
      <c r="B9" s="291" t="s">
        <v>14</v>
      </c>
      <c r="C9" s="302" t="s">
        <v>879</v>
      </c>
      <c r="D9" s="291">
        <v>1</v>
      </c>
      <c r="E9" s="291">
        <f>E13</f>
        <v>66</v>
      </c>
      <c r="F9" s="291">
        <f>SUM(F10:F13)</f>
        <v>66</v>
      </c>
      <c r="G9" s="448"/>
      <c r="H9" s="303"/>
      <c r="I9" s="303"/>
      <c r="J9" s="291"/>
      <c r="K9" s="291"/>
      <c r="L9" s="291"/>
      <c r="M9" s="423" t="s">
        <v>16</v>
      </c>
    </row>
    <row r="10" spans="1:14" ht="25.5" customHeight="1">
      <c r="A10" s="304" t="s">
        <v>723</v>
      </c>
      <c r="B10" s="296" t="s">
        <v>18</v>
      </c>
      <c r="C10" s="297">
        <v>7</v>
      </c>
      <c r="D10" s="305">
        <v>1</v>
      </c>
      <c r="E10" s="297">
        <f>D10+F10-1</f>
        <v>1</v>
      </c>
      <c r="F10" s="305">
        <v>1</v>
      </c>
      <c r="G10" s="446" t="s">
        <v>38</v>
      </c>
      <c r="H10" s="307" t="s">
        <v>999</v>
      </c>
      <c r="I10" s="298"/>
      <c r="J10" s="305"/>
      <c r="K10" s="310"/>
      <c r="L10" s="305"/>
      <c r="M10" s="293" t="s">
        <v>16</v>
      </c>
    </row>
    <row r="11" spans="1:14" s="427" customFormat="1">
      <c r="A11" s="425" t="s">
        <v>1939</v>
      </c>
      <c r="B11" s="425" t="s">
        <v>1827</v>
      </c>
      <c r="C11" s="307">
        <v>8</v>
      </c>
      <c r="D11" s="307">
        <f>E10+1</f>
        <v>2</v>
      </c>
      <c r="E11" s="307">
        <f>D11+F11-1</f>
        <v>5</v>
      </c>
      <c r="F11" s="307">
        <v>4</v>
      </c>
      <c r="G11" s="449" t="s">
        <v>1940</v>
      </c>
      <c r="H11" s="307" t="s">
        <v>999</v>
      </c>
      <c r="I11" s="425" t="s">
        <v>1941</v>
      </c>
      <c r="J11" s="426" t="s">
        <v>1942</v>
      </c>
      <c r="K11" s="310" t="s">
        <v>1943</v>
      </c>
      <c r="L11" s="426">
        <v>3084</v>
      </c>
      <c r="M11" s="293" t="s">
        <v>16</v>
      </c>
    </row>
    <row r="12" spans="1:14" s="427" customFormat="1">
      <c r="A12" s="450" t="s">
        <v>1944</v>
      </c>
      <c r="B12" s="425" t="s">
        <v>1048</v>
      </c>
      <c r="C12" s="297">
        <v>9</v>
      </c>
      <c r="D12" s="307">
        <f>E11+1</f>
        <v>6</v>
      </c>
      <c r="E12" s="307">
        <f>D12+F12-1</f>
        <v>65</v>
      </c>
      <c r="F12" s="307">
        <v>60</v>
      </c>
      <c r="G12" s="449" t="s">
        <v>1945</v>
      </c>
      <c r="H12" s="307" t="s">
        <v>999</v>
      </c>
      <c r="I12" s="425" t="s">
        <v>1946</v>
      </c>
      <c r="J12" s="426" t="s">
        <v>1947</v>
      </c>
      <c r="K12" s="310" t="s">
        <v>1943</v>
      </c>
      <c r="L12" s="452"/>
      <c r="M12" s="293" t="s">
        <v>16</v>
      </c>
    </row>
    <row r="13" spans="1:14" s="23" customFormat="1">
      <c r="A13" s="18" t="s">
        <v>719</v>
      </c>
      <c r="B13" s="18" t="s">
        <v>720</v>
      </c>
      <c r="C13" s="307">
        <v>10</v>
      </c>
      <c r="D13" s="307">
        <f>E12+1</f>
        <v>66</v>
      </c>
      <c r="E13" s="14">
        <f>D13+F13-1</f>
        <v>66</v>
      </c>
      <c r="F13" s="19">
        <v>1</v>
      </c>
      <c r="G13" s="18" t="s">
        <v>721</v>
      </c>
      <c r="H13" s="20"/>
      <c r="I13" s="20"/>
      <c r="J13" s="18"/>
      <c r="K13" s="19"/>
      <c r="L13" s="19"/>
      <c r="M13" s="21"/>
      <c r="N13" s="22"/>
    </row>
    <row r="14" spans="1:14" ht="10.5">
      <c r="A14" s="290" t="s">
        <v>1948</v>
      </c>
      <c r="B14" s="291" t="s">
        <v>14</v>
      </c>
      <c r="C14" s="302" t="s">
        <v>879</v>
      </c>
      <c r="D14" s="291">
        <v>1</v>
      </c>
      <c r="E14" s="291">
        <f>E17</f>
        <v>11</v>
      </c>
      <c r="F14" s="291">
        <f>SUM(F15:F17)</f>
        <v>11</v>
      </c>
      <c r="G14" s="448"/>
      <c r="H14" s="303"/>
      <c r="I14" s="303"/>
      <c r="J14" s="291"/>
      <c r="K14" s="316" t="s">
        <v>204</v>
      </c>
      <c r="L14" s="316"/>
      <c r="M14" s="316"/>
    </row>
    <row r="15" spans="1:14" ht="21">
      <c r="A15" s="304" t="s">
        <v>723</v>
      </c>
      <c r="B15" s="296" t="s">
        <v>18</v>
      </c>
      <c r="C15" s="307">
        <v>11</v>
      </c>
      <c r="D15" s="297">
        <v>1</v>
      </c>
      <c r="E15" s="297">
        <v>1</v>
      </c>
      <c r="F15" s="297">
        <v>1</v>
      </c>
      <c r="G15" s="446" t="s">
        <v>205</v>
      </c>
      <c r="H15" s="307" t="s">
        <v>999</v>
      </c>
      <c r="I15" s="298"/>
      <c r="J15" s="297"/>
      <c r="K15" s="297"/>
      <c r="L15" s="297"/>
      <c r="M15" s="293"/>
    </row>
    <row r="16" spans="1:14" ht="12.5">
      <c r="A16" s="317" t="s">
        <v>206</v>
      </c>
      <c r="B16" s="296" t="s">
        <v>207</v>
      </c>
      <c r="C16" s="307">
        <v>12</v>
      </c>
      <c r="D16" s="297">
        <v>2</v>
      </c>
      <c r="E16" s="297">
        <f>D16+F16-1</f>
        <v>10</v>
      </c>
      <c r="F16" s="297">
        <v>9</v>
      </c>
      <c r="G16" s="446" t="s">
        <v>1098</v>
      </c>
      <c r="H16" s="307" t="s">
        <v>999</v>
      </c>
      <c r="I16" s="298"/>
      <c r="J16" s="297"/>
      <c r="K16" s="297"/>
      <c r="L16" s="297"/>
      <c r="M16" s="293"/>
    </row>
    <row r="17" spans="1:14" s="23" customFormat="1">
      <c r="A17" s="18" t="s">
        <v>719</v>
      </c>
      <c r="B17" s="18" t="s">
        <v>720</v>
      </c>
      <c r="C17" s="19">
        <v>13</v>
      </c>
      <c r="D17" s="19">
        <f>E16+1</f>
        <v>11</v>
      </c>
      <c r="E17" s="14">
        <f>D17+F17-1</f>
        <v>11</v>
      </c>
      <c r="F17" s="19">
        <v>1</v>
      </c>
      <c r="G17" s="18" t="s">
        <v>721</v>
      </c>
      <c r="H17" s="20"/>
      <c r="I17" s="20"/>
      <c r="J17" s="18"/>
      <c r="K17" s="19"/>
      <c r="L17" s="19"/>
      <c r="M17" s="21"/>
      <c r="N17" s="22"/>
    </row>
    <row r="18" spans="1:14">
      <c r="M18" s="321"/>
    </row>
    <row r="19" spans="1:14">
      <c r="M19" s="321"/>
    </row>
    <row r="20" spans="1:14" s="289" customFormat="1" ht="57.75" hidden="1" customHeight="1">
      <c r="A20" s="286" t="s">
        <v>0</v>
      </c>
      <c r="B20" s="287" t="s">
        <v>1</v>
      </c>
      <c r="C20" s="287" t="s">
        <v>2</v>
      </c>
      <c r="D20" s="287" t="s">
        <v>3</v>
      </c>
      <c r="E20" s="287" t="s">
        <v>4</v>
      </c>
      <c r="F20" s="287" t="s">
        <v>5</v>
      </c>
      <c r="G20" s="444" t="s">
        <v>6</v>
      </c>
      <c r="H20" s="287" t="s">
        <v>703</v>
      </c>
      <c r="I20" s="287" t="s">
        <v>704</v>
      </c>
      <c r="J20" s="287" t="s">
        <v>705</v>
      </c>
      <c r="K20" s="287" t="s">
        <v>10</v>
      </c>
      <c r="L20" s="287" t="s">
        <v>706</v>
      </c>
      <c r="M20" s="288"/>
    </row>
    <row r="21" spans="1:14" ht="11.5" hidden="1">
      <c r="A21" s="322" t="s">
        <v>1099</v>
      </c>
      <c r="B21" s="297"/>
      <c r="C21" s="297"/>
      <c r="D21" s="297">
        <v>1</v>
      </c>
      <c r="E21" s="297">
        <v>20</v>
      </c>
      <c r="F21" s="297">
        <v>20</v>
      </c>
      <c r="G21" s="446" t="s">
        <v>210</v>
      </c>
      <c r="H21" s="298"/>
      <c r="I21" s="298"/>
      <c r="J21" s="297"/>
      <c r="K21" s="297"/>
      <c r="L21" s="297"/>
      <c r="M21" s="293"/>
    </row>
    <row r="22" spans="1:14" ht="10.5" hidden="1">
      <c r="A22" s="290" t="s">
        <v>1100</v>
      </c>
      <c r="B22" s="291" t="s">
        <v>14</v>
      </c>
      <c r="C22" s="291">
        <v>1</v>
      </c>
      <c r="D22" s="291">
        <v>1</v>
      </c>
      <c r="E22" s="291">
        <v>20</v>
      </c>
      <c r="F22" s="291">
        <v>20</v>
      </c>
      <c r="G22" s="445"/>
      <c r="H22" s="292"/>
      <c r="I22" s="292"/>
      <c r="J22" s="291"/>
      <c r="K22" s="291"/>
      <c r="L22" s="291"/>
      <c r="M22" s="293"/>
    </row>
    <row r="23" spans="1:14" ht="21" hidden="1">
      <c r="A23" s="295" t="s">
        <v>17</v>
      </c>
      <c r="B23" s="296" t="s">
        <v>18</v>
      </c>
      <c r="C23" s="297">
        <v>2</v>
      </c>
      <c r="D23" s="297">
        <v>1</v>
      </c>
      <c r="E23" s="297">
        <f>D23+F23-1</f>
        <v>1</v>
      </c>
      <c r="F23" s="297">
        <v>1</v>
      </c>
      <c r="G23" s="446" t="s">
        <v>19</v>
      </c>
      <c r="H23" s="298"/>
      <c r="I23" s="298"/>
      <c r="J23" s="297"/>
      <c r="K23" s="297"/>
      <c r="L23" s="297"/>
      <c r="M23" s="293"/>
    </row>
    <row r="24" spans="1:14" ht="12.5" hidden="1">
      <c r="A24" s="295" t="s">
        <v>212</v>
      </c>
      <c r="B24" s="296" t="s">
        <v>213</v>
      </c>
      <c r="C24" s="297">
        <v>3</v>
      </c>
      <c r="D24" s="297">
        <f>E23+1</f>
        <v>2</v>
      </c>
      <c r="E24" s="297">
        <f>D24+F24-1</f>
        <v>9</v>
      </c>
      <c r="F24" s="297">
        <v>8</v>
      </c>
      <c r="G24" s="447" t="s">
        <v>1101</v>
      </c>
      <c r="H24" s="301"/>
      <c r="I24" s="301"/>
      <c r="J24" s="297"/>
      <c r="K24" s="297"/>
      <c r="L24" s="297"/>
      <c r="M24" s="293"/>
    </row>
    <row r="25" spans="1:14" ht="12.5" hidden="1">
      <c r="A25" s="295" t="s">
        <v>215</v>
      </c>
      <c r="B25" s="296" t="s">
        <v>216</v>
      </c>
      <c r="C25" s="297">
        <v>4</v>
      </c>
      <c r="D25" s="297">
        <f>E24+1</f>
        <v>10</v>
      </c>
      <c r="E25" s="297">
        <f>D25+F25-1</f>
        <v>17</v>
      </c>
      <c r="F25" s="297">
        <v>8</v>
      </c>
      <c r="G25" s="447" t="s">
        <v>1003</v>
      </c>
      <c r="H25" s="301"/>
      <c r="I25" s="301"/>
      <c r="J25" s="297"/>
      <c r="K25" s="297"/>
      <c r="L25" s="297"/>
      <c r="M25" s="293"/>
    </row>
    <row r="26" spans="1:14" hidden="1">
      <c r="A26" s="317" t="s">
        <v>217</v>
      </c>
      <c r="B26" s="314" t="s">
        <v>218</v>
      </c>
      <c r="C26" s="297">
        <v>5</v>
      </c>
      <c r="D26" s="297">
        <f>E25+1</f>
        <v>18</v>
      </c>
      <c r="E26" s="297">
        <f>D26+F26-1</f>
        <v>20</v>
      </c>
      <c r="F26" s="297">
        <v>3</v>
      </c>
      <c r="G26" s="446" t="s">
        <v>219</v>
      </c>
      <c r="H26" s="298"/>
      <c r="I26" s="298"/>
      <c r="J26" s="297"/>
      <c r="K26" s="297"/>
      <c r="L26" s="297"/>
      <c r="M26" s="293"/>
    </row>
    <row r="27" spans="1:14" ht="10.5" hidden="1">
      <c r="A27" s="290" t="s">
        <v>1102</v>
      </c>
      <c r="B27" s="291" t="s">
        <v>14</v>
      </c>
      <c r="C27" s="302">
        <v>6</v>
      </c>
      <c r="D27" s="291">
        <v>1</v>
      </c>
      <c r="E27" s="291">
        <v>20</v>
      </c>
      <c r="F27" s="291">
        <v>20</v>
      </c>
      <c r="G27" s="448"/>
      <c r="H27" s="303"/>
      <c r="I27" s="303"/>
      <c r="J27" s="291"/>
      <c r="K27" s="291"/>
      <c r="L27" s="291"/>
      <c r="M27" s="293"/>
    </row>
    <row r="28" spans="1:14" ht="21" hidden="1">
      <c r="A28" s="304" t="s">
        <v>723</v>
      </c>
      <c r="B28" s="296" t="s">
        <v>18</v>
      </c>
      <c r="C28" s="297">
        <v>7</v>
      </c>
      <c r="D28" s="305">
        <v>1</v>
      </c>
      <c r="E28" s="297">
        <f>D28+F28-1</f>
        <v>1</v>
      </c>
      <c r="F28" s="305">
        <v>1</v>
      </c>
      <c r="G28" s="446" t="s">
        <v>38</v>
      </c>
      <c r="H28" s="298"/>
      <c r="I28" s="298"/>
      <c r="J28" s="305"/>
      <c r="K28" s="305"/>
      <c r="L28" s="305"/>
      <c r="M28" s="293"/>
    </row>
    <row r="29" spans="1:14" ht="24" hidden="1" customHeight="1">
      <c r="A29" s="312" t="s">
        <v>1103</v>
      </c>
      <c r="B29" s="296" t="s">
        <v>1104</v>
      </c>
      <c r="C29" s="297">
        <v>8</v>
      </c>
      <c r="D29" s="297">
        <f>E28+1</f>
        <v>2</v>
      </c>
      <c r="E29" s="297">
        <f>D29+F29-1</f>
        <v>5</v>
      </c>
      <c r="F29" s="297">
        <v>4</v>
      </c>
      <c r="G29" s="323" t="s">
        <v>1105</v>
      </c>
      <c r="H29" s="298" t="s">
        <v>20</v>
      </c>
      <c r="I29" s="298" t="s">
        <v>224</v>
      </c>
      <c r="J29" s="324" t="s">
        <v>1106</v>
      </c>
      <c r="K29" s="314" t="s">
        <v>1107</v>
      </c>
      <c r="L29" s="325">
        <v>611</v>
      </c>
      <c r="M29" s="293"/>
    </row>
    <row r="30" spans="1:14" ht="24" hidden="1" customHeight="1">
      <c r="A30" s="312" t="s">
        <v>226</v>
      </c>
      <c r="B30" s="296" t="s">
        <v>1108</v>
      </c>
      <c r="C30" s="297">
        <v>8</v>
      </c>
      <c r="D30" s="297">
        <f>E29+1</f>
        <v>6</v>
      </c>
      <c r="E30" s="297">
        <f>D30+F30-1</f>
        <v>17</v>
      </c>
      <c r="F30" s="297">
        <v>12</v>
      </c>
      <c r="G30" s="323" t="s">
        <v>1109</v>
      </c>
      <c r="H30" s="298" t="s">
        <v>20</v>
      </c>
      <c r="I30" s="298" t="s">
        <v>224</v>
      </c>
      <c r="J30" s="324" t="s">
        <v>1110</v>
      </c>
      <c r="K30" s="314" t="s">
        <v>1107</v>
      </c>
      <c r="L30" s="325">
        <v>611</v>
      </c>
      <c r="M30" s="293"/>
    </row>
    <row r="31" spans="1:14" ht="12.5" hidden="1">
      <c r="A31" s="295" t="s">
        <v>229</v>
      </c>
      <c r="B31" s="296" t="s">
        <v>1111</v>
      </c>
      <c r="C31" s="297">
        <v>9</v>
      </c>
      <c r="D31" s="297">
        <f>E30+1</f>
        <v>18</v>
      </c>
      <c r="E31" s="297">
        <f>D31+F31-1</f>
        <v>20</v>
      </c>
      <c r="F31" s="297">
        <v>3</v>
      </c>
      <c r="G31" s="323" t="s">
        <v>1112</v>
      </c>
      <c r="H31" s="298" t="s">
        <v>20</v>
      </c>
      <c r="I31" s="298" t="s">
        <v>224</v>
      </c>
      <c r="J31" s="324" t="s">
        <v>1113</v>
      </c>
      <c r="K31" s="314" t="s">
        <v>1107</v>
      </c>
      <c r="L31" s="325"/>
      <c r="M31" s="293"/>
    </row>
    <row r="32" spans="1:14" ht="31.5" hidden="1">
      <c r="A32" s="290" t="s">
        <v>1114</v>
      </c>
      <c r="B32" s="291" t="s">
        <v>14</v>
      </c>
      <c r="C32" s="302">
        <v>35</v>
      </c>
      <c r="D32" s="291">
        <v>1</v>
      </c>
      <c r="E32" s="291">
        <v>20</v>
      </c>
      <c r="F32" s="291">
        <v>20</v>
      </c>
      <c r="G32" s="448"/>
      <c r="H32" s="303"/>
      <c r="I32" s="303"/>
      <c r="J32" s="291"/>
      <c r="K32" s="316" t="s">
        <v>204</v>
      </c>
      <c r="L32" s="316"/>
      <c r="M32" s="316"/>
    </row>
    <row r="33" spans="1:13" ht="21" hidden="1">
      <c r="A33" s="304" t="s">
        <v>723</v>
      </c>
      <c r="B33" s="296" t="s">
        <v>18</v>
      </c>
      <c r="C33" s="297">
        <v>36</v>
      </c>
      <c r="D33" s="297">
        <v>1</v>
      </c>
      <c r="E33" s="297">
        <v>1</v>
      </c>
      <c r="F33" s="297">
        <v>1</v>
      </c>
      <c r="G33" s="446" t="s">
        <v>205</v>
      </c>
      <c r="H33" s="298"/>
      <c r="I33" s="298"/>
      <c r="J33" s="297"/>
      <c r="K33" s="297"/>
      <c r="L33" s="297"/>
      <c r="M33" s="293"/>
    </row>
    <row r="34" spans="1:13" ht="12.5" hidden="1">
      <c r="A34" s="317" t="s">
        <v>206</v>
      </c>
      <c r="B34" s="296" t="s">
        <v>207</v>
      </c>
      <c r="C34" s="297">
        <v>37</v>
      </c>
      <c r="D34" s="297">
        <v>2</v>
      </c>
      <c r="E34" s="297">
        <f>D34+F34-1</f>
        <v>10</v>
      </c>
      <c r="F34" s="297">
        <v>9</v>
      </c>
      <c r="G34" s="446" t="s">
        <v>233</v>
      </c>
      <c r="H34" s="298"/>
      <c r="I34" s="298"/>
      <c r="J34" s="297"/>
      <c r="K34" s="297"/>
      <c r="L34" s="297"/>
      <c r="M34" s="293"/>
    </row>
    <row r="35" spans="1:13" ht="13" hidden="1" thickBot="1">
      <c r="A35" s="326" t="s">
        <v>217</v>
      </c>
      <c r="B35" s="327" t="s">
        <v>714</v>
      </c>
      <c r="C35" s="328">
        <v>38</v>
      </c>
      <c r="D35" s="328">
        <v>11</v>
      </c>
      <c r="E35" s="328">
        <f>D35+F35-1</f>
        <v>20</v>
      </c>
      <c r="F35" s="328">
        <v>10</v>
      </c>
      <c r="G35" s="459" t="s">
        <v>219</v>
      </c>
      <c r="H35" s="329"/>
      <c r="I35" s="329"/>
      <c r="J35" s="328"/>
      <c r="K35" s="328"/>
      <c r="L35" s="328"/>
      <c r="M35" s="293"/>
    </row>
    <row r="36" spans="1:13" hidden="1">
      <c r="M36" s="321"/>
    </row>
    <row r="37" spans="1:13" s="289" customFormat="1" ht="57.75" hidden="1" customHeight="1">
      <c r="A37" s="286" t="s">
        <v>0</v>
      </c>
      <c r="B37" s="287" t="s">
        <v>1</v>
      </c>
      <c r="C37" s="287" t="s">
        <v>2</v>
      </c>
      <c r="D37" s="287" t="s">
        <v>3</v>
      </c>
      <c r="E37" s="287" t="s">
        <v>4</v>
      </c>
      <c r="F37" s="287" t="s">
        <v>5</v>
      </c>
      <c r="G37" s="444" t="s">
        <v>6</v>
      </c>
      <c r="H37" s="287" t="s">
        <v>703</v>
      </c>
      <c r="I37" s="287" t="s">
        <v>704</v>
      </c>
      <c r="J37" s="287" t="s">
        <v>705</v>
      </c>
      <c r="K37" s="287" t="s">
        <v>10</v>
      </c>
      <c r="L37" s="287" t="s">
        <v>706</v>
      </c>
      <c r="M37" s="288"/>
    </row>
    <row r="38" spans="1:13" ht="11.5" hidden="1">
      <c r="A38" s="322" t="s">
        <v>1115</v>
      </c>
      <c r="B38" s="297"/>
      <c r="C38" s="297"/>
      <c r="D38" s="297">
        <v>1</v>
      </c>
      <c r="E38" s="297">
        <v>103</v>
      </c>
      <c r="F38" s="297">
        <v>103</v>
      </c>
      <c r="G38" s="446" t="s">
        <v>210</v>
      </c>
      <c r="H38" s="298"/>
      <c r="I38" s="298"/>
      <c r="J38" s="297"/>
      <c r="K38" s="297"/>
      <c r="L38" s="297"/>
      <c r="M38" s="293"/>
    </row>
    <row r="39" spans="1:13" ht="10.5" hidden="1">
      <c r="A39" s="290" t="s">
        <v>1116</v>
      </c>
      <c r="B39" s="291" t="s">
        <v>14</v>
      </c>
      <c r="C39" s="291">
        <v>1</v>
      </c>
      <c r="D39" s="291">
        <v>1</v>
      </c>
      <c r="E39" s="291">
        <v>103</v>
      </c>
      <c r="F39" s="291">
        <v>103</v>
      </c>
      <c r="G39" s="445"/>
      <c r="H39" s="292"/>
      <c r="I39" s="292"/>
      <c r="J39" s="291"/>
      <c r="K39" s="291"/>
      <c r="L39" s="291"/>
      <c r="M39" s="293"/>
    </row>
    <row r="40" spans="1:13" ht="21" hidden="1">
      <c r="A40" s="295" t="s">
        <v>17</v>
      </c>
      <c r="B40" s="296" t="s">
        <v>18</v>
      </c>
      <c r="C40" s="297">
        <v>2</v>
      </c>
      <c r="D40" s="297">
        <v>1</v>
      </c>
      <c r="E40" s="297">
        <f>D40+F40-1</f>
        <v>1</v>
      </c>
      <c r="F40" s="297">
        <v>1</v>
      </c>
      <c r="G40" s="446" t="s">
        <v>19</v>
      </c>
      <c r="H40" s="298"/>
      <c r="I40" s="298"/>
      <c r="J40" s="297"/>
      <c r="K40" s="297"/>
      <c r="L40" s="297"/>
      <c r="M40" s="293"/>
    </row>
    <row r="41" spans="1:13" ht="12.5" hidden="1">
      <c r="A41" s="295" t="s">
        <v>212</v>
      </c>
      <c r="B41" s="296" t="s">
        <v>213</v>
      </c>
      <c r="C41" s="297">
        <v>3</v>
      </c>
      <c r="D41" s="297">
        <f>E40+1</f>
        <v>2</v>
      </c>
      <c r="E41" s="297">
        <f>D41+F41-1</f>
        <v>9</v>
      </c>
      <c r="F41" s="297">
        <v>8</v>
      </c>
      <c r="G41" s="447" t="s">
        <v>1101</v>
      </c>
      <c r="H41" s="301"/>
      <c r="I41" s="301"/>
      <c r="J41" s="297"/>
      <c r="K41" s="297"/>
      <c r="L41" s="297"/>
      <c r="M41" s="293"/>
    </row>
    <row r="42" spans="1:13" ht="12.5" hidden="1">
      <c r="A42" s="295" t="s">
        <v>215</v>
      </c>
      <c r="B42" s="296" t="s">
        <v>216</v>
      </c>
      <c r="C42" s="297">
        <v>4</v>
      </c>
      <c r="D42" s="297">
        <f>E41+1</f>
        <v>10</v>
      </c>
      <c r="E42" s="297">
        <f>D42+F42-1</f>
        <v>17</v>
      </c>
      <c r="F42" s="297">
        <v>8</v>
      </c>
      <c r="G42" s="447" t="s">
        <v>1003</v>
      </c>
      <c r="H42" s="301"/>
      <c r="I42" s="301"/>
      <c r="J42" s="297"/>
      <c r="K42" s="297"/>
      <c r="L42" s="297"/>
      <c r="M42" s="293"/>
    </row>
    <row r="43" spans="1:13" hidden="1">
      <c r="A43" s="317" t="s">
        <v>217</v>
      </c>
      <c r="B43" s="314" t="s">
        <v>236</v>
      </c>
      <c r="C43" s="297">
        <v>5</v>
      </c>
      <c r="D43" s="297">
        <f>E42+1</f>
        <v>18</v>
      </c>
      <c r="E43" s="297">
        <f>D43+F43-1</f>
        <v>103</v>
      </c>
      <c r="F43" s="297">
        <v>86</v>
      </c>
      <c r="G43" s="446" t="s">
        <v>219</v>
      </c>
      <c r="H43" s="298"/>
      <c r="I43" s="298"/>
      <c r="J43" s="297"/>
      <c r="K43" s="297"/>
      <c r="L43" s="297"/>
      <c r="M43" s="293"/>
    </row>
    <row r="44" spans="1:13" ht="10.5" hidden="1">
      <c r="A44" s="290" t="s">
        <v>1117</v>
      </c>
      <c r="B44" s="291" t="s">
        <v>14</v>
      </c>
      <c r="C44" s="302">
        <v>6</v>
      </c>
      <c r="D44" s="291">
        <v>1</v>
      </c>
      <c r="E44" s="291">
        <v>103</v>
      </c>
      <c r="F44" s="291">
        <v>103</v>
      </c>
      <c r="G44" s="448"/>
      <c r="H44" s="303"/>
      <c r="I44" s="303"/>
      <c r="J44" s="291"/>
      <c r="K44" s="291"/>
      <c r="L44" s="291"/>
      <c r="M44" s="293"/>
    </row>
    <row r="45" spans="1:13" ht="21" hidden="1">
      <c r="A45" s="304" t="s">
        <v>723</v>
      </c>
      <c r="B45" s="296" t="s">
        <v>18</v>
      </c>
      <c r="C45" s="297">
        <v>7</v>
      </c>
      <c r="D45" s="305">
        <v>1</v>
      </c>
      <c r="E45" s="297">
        <f>D45+F45-1</f>
        <v>1</v>
      </c>
      <c r="F45" s="305">
        <v>1</v>
      </c>
      <c r="G45" s="446" t="s">
        <v>38</v>
      </c>
      <c r="H45" s="298"/>
      <c r="I45" s="298"/>
      <c r="J45" s="305"/>
      <c r="K45" s="305"/>
      <c r="L45" s="305"/>
      <c r="M45" s="293"/>
    </row>
    <row r="46" spans="1:13" ht="24" hidden="1" customHeight="1">
      <c r="A46" s="312" t="s">
        <v>238</v>
      </c>
      <c r="B46" s="296" t="s">
        <v>854</v>
      </c>
      <c r="C46" s="297">
        <v>8</v>
      </c>
      <c r="D46" s="297">
        <f>E45+1</f>
        <v>2</v>
      </c>
      <c r="E46" s="297">
        <f>D46+F46-1</f>
        <v>3</v>
      </c>
      <c r="F46" s="297">
        <v>2</v>
      </c>
      <c r="G46" s="323" t="s">
        <v>1118</v>
      </c>
      <c r="H46" s="298" t="s">
        <v>20</v>
      </c>
      <c r="I46" s="298" t="s">
        <v>1119</v>
      </c>
      <c r="J46" s="324" t="s">
        <v>1120</v>
      </c>
      <c r="K46" s="314" t="s">
        <v>1107</v>
      </c>
      <c r="L46" s="325">
        <v>611</v>
      </c>
      <c r="M46" s="293"/>
    </row>
    <row r="47" spans="1:13" ht="24" hidden="1" customHeight="1">
      <c r="A47" s="312" t="s">
        <v>243</v>
      </c>
      <c r="B47" s="296" t="s">
        <v>1039</v>
      </c>
      <c r="C47" s="297">
        <v>8</v>
      </c>
      <c r="D47" s="297">
        <f>E46+1</f>
        <v>4</v>
      </c>
      <c r="E47" s="297">
        <f>D47+F47-1</f>
        <v>103</v>
      </c>
      <c r="F47" s="297">
        <v>100</v>
      </c>
      <c r="G47" s="323" t="s">
        <v>1121</v>
      </c>
      <c r="H47" s="298" t="s">
        <v>20</v>
      </c>
      <c r="I47" s="298" t="s">
        <v>1119</v>
      </c>
      <c r="J47" s="324" t="s">
        <v>1122</v>
      </c>
      <c r="K47" s="314" t="s">
        <v>1107</v>
      </c>
      <c r="L47" s="325">
        <v>611</v>
      </c>
      <c r="M47" s="293"/>
    </row>
    <row r="48" spans="1:13" ht="31.5" hidden="1">
      <c r="A48" s="290" t="s">
        <v>1123</v>
      </c>
      <c r="B48" s="291" t="s">
        <v>14</v>
      </c>
      <c r="C48" s="302">
        <v>35</v>
      </c>
      <c r="D48" s="291">
        <v>1</v>
      </c>
      <c r="E48" s="291">
        <v>103</v>
      </c>
      <c r="F48" s="291">
        <v>103</v>
      </c>
      <c r="G48" s="448"/>
      <c r="H48" s="303"/>
      <c r="I48" s="303"/>
      <c r="J48" s="291"/>
      <c r="K48" s="316" t="s">
        <v>204</v>
      </c>
      <c r="L48" s="316"/>
      <c r="M48" s="316"/>
    </row>
    <row r="49" spans="1:13" ht="21" hidden="1">
      <c r="A49" s="304" t="s">
        <v>723</v>
      </c>
      <c r="B49" s="296" t="s">
        <v>18</v>
      </c>
      <c r="C49" s="297">
        <v>36</v>
      </c>
      <c r="D49" s="297">
        <v>1</v>
      </c>
      <c r="E49" s="297">
        <v>1</v>
      </c>
      <c r="F49" s="297">
        <v>1</v>
      </c>
      <c r="G49" s="446" t="s">
        <v>205</v>
      </c>
      <c r="H49" s="298"/>
      <c r="I49" s="298"/>
      <c r="J49" s="297"/>
      <c r="K49" s="297"/>
      <c r="L49" s="297"/>
      <c r="M49" s="293"/>
    </row>
    <row r="50" spans="1:13" ht="12.5" hidden="1">
      <c r="A50" s="317" t="s">
        <v>206</v>
      </c>
      <c r="B50" s="296" t="s">
        <v>207</v>
      </c>
      <c r="C50" s="297">
        <v>37</v>
      </c>
      <c r="D50" s="297">
        <v>2</v>
      </c>
      <c r="E50" s="297">
        <f>D50+F50-1</f>
        <v>10</v>
      </c>
      <c r="F50" s="297">
        <v>9</v>
      </c>
      <c r="G50" s="446" t="s">
        <v>233</v>
      </c>
      <c r="H50" s="298"/>
      <c r="I50" s="298"/>
      <c r="J50" s="297"/>
      <c r="K50" s="297"/>
      <c r="L50" s="297"/>
      <c r="M50" s="293"/>
    </row>
    <row r="51" spans="1:13" ht="13" hidden="1" thickBot="1">
      <c r="A51" s="326" t="s">
        <v>217</v>
      </c>
      <c r="B51" s="327" t="s">
        <v>1124</v>
      </c>
      <c r="C51" s="328">
        <v>38</v>
      </c>
      <c r="D51" s="328">
        <v>11</v>
      </c>
      <c r="E51" s="328">
        <f>D51+F51-1</f>
        <v>103</v>
      </c>
      <c r="F51" s="328">
        <v>93</v>
      </c>
      <c r="G51" s="459" t="s">
        <v>219</v>
      </c>
      <c r="H51" s="329"/>
      <c r="I51" s="329"/>
      <c r="J51" s="328"/>
      <c r="K51" s="328"/>
      <c r="L51" s="328"/>
      <c r="M51" s="293"/>
    </row>
    <row r="52" spans="1:13" hidden="1"/>
    <row r="53" spans="1:13" hidden="1"/>
    <row r="54" spans="1:13" s="289" customFormat="1" ht="57.75" hidden="1" customHeight="1">
      <c r="A54" s="286" t="s">
        <v>0</v>
      </c>
      <c r="B54" s="287" t="s">
        <v>1</v>
      </c>
      <c r="C54" s="287" t="s">
        <v>2</v>
      </c>
      <c r="D54" s="287" t="s">
        <v>3</v>
      </c>
      <c r="E54" s="287" t="s">
        <v>4</v>
      </c>
      <c r="F54" s="287" t="s">
        <v>5</v>
      </c>
      <c r="G54" s="444" t="s">
        <v>6</v>
      </c>
      <c r="H54" s="287" t="s">
        <v>703</v>
      </c>
      <c r="I54" s="287" t="s">
        <v>704</v>
      </c>
      <c r="J54" s="287" t="s">
        <v>705</v>
      </c>
      <c r="K54" s="287" t="s">
        <v>10</v>
      </c>
      <c r="L54" s="287" t="s">
        <v>706</v>
      </c>
      <c r="M54" s="288"/>
    </row>
    <row r="55" spans="1:13" ht="11.5" hidden="1">
      <c r="A55" s="322" t="s">
        <v>1125</v>
      </c>
      <c r="B55" s="297"/>
      <c r="C55" s="297"/>
      <c r="D55" s="297">
        <v>1</v>
      </c>
      <c r="E55" s="297">
        <v>33</v>
      </c>
      <c r="F55" s="297">
        <v>33</v>
      </c>
      <c r="G55" s="446" t="s">
        <v>210</v>
      </c>
      <c r="H55" s="298"/>
      <c r="I55" s="298"/>
      <c r="J55" s="297"/>
      <c r="K55" s="297"/>
      <c r="L55" s="297"/>
      <c r="M55" s="293"/>
    </row>
    <row r="56" spans="1:13" ht="10.5" hidden="1">
      <c r="A56" s="290" t="s">
        <v>1126</v>
      </c>
      <c r="B56" s="291" t="s">
        <v>14</v>
      </c>
      <c r="C56" s="291">
        <v>1</v>
      </c>
      <c r="D56" s="291">
        <v>1</v>
      </c>
      <c r="E56" s="291">
        <v>33</v>
      </c>
      <c r="F56" s="291">
        <v>33</v>
      </c>
      <c r="G56" s="445"/>
      <c r="H56" s="292"/>
      <c r="I56" s="292"/>
      <c r="J56" s="291"/>
      <c r="K56" s="291"/>
      <c r="L56" s="291"/>
      <c r="M56" s="293"/>
    </row>
    <row r="57" spans="1:13" ht="21" hidden="1">
      <c r="A57" s="295" t="s">
        <v>17</v>
      </c>
      <c r="B57" s="296" t="s">
        <v>18</v>
      </c>
      <c r="C57" s="297">
        <v>2</v>
      </c>
      <c r="D57" s="297">
        <v>1</v>
      </c>
      <c r="E57" s="297">
        <f>D57+F57-1</f>
        <v>1</v>
      </c>
      <c r="F57" s="297">
        <v>1</v>
      </c>
      <c r="G57" s="446" t="s">
        <v>19</v>
      </c>
      <c r="H57" s="298"/>
      <c r="I57" s="298"/>
      <c r="J57" s="297"/>
      <c r="K57" s="297"/>
      <c r="L57" s="297"/>
      <c r="M57" s="293"/>
    </row>
    <row r="58" spans="1:13" ht="12.5" hidden="1">
      <c r="A58" s="295" t="s">
        <v>212</v>
      </c>
      <c r="B58" s="296" t="s">
        <v>213</v>
      </c>
      <c r="C58" s="297">
        <v>3</v>
      </c>
      <c r="D58" s="297">
        <f>E57+1</f>
        <v>2</v>
      </c>
      <c r="E58" s="297">
        <f>D58+F58-1</f>
        <v>9</v>
      </c>
      <c r="F58" s="297">
        <v>8</v>
      </c>
      <c r="G58" s="447" t="s">
        <v>1101</v>
      </c>
      <c r="H58" s="301"/>
      <c r="I58" s="301"/>
      <c r="J58" s="297"/>
      <c r="K58" s="297"/>
      <c r="L58" s="297"/>
      <c r="M58" s="293"/>
    </row>
    <row r="59" spans="1:13" ht="12.5" hidden="1">
      <c r="A59" s="295" t="s">
        <v>215</v>
      </c>
      <c r="B59" s="296" t="s">
        <v>216</v>
      </c>
      <c r="C59" s="297">
        <v>4</v>
      </c>
      <c r="D59" s="297">
        <f>E58+1</f>
        <v>10</v>
      </c>
      <c r="E59" s="297">
        <f>D59+F59-1</f>
        <v>17</v>
      </c>
      <c r="F59" s="297">
        <v>8</v>
      </c>
      <c r="G59" s="447" t="s">
        <v>1003</v>
      </c>
      <c r="H59" s="301"/>
      <c r="I59" s="301"/>
      <c r="J59" s="297"/>
      <c r="K59" s="297"/>
      <c r="L59" s="297"/>
      <c r="M59" s="293"/>
    </row>
    <row r="60" spans="1:13" hidden="1">
      <c r="A60" s="317" t="s">
        <v>217</v>
      </c>
      <c r="B60" s="314" t="s">
        <v>250</v>
      </c>
      <c r="C60" s="297">
        <v>5</v>
      </c>
      <c r="D60" s="297">
        <f>E59+1</f>
        <v>18</v>
      </c>
      <c r="E60" s="297">
        <f>D60+F60-1</f>
        <v>33</v>
      </c>
      <c r="F60" s="297">
        <v>16</v>
      </c>
      <c r="G60" s="446" t="s">
        <v>219</v>
      </c>
      <c r="H60" s="298"/>
      <c r="I60" s="298"/>
      <c r="J60" s="297"/>
      <c r="K60" s="297"/>
      <c r="L60" s="297"/>
      <c r="M60" s="293"/>
    </row>
    <row r="61" spans="1:13" ht="10.5" hidden="1">
      <c r="A61" s="290" t="s">
        <v>1127</v>
      </c>
      <c r="B61" s="291" t="s">
        <v>14</v>
      </c>
      <c r="C61" s="302">
        <v>6</v>
      </c>
      <c r="D61" s="291">
        <v>1</v>
      </c>
      <c r="E61" s="291">
        <v>33</v>
      </c>
      <c r="F61" s="291">
        <v>33</v>
      </c>
      <c r="G61" s="448"/>
      <c r="H61" s="303"/>
      <c r="I61" s="303"/>
      <c r="J61" s="291"/>
      <c r="K61" s="291"/>
      <c r="L61" s="291"/>
      <c r="M61" s="293"/>
    </row>
    <row r="62" spans="1:13" ht="21" hidden="1">
      <c r="A62" s="304" t="s">
        <v>723</v>
      </c>
      <c r="B62" s="296" t="s">
        <v>18</v>
      </c>
      <c r="C62" s="297">
        <v>7</v>
      </c>
      <c r="D62" s="305">
        <v>1</v>
      </c>
      <c r="E62" s="297">
        <f>D62+F62-1</f>
        <v>1</v>
      </c>
      <c r="F62" s="305">
        <v>1</v>
      </c>
      <c r="G62" s="446" t="s">
        <v>38</v>
      </c>
      <c r="H62" s="298"/>
      <c r="I62" s="298"/>
      <c r="J62" s="305"/>
      <c r="K62" s="305"/>
      <c r="L62" s="305"/>
      <c r="M62" s="293"/>
    </row>
    <row r="63" spans="1:13" ht="24" hidden="1" customHeight="1">
      <c r="A63" s="312" t="s">
        <v>252</v>
      </c>
      <c r="B63" s="296" t="s">
        <v>1128</v>
      </c>
      <c r="C63" s="297">
        <v>8</v>
      </c>
      <c r="D63" s="297">
        <f>E62+1</f>
        <v>2</v>
      </c>
      <c r="E63" s="297">
        <f>D63+F63-1</f>
        <v>3</v>
      </c>
      <c r="F63" s="297">
        <v>2</v>
      </c>
      <c r="G63" s="323" t="s">
        <v>1129</v>
      </c>
      <c r="H63" s="298" t="s">
        <v>20</v>
      </c>
      <c r="I63" s="298" t="s">
        <v>255</v>
      </c>
      <c r="J63" s="324" t="s">
        <v>1130</v>
      </c>
      <c r="K63" s="314" t="s">
        <v>1107</v>
      </c>
      <c r="L63" s="325">
        <v>611</v>
      </c>
      <c r="M63" s="293"/>
    </row>
    <row r="64" spans="1:13" ht="24" hidden="1" customHeight="1">
      <c r="A64" s="312" t="s">
        <v>257</v>
      </c>
      <c r="B64" s="296" t="s">
        <v>1128</v>
      </c>
      <c r="C64" s="297">
        <v>8</v>
      </c>
      <c r="D64" s="297">
        <f>E63+1</f>
        <v>4</v>
      </c>
      <c r="E64" s="297">
        <f>D64+F64-1</f>
        <v>33</v>
      </c>
      <c r="F64" s="297">
        <v>30</v>
      </c>
      <c r="G64" s="323" t="s">
        <v>1131</v>
      </c>
      <c r="H64" s="298" t="s">
        <v>20</v>
      </c>
      <c r="I64" s="298" t="s">
        <v>255</v>
      </c>
      <c r="J64" s="324" t="s">
        <v>1132</v>
      </c>
      <c r="K64" s="314" t="s">
        <v>1107</v>
      </c>
      <c r="L64" s="325">
        <v>611</v>
      </c>
      <c r="M64" s="293"/>
    </row>
    <row r="65" spans="1:13" ht="31.5" hidden="1">
      <c r="A65" s="290" t="s">
        <v>1133</v>
      </c>
      <c r="B65" s="291" t="s">
        <v>14</v>
      </c>
      <c r="C65" s="302">
        <v>35</v>
      </c>
      <c r="D65" s="291">
        <v>1</v>
      </c>
      <c r="E65" s="291">
        <v>33</v>
      </c>
      <c r="F65" s="291">
        <v>33</v>
      </c>
      <c r="G65" s="448"/>
      <c r="H65" s="303"/>
      <c r="I65" s="303"/>
      <c r="J65" s="291"/>
      <c r="K65" s="316" t="s">
        <v>204</v>
      </c>
      <c r="L65" s="316"/>
      <c r="M65" s="316"/>
    </row>
    <row r="66" spans="1:13" ht="21" hidden="1">
      <c r="A66" s="304" t="s">
        <v>723</v>
      </c>
      <c r="B66" s="296" t="s">
        <v>18</v>
      </c>
      <c r="C66" s="297">
        <v>36</v>
      </c>
      <c r="D66" s="297">
        <v>1</v>
      </c>
      <c r="E66" s="297">
        <v>1</v>
      </c>
      <c r="F66" s="297">
        <v>1</v>
      </c>
      <c r="G66" s="446" t="s">
        <v>205</v>
      </c>
      <c r="H66" s="298"/>
      <c r="I66" s="298"/>
      <c r="J66" s="297"/>
      <c r="K66" s="297"/>
      <c r="L66" s="297"/>
      <c r="M66" s="293"/>
    </row>
    <row r="67" spans="1:13" ht="12.5" hidden="1">
      <c r="A67" s="317" t="s">
        <v>206</v>
      </c>
      <c r="B67" s="296" t="s">
        <v>207</v>
      </c>
      <c r="C67" s="297">
        <v>37</v>
      </c>
      <c r="D67" s="297">
        <v>2</v>
      </c>
      <c r="E67" s="297">
        <f>D67+F67-1</f>
        <v>10</v>
      </c>
      <c r="F67" s="297">
        <v>9</v>
      </c>
      <c r="G67" s="446" t="s">
        <v>233</v>
      </c>
      <c r="H67" s="298"/>
      <c r="I67" s="298"/>
      <c r="J67" s="297"/>
      <c r="K67" s="297"/>
      <c r="L67" s="297"/>
      <c r="M67" s="293"/>
    </row>
    <row r="68" spans="1:13" ht="13" hidden="1" thickBot="1">
      <c r="A68" s="326" t="s">
        <v>217</v>
      </c>
      <c r="B68" s="327" t="s">
        <v>1134</v>
      </c>
      <c r="C68" s="328">
        <v>38</v>
      </c>
      <c r="D68" s="328">
        <v>11</v>
      </c>
      <c r="E68" s="328">
        <f>D68+F68-1</f>
        <v>33</v>
      </c>
      <c r="F68" s="328">
        <v>23</v>
      </c>
      <c r="G68" s="459" t="s">
        <v>219</v>
      </c>
      <c r="H68" s="329"/>
      <c r="I68" s="329"/>
      <c r="J68" s="328"/>
      <c r="K68" s="328"/>
      <c r="L68" s="328"/>
      <c r="M68" s="293"/>
    </row>
    <row r="69" spans="1:13" hidden="1"/>
    <row r="70" spans="1:13" hidden="1"/>
    <row r="71" spans="1:13" s="289" customFormat="1" ht="57.75" hidden="1" customHeight="1">
      <c r="A71" s="286" t="s">
        <v>0</v>
      </c>
      <c r="B71" s="287" t="s">
        <v>1</v>
      </c>
      <c r="C71" s="287" t="s">
        <v>2</v>
      </c>
      <c r="D71" s="287" t="s">
        <v>3</v>
      </c>
      <c r="E71" s="287" t="s">
        <v>4</v>
      </c>
      <c r="F71" s="287" t="s">
        <v>5</v>
      </c>
      <c r="G71" s="444" t="s">
        <v>6</v>
      </c>
      <c r="H71" s="287" t="s">
        <v>703</v>
      </c>
      <c r="I71" s="287" t="s">
        <v>704</v>
      </c>
      <c r="J71" s="287" t="s">
        <v>705</v>
      </c>
      <c r="K71" s="287" t="s">
        <v>10</v>
      </c>
      <c r="L71" s="287" t="s">
        <v>706</v>
      </c>
      <c r="M71" s="288"/>
    </row>
    <row r="72" spans="1:13" ht="11.5" hidden="1">
      <c r="A72" s="322" t="s">
        <v>1135</v>
      </c>
      <c r="B72" s="297"/>
      <c r="C72" s="297"/>
      <c r="D72" s="297">
        <v>1</v>
      </c>
      <c r="E72" s="297">
        <v>33</v>
      </c>
      <c r="F72" s="297">
        <v>33</v>
      </c>
      <c r="G72" s="446" t="s">
        <v>210</v>
      </c>
      <c r="H72" s="298"/>
      <c r="I72" s="298"/>
      <c r="J72" s="297"/>
      <c r="K72" s="297"/>
      <c r="L72" s="297"/>
      <c r="M72" s="293"/>
    </row>
    <row r="73" spans="1:13" ht="10.5" hidden="1">
      <c r="A73" s="290" t="s">
        <v>1136</v>
      </c>
      <c r="B73" s="291" t="s">
        <v>14</v>
      </c>
      <c r="C73" s="291">
        <v>1</v>
      </c>
      <c r="D73" s="291">
        <v>1</v>
      </c>
      <c r="E73" s="291">
        <v>33</v>
      </c>
      <c r="F73" s="291">
        <v>33</v>
      </c>
      <c r="G73" s="445"/>
      <c r="H73" s="292"/>
      <c r="I73" s="292"/>
      <c r="J73" s="291"/>
      <c r="K73" s="291"/>
      <c r="L73" s="291"/>
      <c r="M73" s="293"/>
    </row>
    <row r="74" spans="1:13" ht="21" hidden="1">
      <c r="A74" s="295" t="s">
        <v>17</v>
      </c>
      <c r="B74" s="296" t="s">
        <v>18</v>
      </c>
      <c r="C74" s="297">
        <v>2</v>
      </c>
      <c r="D74" s="297">
        <v>1</v>
      </c>
      <c r="E74" s="297">
        <f>D74+F74-1</f>
        <v>1</v>
      </c>
      <c r="F74" s="297">
        <v>1</v>
      </c>
      <c r="G74" s="446" t="s">
        <v>19</v>
      </c>
      <c r="H74" s="298"/>
      <c r="I74" s="298"/>
      <c r="J74" s="297"/>
      <c r="K74" s="297"/>
      <c r="L74" s="297"/>
      <c r="M74" s="293"/>
    </row>
    <row r="75" spans="1:13" ht="12.5" hidden="1">
      <c r="A75" s="295" t="s">
        <v>212</v>
      </c>
      <c r="B75" s="296" t="s">
        <v>213</v>
      </c>
      <c r="C75" s="297">
        <v>3</v>
      </c>
      <c r="D75" s="297">
        <f>E74+1</f>
        <v>2</v>
      </c>
      <c r="E75" s="297">
        <f>D75+F75-1</f>
        <v>9</v>
      </c>
      <c r="F75" s="297">
        <v>8</v>
      </c>
      <c r="G75" s="447" t="s">
        <v>1101</v>
      </c>
      <c r="H75" s="301"/>
      <c r="I75" s="301"/>
      <c r="J75" s="297"/>
      <c r="K75" s="297"/>
      <c r="L75" s="297"/>
      <c r="M75" s="293"/>
    </row>
    <row r="76" spans="1:13" ht="12.5" hidden="1">
      <c r="A76" s="295" t="s">
        <v>215</v>
      </c>
      <c r="B76" s="296" t="s">
        <v>216</v>
      </c>
      <c r="C76" s="297">
        <v>4</v>
      </c>
      <c r="D76" s="297">
        <f>E75+1</f>
        <v>10</v>
      </c>
      <c r="E76" s="297">
        <f>D76+F76-1</f>
        <v>17</v>
      </c>
      <c r="F76" s="297">
        <v>8</v>
      </c>
      <c r="G76" s="447" t="s">
        <v>1003</v>
      </c>
      <c r="H76" s="301"/>
      <c r="I76" s="301"/>
      <c r="J76" s="297"/>
      <c r="K76" s="297"/>
      <c r="L76" s="297"/>
      <c r="M76" s="293"/>
    </row>
    <row r="77" spans="1:13" hidden="1">
      <c r="A77" s="317" t="s">
        <v>217</v>
      </c>
      <c r="B77" s="314" t="s">
        <v>250</v>
      </c>
      <c r="C77" s="297">
        <v>5</v>
      </c>
      <c r="D77" s="297">
        <f>E76+1</f>
        <v>18</v>
      </c>
      <c r="E77" s="297">
        <f>D77+F77-1</f>
        <v>33</v>
      </c>
      <c r="F77" s="297">
        <v>16</v>
      </c>
      <c r="G77" s="446" t="s">
        <v>219</v>
      </c>
      <c r="H77" s="298"/>
      <c r="I77" s="298"/>
      <c r="J77" s="297"/>
      <c r="K77" s="297"/>
      <c r="L77" s="297"/>
      <c r="M77" s="293"/>
    </row>
    <row r="78" spans="1:13" ht="10.5" hidden="1">
      <c r="A78" s="290" t="s">
        <v>1137</v>
      </c>
      <c r="B78" s="291" t="s">
        <v>14</v>
      </c>
      <c r="C78" s="302">
        <v>6</v>
      </c>
      <c r="D78" s="291">
        <v>1</v>
      </c>
      <c r="E78" s="291">
        <v>33</v>
      </c>
      <c r="F78" s="291">
        <v>33</v>
      </c>
      <c r="G78" s="448"/>
      <c r="H78" s="303"/>
      <c r="I78" s="303"/>
      <c r="J78" s="291"/>
      <c r="K78" s="291"/>
      <c r="L78" s="291"/>
      <c r="M78" s="293"/>
    </row>
    <row r="79" spans="1:13" ht="21" hidden="1">
      <c r="A79" s="304" t="s">
        <v>723</v>
      </c>
      <c r="B79" s="296" t="s">
        <v>18</v>
      </c>
      <c r="C79" s="297">
        <v>7</v>
      </c>
      <c r="D79" s="305">
        <v>1</v>
      </c>
      <c r="E79" s="297">
        <f>D79+F79-1</f>
        <v>1</v>
      </c>
      <c r="F79" s="305">
        <v>1</v>
      </c>
      <c r="G79" s="446" t="s">
        <v>38</v>
      </c>
      <c r="H79" s="298"/>
      <c r="I79" s="298"/>
      <c r="J79" s="305"/>
      <c r="K79" s="305"/>
      <c r="L79" s="305"/>
      <c r="M79" s="293"/>
    </row>
    <row r="80" spans="1:13" ht="24" hidden="1" customHeight="1">
      <c r="A80" s="312" t="s">
        <v>265</v>
      </c>
      <c r="B80" s="296" t="s">
        <v>1128</v>
      </c>
      <c r="C80" s="297">
        <v>8</v>
      </c>
      <c r="D80" s="297">
        <f>E79+1</f>
        <v>2</v>
      </c>
      <c r="E80" s="297">
        <f>D80+F80-1</f>
        <v>3</v>
      </c>
      <c r="F80" s="297">
        <v>2</v>
      </c>
      <c r="G80" s="323" t="s">
        <v>1138</v>
      </c>
      <c r="H80" s="298" t="s">
        <v>20</v>
      </c>
      <c r="I80" s="298" t="s">
        <v>1139</v>
      </c>
      <c r="J80" s="324" t="s">
        <v>1140</v>
      </c>
      <c r="K80" s="314" t="s">
        <v>1107</v>
      </c>
      <c r="L80" s="325">
        <v>611</v>
      </c>
      <c r="M80" s="293"/>
    </row>
    <row r="81" spans="1:13" ht="24" hidden="1" customHeight="1">
      <c r="A81" s="312" t="s">
        <v>269</v>
      </c>
      <c r="B81" s="296" t="s">
        <v>1128</v>
      </c>
      <c r="C81" s="297">
        <v>8</v>
      </c>
      <c r="D81" s="297">
        <f>E80+1</f>
        <v>4</v>
      </c>
      <c r="E81" s="297">
        <f>D81+F81-1</f>
        <v>33</v>
      </c>
      <c r="F81" s="297">
        <v>30</v>
      </c>
      <c r="G81" s="323" t="s">
        <v>1141</v>
      </c>
      <c r="H81" s="298" t="s">
        <v>20</v>
      </c>
      <c r="I81" s="298" t="s">
        <v>271</v>
      </c>
      <c r="J81" s="324" t="s">
        <v>1142</v>
      </c>
      <c r="K81" s="314" t="s">
        <v>1107</v>
      </c>
      <c r="L81" s="325">
        <v>611</v>
      </c>
      <c r="M81" s="293"/>
    </row>
    <row r="82" spans="1:13" ht="31.5" hidden="1">
      <c r="A82" s="290" t="s">
        <v>1143</v>
      </c>
      <c r="B82" s="291" t="s">
        <v>14</v>
      </c>
      <c r="C82" s="302">
        <v>35</v>
      </c>
      <c r="D82" s="291">
        <v>1</v>
      </c>
      <c r="E82" s="291">
        <v>33</v>
      </c>
      <c r="F82" s="291">
        <v>33</v>
      </c>
      <c r="G82" s="448"/>
      <c r="H82" s="303"/>
      <c r="I82" s="303"/>
      <c r="J82" s="291"/>
      <c r="K82" s="316" t="s">
        <v>204</v>
      </c>
      <c r="L82" s="316"/>
      <c r="M82" s="316"/>
    </row>
    <row r="83" spans="1:13" ht="21" hidden="1">
      <c r="A83" s="304" t="s">
        <v>723</v>
      </c>
      <c r="B83" s="296" t="s">
        <v>18</v>
      </c>
      <c r="C83" s="297">
        <v>36</v>
      </c>
      <c r="D83" s="297">
        <v>1</v>
      </c>
      <c r="E83" s="297">
        <v>1</v>
      </c>
      <c r="F83" s="297">
        <v>1</v>
      </c>
      <c r="G83" s="446" t="s">
        <v>205</v>
      </c>
      <c r="H83" s="298"/>
      <c r="I83" s="298"/>
      <c r="J83" s="297"/>
      <c r="K83" s="297"/>
      <c r="L83" s="297"/>
      <c r="M83" s="293"/>
    </row>
    <row r="84" spans="1:13" ht="12.5" hidden="1">
      <c r="A84" s="317" t="s">
        <v>206</v>
      </c>
      <c r="B84" s="296" t="s">
        <v>207</v>
      </c>
      <c r="C84" s="297">
        <v>37</v>
      </c>
      <c r="D84" s="297">
        <v>2</v>
      </c>
      <c r="E84" s="297">
        <f>D84+F84-1</f>
        <v>10</v>
      </c>
      <c r="F84" s="297">
        <v>9</v>
      </c>
      <c r="G84" s="446" t="s">
        <v>233</v>
      </c>
      <c r="H84" s="298"/>
      <c r="I84" s="298"/>
      <c r="J84" s="297"/>
      <c r="K84" s="297"/>
      <c r="L84" s="297"/>
      <c r="M84" s="293"/>
    </row>
    <row r="85" spans="1:13" ht="13" hidden="1" thickBot="1">
      <c r="A85" s="326" t="s">
        <v>217</v>
      </c>
      <c r="B85" s="327" t="s">
        <v>1134</v>
      </c>
      <c r="C85" s="328">
        <v>38</v>
      </c>
      <c r="D85" s="328">
        <v>11</v>
      </c>
      <c r="E85" s="328">
        <f>D85+F85-1</f>
        <v>33</v>
      </c>
      <c r="F85" s="328">
        <v>23</v>
      </c>
      <c r="G85" s="459" t="s">
        <v>219</v>
      </c>
      <c r="H85" s="329"/>
      <c r="I85" s="329"/>
      <c r="J85" s="328"/>
      <c r="K85" s="328"/>
      <c r="L85" s="328"/>
      <c r="M85" s="293"/>
    </row>
    <row r="86" spans="1:13" hidden="1"/>
    <row r="87" spans="1:13" hidden="1"/>
    <row r="88" spans="1:13" s="289" customFormat="1" ht="57.75" hidden="1" customHeight="1">
      <c r="A88" s="286" t="s">
        <v>0</v>
      </c>
      <c r="B88" s="287" t="s">
        <v>1</v>
      </c>
      <c r="C88" s="287" t="s">
        <v>2</v>
      </c>
      <c r="D88" s="287" t="s">
        <v>3</v>
      </c>
      <c r="E88" s="287" t="s">
        <v>4</v>
      </c>
      <c r="F88" s="287" t="s">
        <v>5</v>
      </c>
      <c r="G88" s="444" t="s">
        <v>6</v>
      </c>
      <c r="H88" s="287" t="s">
        <v>703</v>
      </c>
      <c r="I88" s="287" t="s">
        <v>704</v>
      </c>
      <c r="J88" s="287" t="s">
        <v>705</v>
      </c>
      <c r="K88" s="287" t="s">
        <v>10</v>
      </c>
      <c r="L88" s="287" t="s">
        <v>706</v>
      </c>
      <c r="M88" s="288"/>
    </row>
    <row r="89" spans="1:13" ht="11.5" hidden="1">
      <c r="A89" s="322" t="s">
        <v>1144</v>
      </c>
      <c r="B89" s="297"/>
      <c r="C89" s="297"/>
      <c r="D89" s="297">
        <v>1</v>
      </c>
      <c r="E89" s="297">
        <v>24</v>
      </c>
      <c r="F89" s="297">
        <v>24</v>
      </c>
      <c r="G89" s="446" t="s">
        <v>210</v>
      </c>
      <c r="H89" s="298"/>
      <c r="I89" s="298"/>
      <c r="J89" s="297"/>
      <c r="K89" s="297"/>
      <c r="L89" s="297"/>
      <c r="M89" s="293"/>
    </row>
    <row r="90" spans="1:13" ht="10.5" hidden="1">
      <c r="A90" s="290" t="s">
        <v>1145</v>
      </c>
      <c r="B90" s="291" t="s">
        <v>14</v>
      </c>
      <c r="C90" s="291">
        <v>1</v>
      </c>
      <c r="D90" s="291">
        <v>1</v>
      </c>
      <c r="E90" s="291">
        <v>24</v>
      </c>
      <c r="F90" s="291">
        <v>24</v>
      </c>
      <c r="G90" s="445"/>
      <c r="H90" s="292"/>
      <c r="I90" s="292"/>
      <c r="J90" s="291"/>
      <c r="K90" s="291"/>
      <c r="L90" s="291"/>
      <c r="M90" s="293"/>
    </row>
    <row r="91" spans="1:13" ht="21" hidden="1">
      <c r="A91" s="295" t="s">
        <v>17</v>
      </c>
      <c r="B91" s="296" t="s">
        <v>18</v>
      </c>
      <c r="C91" s="297">
        <v>2</v>
      </c>
      <c r="D91" s="297">
        <v>1</v>
      </c>
      <c r="E91" s="297">
        <f>D91+F91-1</f>
        <v>1</v>
      </c>
      <c r="F91" s="297">
        <v>1</v>
      </c>
      <c r="G91" s="446" t="s">
        <v>19</v>
      </c>
      <c r="H91" s="298"/>
      <c r="I91" s="298"/>
      <c r="J91" s="297"/>
      <c r="K91" s="297"/>
      <c r="L91" s="297"/>
      <c r="M91" s="293"/>
    </row>
    <row r="92" spans="1:13" ht="12.5" hidden="1">
      <c r="A92" s="295" t="s">
        <v>212</v>
      </c>
      <c r="B92" s="296" t="s">
        <v>213</v>
      </c>
      <c r="C92" s="297">
        <v>3</v>
      </c>
      <c r="D92" s="297">
        <f>E91+1</f>
        <v>2</v>
      </c>
      <c r="E92" s="297">
        <f>D92+F92-1</f>
        <v>9</v>
      </c>
      <c r="F92" s="297">
        <v>8</v>
      </c>
      <c r="G92" s="447" t="s">
        <v>1101</v>
      </c>
      <c r="H92" s="301"/>
      <c r="I92" s="301"/>
      <c r="J92" s="297"/>
      <c r="K92" s="297"/>
      <c r="L92" s="297"/>
      <c r="M92" s="293"/>
    </row>
    <row r="93" spans="1:13" ht="12.5" hidden="1">
      <c r="A93" s="295" t="s">
        <v>215</v>
      </c>
      <c r="B93" s="296" t="s">
        <v>216</v>
      </c>
      <c r="C93" s="297">
        <v>4</v>
      </c>
      <c r="D93" s="297">
        <f>E92+1</f>
        <v>10</v>
      </c>
      <c r="E93" s="297">
        <f>D93+F93-1</f>
        <v>17</v>
      </c>
      <c r="F93" s="297">
        <v>8</v>
      </c>
      <c r="G93" s="447" t="s">
        <v>1003</v>
      </c>
      <c r="H93" s="301"/>
      <c r="I93" s="301"/>
      <c r="J93" s="297"/>
      <c r="K93" s="297"/>
      <c r="L93" s="297"/>
      <c r="M93" s="293"/>
    </row>
    <row r="94" spans="1:13" hidden="1">
      <c r="A94" s="317" t="s">
        <v>217</v>
      </c>
      <c r="B94" s="314" t="s">
        <v>236</v>
      </c>
      <c r="C94" s="297">
        <v>5</v>
      </c>
      <c r="D94" s="297">
        <f>E93+1</f>
        <v>18</v>
      </c>
      <c r="E94" s="297">
        <f>D94+F94-1</f>
        <v>24</v>
      </c>
      <c r="F94" s="297">
        <v>7</v>
      </c>
      <c r="G94" s="446" t="s">
        <v>219</v>
      </c>
      <c r="H94" s="298"/>
      <c r="I94" s="298"/>
      <c r="J94" s="297"/>
      <c r="K94" s="297"/>
      <c r="L94" s="297"/>
      <c r="M94" s="293"/>
    </row>
    <row r="95" spans="1:13" ht="10.5" hidden="1">
      <c r="A95" s="290" t="s">
        <v>1146</v>
      </c>
      <c r="B95" s="291" t="s">
        <v>14</v>
      </c>
      <c r="C95" s="302">
        <v>6</v>
      </c>
      <c r="D95" s="291">
        <v>1</v>
      </c>
      <c r="E95" s="291">
        <v>24</v>
      </c>
      <c r="F95" s="291">
        <v>24</v>
      </c>
      <c r="G95" s="448"/>
      <c r="H95" s="303"/>
      <c r="I95" s="303"/>
      <c r="J95" s="291"/>
      <c r="K95" s="291"/>
      <c r="L95" s="291"/>
      <c r="M95" s="293"/>
    </row>
    <row r="96" spans="1:13" ht="21" hidden="1">
      <c r="A96" s="304" t="s">
        <v>723</v>
      </c>
      <c r="B96" s="296" t="s">
        <v>18</v>
      </c>
      <c r="C96" s="297">
        <v>7</v>
      </c>
      <c r="D96" s="305">
        <v>1</v>
      </c>
      <c r="E96" s="297">
        <f>D96+F96-1</f>
        <v>1</v>
      </c>
      <c r="F96" s="305">
        <v>1</v>
      </c>
      <c r="G96" s="446" t="s">
        <v>38</v>
      </c>
      <c r="H96" s="298"/>
      <c r="I96" s="298"/>
      <c r="J96" s="305"/>
      <c r="K96" s="305"/>
      <c r="L96" s="305"/>
      <c r="M96" s="293"/>
    </row>
    <row r="97" spans="1:13" ht="24" hidden="1" customHeight="1">
      <c r="A97" s="312" t="s">
        <v>277</v>
      </c>
      <c r="B97" s="296" t="s">
        <v>1111</v>
      </c>
      <c r="C97" s="297">
        <v>8</v>
      </c>
      <c r="D97" s="297">
        <f>E96+1</f>
        <v>2</v>
      </c>
      <c r="E97" s="297">
        <f>D97+F97-1</f>
        <v>4</v>
      </c>
      <c r="F97" s="297">
        <v>3</v>
      </c>
      <c r="G97" s="323" t="s">
        <v>1147</v>
      </c>
      <c r="H97" s="298" t="s">
        <v>20</v>
      </c>
      <c r="I97" s="298" t="s">
        <v>1148</v>
      </c>
      <c r="J97" s="324" t="s">
        <v>1149</v>
      </c>
      <c r="K97" s="314" t="s">
        <v>1107</v>
      </c>
      <c r="L97" s="325">
        <v>611</v>
      </c>
      <c r="M97" s="293"/>
    </row>
    <row r="98" spans="1:13" ht="24" hidden="1" customHeight="1">
      <c r="A98" s="312" t="s">
        <v>281</v>
      </c>
      <c r="B98" s="296" t="s">
        <v>1014</v>
      </c>
      <c r="C98" s="297">
        <v>8</v>
      </c>
      <c r="D98" s="297">
        <f>E97+1</f>
        <v>5</v>
      </c>
      <c r="E98" s="297">
        <f>D98+F98-1</f>
        <v>24</v>
      </c>
      <c r="F98" s="297">
        <v>20</v>
      </c>
      <c r="G98" s="323" t="s">
        <v>1150</v>
      </c>
      <c r="H98" s="298" t="s">
        <v>20</v>
      </c>
      <c r="I98" s="298" t="s">
        <v>283</v>
      </c>
      <c r="J98" s="324" t="s">
        <v>1151</v>
      </c>
      <c r="K98" s="314" t="s">
        <v>1107</v>
      </c>
      <c r="L98" s="325">
        <v>611</v>
      </c>
      <c r="M98" s="293"/>
    </row>
    <row r="99" spans="1:13" ht="31.5" hidden="1">
      <c r="A99" s="290" t="s">
        <v>1152</v>
      </c>
      <c r="B99" s="291" t="s">
        <v>14</v>
      </c>
      <c r="C99" s="302">
        <v>35</v>
      </c>
      <c r="D99" s="291">
        <v>1</v>
      </c>
      <c r="E99" s="291">
        <v>24</v>
      </c>
      <c r="F99" s="291">
        <v>24</v>
      </c>
      <c r="G99" s="448"/>
      <c r="H99" s="303"/>
      <c r="I99" s="303"/>
      <c r="J99" s="291"/>
      <c r="K99" s="316" t="s">
        <v>204</v>
      </c>
      <c r="L99" s="316"/>
      <c r="M99" s="316"/>
    </row>
    <row r="100" spans="1:13" ht="21" hidden="1">
      <c r="A100" s="304" t="s">
        <v>723</v>
      </c>
      <c r="B100" s="296" t="s">
        <v>18</v>
      </c>
      <c r="C100" s="297">
        <v>36</v>
      </c>
      <c r="D100" s="297">
        <v>1</v>
      </c>
      <c r="E100" s="297">
        <v>1</v>
      </c>
      <c r="F100" s="297">
        <v>1</v>
      </c>
      <c r="G100" s="446" t="s">
        <v>205</v>
      </c>
      <c r="H100" s="298"/>
      <c r="I100" s="298"/>
      <c r="J100" s="297"/>
      <c r="K100" s="297"/>
      <c r="L100" s="297"/>
      <c r="M100" s="293"/>
    </row>
    <row r="101" spans="1:13" ht="12.5" hidden="1">
      <c r="A101" s="317" t="s">
        <v>206</v>
      </c>
      <c r="B101" s="296" t="s">
        <v>207</v>
      </c>
      <c r="C101" s="297">
        <v>37</v>
      </c>
      <c r="D101" s="297">
        <v>2</v>
      </c>
      <c r="E101" s="297">
        <f>D101+F101-1</f>
        <v>10</v>
      </c>
      <c r="F101" s="297">
        <v>9</v>
      </c>
      <c r="G101" s="446" t="s">
        <v>233</v>
      </c>
      <c r="H101" s="298"/>
      <c r="I101" s="298"/>
      <c r="J101" s="297"/>
      <c r="K101" s="297"/>
      <c r="L101" s="297"/>
      <c r="M101" s="293"/>
    </row>
    <row r="102" spans="1:13" ht="13" hidden="1" thickBot="1">
      <c r="A102" s="326" t="s">
        <v>217</v>
      </c>
      <c r="B102" s="327" t="s">
        <v>1124</v>
      </c>
      <c r="C102" s="328">
        <v>38</v>
      </c>
      <c r="D102" s="328">
        <v>11</v>
      </c>
      <c r="E102" s="328">
        <f>D102+F102-1</f>
        <v>24</v>
      </c>
      <c r="F102" s="328">
        <v>14</v>
      </c>
      <c r="G102" s="459" t="s">
        <v>219</v>
      </c>
      <c r="H102" s="329"/>
      <c r="I102" s="329"/>
      <c r="J102" s="328"/>
      <c r="K102" s="328"/>
      <c r="L102" s="328"/>
      <c r="M102" s="293"/>
    </row>
    <row r="103" spans="1:13" hidden="1"/>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767DE-C25D-46A9-A9AC-B832CB440A99}">
  <sheetPr codeName="Sheet5"/>
  <dimension ref="A1:N108"/>
  <sheetViews>
    <sheetView workbookViewId="0">
      <selection activeCell="C110" sqref="C110"/>
    </sheetView>
  </sheetViews>
  <sheetFormatPr defaultRowHeight="10"/>
  <cols>
    <col min="1" max="1" width="24.7265625" style="318" bestFit="1" customWidth="1"/>
    <col min="2" max="2" width="18.7265625" style="319" bestFit="1" customWidth="1"/>
    <col min="3" max="3" width="8.1796875" style="319" bestFit="1" customWidth="1"/>
    <col min="4" max="5" width="8.26953125" style="319" bestFit="1" customWidth="1"/>
    <col min="6" max="6" width="7.26953125" style="319" bestFit="1" customWidth="1"/>
    <col min="7" max="7" width="23.26953125" style="458" customWidth="1"/>
    <col min="8" max="8" width="17.1796875" style="320" bestFit="1" customWidth="1"/>
    <col min="9" max="9" width="23.26953125" style="320" customWidth="1"/>
    <col min="10" max="10" width="28.7265625" style="319" bestFit="1" customWidth="1"/>
    <col min="11" max="12" width="9.1796875" style="319"/>
    <col min="13" max="13" width="13.26953125" style="294" customWidth="1"/>
    <col min="14" max="256" width="9.1796875" style="294"/>
    <col min="257" max="257" width="24.7265625" style="294" bestFit="1" customWidth="1"/>
    <col min="258" max="258" width="18.7265625" style="294" bestFit="1" customWidth="1"/>
    <col min="259" max="259" width="8.1796875" style="294" bestFit="1" customWidth="1"/>
    <col min="260" max="261" width="8.26953125" style="294" bestFit="1" customWidth="1"/>
    <col min="262" max="262" width="7.26953125" style="294" bestFit="1" customWidth="1"/>
    <col min="263" max="263" width="23.26953125" style="294" customWidth="1"/>
    <col min="264" max="264" width="17.1796875" style="294" bestFit="1" customWidth="1"/>
    <col min="265" max="265" width="23.26953125" style="294" customWidth="1"/>
    <col min="266" max="266" width="28.7265625" style="294" bestFit="1" customWidth="1"/>
    <col min="267" max="268" width="9.1796875" style="294"/>
    <col min="269" max="269" width="13.26953125" style="294" customWidth="1"/>
    <col min="270" max="512" width="9.1796875" style="294"/>
    <col min="513" max="513" width="24.7265625" style="294" bestFit="1" customWidth="1"/>
    <col min="514" max="514" width="18.7265625" style="294" bestFit="1" customWidth="1"/>
    <col min="515" max="515" width="8.1796875" style="294" bestFit="1" customWidth="1"/>
    <col min="516" max="517" width="8.26953125" style="294" bestFit="1" customWidth="1"/>
    <col min="518" max="518" width="7.26953125" style="294" bestFit="1" customWidth="1"/>
    <col min="519" max="519" width="23.26953125" style="294" customWidth="1"/>
    <col min="520" max="520" width="17.1796875" style="294" bestFit="1" customWidth="1"/>
    <col min="521" max="521" width="23.26953125" style="294" customWidth="1"/>
    <col min="522" max="522" width="28.7265625" style="294" bestFit="1" customWidth="1"/>
    <col min="523" max="524" width="9.1796875" style="294"/>
    <col min="525" max="525" width="13.26953125" style="294" customWidth="1"/>
    <col min="526" max="768" width="9.1796875" style="294"/>
    <col min="769" max="769" width="24.7265625" style="294" bestFit="1" customWidth="1"/>
    <col min="770" max="770" width="18.7265625" style="294" bestFit="1" customWidth="1"/>
    <col min="771" max="771" width="8.1796875" style="294" bestFit="1" customWidth="1"/>
    <col min="772" max="773" width="8.26953125" style="294" bestFit="1" customWidth="1"/>
    <col min="774" max="774" width="7.26953125" style="294" bestFit="1" customWidth="1"/>
    <col min="775" max="775" width="23.26953125" style="294" customWidth="1"/>
    <col min="776" max="776" width="17.1796875" style="294" bestFit="1" customWidth="1"/>
    <col min="777" max="777" width="23.26953125" style="294" customWidth="1"/>
    <col min="778" max="778" width="28.7265625" style="294" bestFit="1" customWidth="1"/>
    <col min="779" max="780" width="9.1796875" style="294"/>
    <col min="781" max="781" width="13.26953125" style="294" customWidth="1"/>
    <col min="782" max="1024" width="9.1796875" style="294"/>
    <col min="1025" max="1025" width="24.7265625" style="294" bestFit="1" customWidth="1"/>
    <col min="1026" max="1026" width="18.7265625" style="294" bestFit="1" customWidth="1"/>
    <col min="1027" max="1027" width="8.1796875" style="294" bestFit="1" customWidth="1"/>
    <col min="1028" max="1029" width="8.26953125" style="294" bestFit="1" customWidth="1"/>
    <col min="1030" max="1030" width="7.26953125" style="294" bestFit="1" customWidth="1"/>
    <col min="1031" max="1031" width="23.26953125" style="294" customWidth="1"/>
    <col min="1032" max="1032" width="17.1796875" style="294" bestFit="1" customWidth="1"/>
    <col min="1033" max="1033" width="23.26953125" style="294" customWidth="1"/>
    <col min="1034" max="1034" width="28.7265625" style="294" bestFit="1" customWidth="1"/>
    <col min="1035" max="1036" width="9.1796875" style="294"/>
    <col min="1037" max="1037" width="13.26953125" style="294" customWidth="1"/>
    <col min="1038" max="1280" width="9.1796875" style="294"/>
    <col min="1281" max="1281" width="24.7265625" style="294" bestFit="1" customWidth="1"/>
    <col min="1282" max="1282" width="18.7265625" style="294" bestFit="1" customWidth="1"/>
    <col min="1283" max="1283" width="8.1796875" style="294" bestFit="1" customWidth="1"/>
    <col min="1284" max="1285" width="8.26953125" style="294" bestFit="1" customWidth="1"/>
    <col min="1286" max="1286" width="7.26953125" style="294" bestFit="1" customWidth="1"/>
    <col min="1287" max="1287" width="23.26953125" style="294" customWidth="1"/>
    <col min="1288" max="1288" width="17.1796875" style="294" bestFit="1" customWidth="1"/>
    <col min="1289" max="1289" width="23.26953125" style="294" customWidth="1"/>
    <col min="1290" max="1290" width="28.7265625" style="294" bestFit="1" customWidth="1"/>
    <col min="1291" max="1292" width="9.1796875" style="294"/>
    <col min="1293" max="1293" width="13.26953125" style="294" customWidth="1"/>
    <col min="1294" max="1536" width="9.1796875" style="294"/>
    <col min="1537" max="1537" width="24.7265625" style="294" bestFit="1" customWidth="1"/>
    <col min="1538" max="1538" width="18.7265625" style="294" bestFit="1" customWidth="1"/>
    <col min="1539" max="1539" width="8.1796875" style="294" bestFit="1" customWidth="1"/>
    <col min="1540" max="1541" width="8.26953125" style="294" bestFit="1" customWidth="1"/>
    <col min="1542" max="1542" width="7.26953125" style="294" bestFit="1" customWidth="1"/>
    <col min="1543" max="1543" width="23.26953125" style="294" customWidth="1"/>
    <col min="1544" max="1544" width="17.1796875" style="294" bestFit="1" customWidth="1"/>
    <col min="1545" max="1545" width="23.26953125" style="294" customWidth="1"/>
    <col min="1546" max="1546" width="28.7265625" style="294" bestFit="1" customWidth="1"/>
    <col min="1547" max="1548" width="9.1796875" style="294"/>
    <col min="1549" max="1549" width="13.26953125" style="294" customWidth="1"/>
    <col min="1550" max="1792" width="9.1796875" style="294"/>
    <col min="1793" max="1793" width="24.7265625" style="294" bestFit="1" customWidth="1"/>
    <col min="1794" max="1794" width="18.7265625" style="294" bestFit="1" customWidth="1"/>
    <col min="1795" max="1795" width="8.1796875" style="294" bestFit="1" customWidth="1"/>
    <col min="1796" max="1797" width="8.26953125" style="294" bestFit="1" customWidth="1"/>
    <col min="1798" max="1798" width="7.26953125" style="294" bestFit="1" customWidth="1"/>
    <col min="1799" max="1799" width="23.26953125" style="294" customWidth="1"/>
    <col min="1800" max="1800" width="17.1796875" style="294" bestFit="1" customWidth="1"/>
    <col min="1801" max="1801" width="23.26953125" style="294" customWidth="1"/>
    <col min="1802" max="1802" width="28.7265625" style="294" bestFit="1" customWidth="1"/>
    <col min="1803" max="1804" width="9.1796875" style="294"/>
    <col min="1805" max="1805" width="13.26953125" style="294" customWidth="1"/>
    <col min="1806" max="2048" width="9.1796875" style="294"/>
    <col min="2049" max="2049" width="24.7265625" style="294" bestFit="1" customWidth="1"/>
    <col min="2050" max="2050" width="18.7265625" style="294" bestFit="1" customWidth="1"/>
    <col min="2051" max="2051" width="8.1796875" style="294" bestFit="1" customWidth="1"/>
    <col min="2052" max="2053" width="8.26953125" style="294" bestFit="1" customWidth="1"/>
    <col min="2054" max="2054" width="7.26953125" style="294" bestFit="1" customWidth="1"/>
    <col min="2055" max="2055" width="23.26953125" style="294" customWidth="1"/>
    <col min="2056" max="2056" width="17.1796875" style="294" bestFit="1" customWidth="1"/>
    <col min="2057" max="2057" width="23.26953125" style="294" customWidth="1"/>
    <col min="2058" max="2058" width="28.7265625" style="294" bestFit="1" customWidth="1"/>
    <col min="2059" max="2060" width="9.1796875" style="294"/>
    <col min="2061" max="2061" width="13.26953125" style="294" customWidth="1"/>
    <col min="2062" max="2304" width="9.1796875" style="294"/>
    <col min="2305" max="2305" width="24.7265625" style="294" bestFit="1" customWidth="1"/>
    <col min="2306" max="2306" width="18.7265625" style="294" bestFit="1" customWidth="1"/>
    <col min="2307" max="2307" width="8.1796875" style="294" bestFit="1" customWidth="1"/>
    <col min="2308" max="2309" width="8.26953125" style="294" bestFit="1" customWidth="1"/>
    <col min="2310" max="2310" width="7.26953125" style="294" bestFit="1" customWidth="1"/>
    <col min="2311" max="2311" width="23.26953125" style="294" customWidth="1"/>
    <col min="2312" max="2312" width="17.1796875" style="294" bestFit="1" customWidth="1"/>
    <col min="2313" max="2313" width="23.26953125" style="294" customWidth="1"/>
    <col min="2314" max="2314" width="28.7265625" style="294" bestFit="1" customWidth="1"/>
    <col min="2315" max="2316" width="9.1796875" style="294"/>
    <col min="2317" max="2317" width="13.26953125" style="294" customWidth="1"/>
    <col min="2318" max="2560" width="9.1796875" style="294"/>
    <col min="2561" max="2561" width="24.7265625" style="294" bestFit="1" customWidth="1"/>
    <col min="2562" max="2562" width="18.7265625" style="294" bestFit="1" customWidth="1"/>
    <col min="2563" max="2563" width="8.1796875" style="294" bestFit="1" customWidth="1"/>
    <col min="2564" max="2565" width="8.26953125" style="294" bestFit="1" customWidth="1"/>
    <col min="2566" max="2566" width="7.26953125" style="294" bestFit="1" customWidth="1"/>
    <col min="2567" max="2567" width="23.26953125" style="294" customWidth="1"/>
    <col min="2568" max="2568" width="17.1796875" style="294" bestFit="1" customWidth="1"/>
    <col min="2569" max="2569" width="23.26953125" style="294" customWidth="1"/>
    <col min="2570" max="2570" width="28.7265625" style="294" bestFit="1" customWidth="1"/>
    <col min="2571" max="2572" width="9.1796875" style="294"/>
    <col min="2573" max="2573" width="13.26953125" style="294" customWidth="1"/>
    <col min="2574" max="2816" width="9.1796875" style="294"/>
    <col min="2817" max="2817" width="24.7265625" style="294" bestFit="1" customWidth="1"/>
    <col min="2818" max="2818" width="18.7265625" style="294" bestFit="1" customWidth="1"/>
    <col min="2819" max="2819" width="8.1796875" style="294" bestFit="1" customWidth="1"/>
    <col min="2820" max="2821" width="8.26953125" style="294" bestFit="1" customWidth="1"/>
    <col min="2822" max="2822" width="7.26953125" style="294" bestFit="1" customWidth="1"/>
    <col min="2823" max="2823" width="23.26953125" style="294" customWidth="1"/>
    <col min="2824" max="2824" width="17.1796875" style="294" bestFit="1" customWidth="1"/>
    <col min="2825" max="2825" width="23.26953125" style="294" customWidth="1"/>
    <col min="2826" max="2826" width="28.7265625" style="294" bestFit="1" customWidth="1"/>
    <col min="2827" max="2828" width="9.1796875" style="294"/>
    <col min="2829" max="2829" width="13.26953125" style="294" customWidth="1"/>
    <col min="2830" max="3072" width="9.1796875" style="294"/>
    <col min="3073" max="3073" width="24.7265625" style="294" bestFit="1" customWidth="1"/>
    <col min="3074" max="3074" width="18.7265625" style="294" bestFit="1" customWidth="1"/>
    <col min="3075" max="3075" width="8.1796875" style="294" bestFit="1" customWidth="1"/>
    <col min="3076" max="3077" width="8.26953125" style="294" bestFit="1" customWidth="1"/>
    <col min="3078" max="3078" width="7.26953125" style="294" bestFit="1" customWidth="1"/>
    <col min="3079" max="3079" width="23.26953125" style="294" customWidth="1"/>
    <col min="3080" max="3080" width="17.1796875" style="294" bestFit="1" customWidth="1"/>
    <col min="3081" max="3081" width="23.26953125" style="294" customWidth="1"/>
    <col min="3082" max="3082" width="28.7265625" style="294" bestFit="1" customWidth="1"/>
    <col min="3083" max="3084" width="9.1796875" style="294"/>
    <col min="3085" max="3085" width="13.26953125" style="294" customWidth="1"/>
    <col min="3086" max="3328" width="9.1796875" style="294"/>
    <col min="3329" max="3329" width="24.7265625" style="294" bestFit="1" customWidth="1"/>
    <col min="3330" max="3330" width="18.7265625" style="294" bestFit="1" customWidth="1"/>
    <col min="3331" max="3331" width="8.1796875" style="294" bestFit="1" customWidth="1"/>
    <col min="3332" max="3333" width="8.26953125" style="294" bestFit="1" customWidth="1"/>
    <col min="3334" max="3334" width="7.26953125" style="294" bestFit="1" customWidth="1"/>
    <col min="3335" max="3335" width="23.26953125" style="294" customWidth="1"/>
    <col min="3336" max="3336" width="17.1796875" style="294" bestFit="1" customWidth="1"/>
    <col min="3337" max="3337" width="23.26953125" style="294" customWidth="1"/>
    <col min="3338" max="3338" width="28.7265625" style="294" bestFit="1" customWidth="1"/>
    <col min="3339" max="3340" width="9.1796875" style="294"/>
    <col min="3341" max="3341" width="13.26953125" style="294" customWidth="1"/>
    <col min="3342" max="3584" width="9.1796875" style="294"/>
    <col min="3585" max="3585" width="24.7265625" style="294" bestFit="1" customWidth="1"/>
    <col min="3586" max="3586" width="18.7265625" style="294" bestFit="1" customWidth="1"/>
    <col min="3587" max="3587" width="8.1796875" style="294" bestFit="1" customWidth="1"/>
    <col min="3588" max="3589" width="8.26953125" style="294" bestFit="1" customWidth="1"/>
    <col min="3590" max="3590" width="7.26953125" style="294" bestFit="1" customWidth="1"/>
    <col min="3591" max="3591" width="23.26953125" style="294" customWidth="1"/>
    <col min="3592" max="3592" width="17.1796875" style="294" bestFit="1" customWidth="1"/>
    <col min="3593" max="3593" width="23.26953125" style="294" customWidth="1"/>
    <col min="3594" max="3594" width="28.7265625" style="294" bestFit="1" customWidth="1"/>
    <col min="3595" max="3596" width="9.1796875" style="294"/>
    <col min="3597" max="3597" width="13.26953125" style="294" customWidth="1"/>
    <col min="3598" max="3840" width="9.1796875" style="294"/>
    <col min="3841" max="3841" width="24.7265625" style="294" bestFit="1" customWidth="1"/>
    <col min="3842" max="3842" width="18.7265625" style="294" bestFit="1" customWidth="1"/>
    <col min="3843" max="3843" width="8.1796875" style="294" bestFit="1" customWidth="1"/>
    <col min="3844" max="3845" width="8.26953125" style="294" bestFit="1" customWidth="1"/>
    <col min="3846" max="3846" width="7.26953125" style="294" bestFit="1" customWidth="1"/>
    <col min="3847" max="3847" width="23.26953125" style="294" customWidth="1"/>
    <col min="3848" max="3848" width="17.1796875" style="294" bestFit="1" customWidth="1"/>
    <col min="3849" max="3849" width="23.26953125" style="294" customWidth="1"/>
    <col min="3850" max="3850" width="28.7265625" style="294" bestFit="1" customWidth="1"/>
    <col min="3851" max="3852" width="9.1796875" style="294"/>
    <col min="3853" max="3853" width="13.26953125" style="294" customWidth="1"/>
    <col min="3854" max="4096" width="9.1796875" style="294"/>
    <col min="4097" max="4097" width="24.7265625" style="294" bestFit="1" customWidth="1"/>
    <col min="4098" max="4098" width="18.7265625" style="294" bestFit="1" customWidth="1"/>
    <col min="4099" max="4099" width="8.1796875" style="294" bestFit="1" customWidth="1"/>
    <col min="4100" max="4101" width="8.26953125" style="294" bestFit="1" customWidth="1"/>
    <col min="4102" max="4102" width="7.26953125" style="294" bestFit="1" customWidth="1"/>
    <col min="4103" max="4103" width="23.26953125" style="294" customWidth="1"/>
    <col min="4104" max="4104" width="17.1796875" style="294" bestFit="1" customWidth="1"/>
    <col min="4105" max="4105" width="23.26953125" style="294" customWidth="1"/>
    <col min="4106" max="4106" width="28.7265625" style="294" bestFit="1" customWidth="1"/>
    <col min="4107" max="4108" width="9.1796875" style="294"/>
    <col min="4109" max="4109" width="13.26953125" style="294" customWidth="1"/>
    <col min="4110" max="4352" width="9.1796875" style="294"/>
    <col min="4353" max="4353" width="24.7265625" style="294" bestFit="1" customWidth="1"/>
    <col min="4354" max="4354" width="18.7265625" style="294" bestFit="1" customWidth="1"/>
    <col min="4355" max="4355" width="8.1796875" style="294" bestFit="1" customWidth="1"/>
    <col min="4356" max="4357" width="8.26953125" style="294" bestFit="1" customWidth="1"/>
    <col min="4358" max="4358" width="7.26953125" style="294" bestFit="1" customWidth="1"/>
    <col min="4359" max="4359" width="23.26953125" style="294" customWidth="1"/>
    <col min="4360" max="4360" width="17.1796875" style="294" bestFit="1" customWidth="1"/>
    <col min="4361" max="4361" width="23.26953125" style="294" customWidth="1"/>
    <col min="4362" max="4362" width="28.7265625" style="294" bestFit="1" customWidth="1"/>
    <col min="4363" max="4364" width="9.1796875" style="294"/>
    <col min="4365" max="4365" width="13.26953125" style="294" customWidth="1"/>
    <col min="4366" max="4608" width="9.1796875" style="294"/>
    <col min="4609" max="4609" width="24.7265625" style="294" bestFit="1" customWidth="1"/>
    <col min="4610" max="4610" width="18.7265625" style="294" bestFit="1" customWidth="1"/>
    <col min="4611" max="4611" width="8.1796875" style="294" bestFit="1" customWidth="1"/>
    <col min="4612" max="4613" width="8.26953125" style="294" bestFit="1" customWidth="1"/>
    <col min="4614" max="4614" width="7.26953125" style="294" bestFit="1" customWidth="1"/>
    <col min="4615" max="4615" width="23.26953125" style="294" customWidth="1"/>
    <col min="4616" max="4616" width="17.1796875" style="294" bestFit="1" customWidth="1"/>
    <col min="4617" max="4617" width="23.26953125" style="294" customWidth="1"/>
    <col min="4618" max="4618" width="28.7265625" style="294" bestFit="1" customWidth="1"/>
    <col min="4619" max="4620" width="9.1796875" style="294"/>
    <col min="4621" max="4621" width="13.26953125" style="294" customWidth="1"/>
    <col min="4622" max="4864" width="9.1796875" style="294"/>
    <col min="4865" max="4865" width="24.7265625" style="294" bestFit="1" customWidth="1"/>
    <col min="4866" max="4866" width="18.7265625" style="294" bestFit="1" customWidth="1"/>
    <col min="4867" max="4867" width="8.1796875" style="294" bestFit="1" customWidth="1"/>
    <col min="4868" max="4869" width="8.26953125" style="294" bestFit="1" customWidth="1"/>
    <col min="4870" max="4870" width="7.26953125" style="294" bestFit="1" customWidth="1"/>
    <col min="4871" max="4871" width="23.26953125" style="294" customWidth="1"/>
    <col min="4872" max="4872" width="17.1796875" style="294" bestFit="1" customWidth="1"/>
    <col min="4873" max="4873" width="23.26953125" style="294" customWidth="1"/>
    <col min="4874" max="4874" width="28.7265625" style="294" bestFit="1" customWidth="1"/>
    <col min="4875" max="4876" width="9.1796875" style="294"/>
    <col min="4877" max="4877" width="13.26953125" style="294" customWidth="1"/>
    <col min="4878" max="5120" width="9.1796875" style="294"/>
    <col min="5121" max="5121" width="24.7265625" style="294" bestFit="1" customWidth="1"/>
    <col min="5122" max="5122" width="18.7265625" style="294" bestFit="1" customWidth="1"/>
    <col min="5123" max="5123" width="8.1796875" style="294" bestFit="1" customWidth="1"/>
    <col min="5124" max="5125" width="8.26953125" style="294" bestFit="1" customWidth="1"/>
    <col min="5126" max="5126" width="7.26953125" style="294" bestFit="1" customWidth="1"/>
    <col min="5127" max="5127" width="23.26953125" style="294" customWidth="1"/>
    <col min="5128" max="5128" width="17.1796875" style="294" bestFit="1" customWidth="1"/>
    <col min="5129" max="5129" width="23.26953125" style="294" customWidth="1"/>
    <col min="5130" max="5130" width="28.7265625" style="294" bestFit="1" customWidth="1"/>
    <col min="5131" max="5132" width="9.1796875" style="294"/>
    <col min="5133" max="5133" width="13.26953125" style="294" customWidth="1"/>
    <col min="5134" max="5376" width="9.1796875" style="294"/>
    <col min="5377" max="5377" width="24.7265625" style="294" bestFit="1" customWidth="1"/>
    <col min="5378" max="5378" width="18.7265625" style="294" bestFit="1" customWidth="1"/>
    <col min="5379" max="5379" width="8.1796875" style="294" bestFit="1" customWidth="1"/>
    <col min="5380" max="5381" width="8.26953125" style="294" bestFit="1" customWidth="1"/>
    <col min="5382" max="5382" width="7.26953125" style="294" bestFit="1" customWidth="1"/>
    <col min="5383" max="5383" width="23.26953125" style="294" customWidth="1"/>
    <col min="5384" max="5384" width="17.1796875" style="294" bestFit="1" customWidth="1"/>
    <col min="5385" max="5385" width="23.26953125" style="294" customWidth="1"/>
    <col min="5386" max="5386" width="28.7265625" style="294" bestFit="1" customWidth="1"/>
    <col min="5387" max="5388" width="9.1796875" style="294"/>
    <col min="5389" max="5389" width="13.26953125" style="294" customWidth="1"/>
    <col min="5390" max="5632" width="9.1796875" style="294"/>
    <col min="5633" max="5633" width="24.7265625" style="294" bestFit="1" customWidth="1"/>
    <col min="5634" max="5634" width="18.7265625" style="294" bestFit="1" customWidth="1"/>
    <col min="5635" max="5635" width="8.1796875" style="294" bestFit="1" customWidth="1"/>
    <col min="5636" max="5637" width="8.26953125" style="294" bestFit="1" customWidth="1"/>
    <col min="5638" max="5638" width="7.26953125" style="294" bestFit="1" customWidth="1"/>
    <col min="5639" max="5639" width="23.26953125" style="294" customWidth="1"/>
    <col min="5640" max="5640" width="17.1796875" style="294" bestFit="1" customWidth="1"/>
    <col min="5641" max="5641" width="23.26953125" style="294" customWidth="1"/>
    <col min="5642" max="5642" width="28.7265625" style="294" bestFit="1" customWidth="1"/>
    <col min="5643" max="5644" width="9.1796875" style="294"/>
    <col min="5645" max="5645" width="13.26953125" style="294" customWidth="1"/>
    <col min="5646" max="5888" width="9.1796875" style="294"/>
    <col min="5889" max="5889" width="24.7265625" style="294" bestFit="1" customWidth="1"/>
    <col min="5890" max="5890" width="18.7265625" style="294" bestFit="1" customWidth="1"/>
    <col min="5891" max="5891" width="8.1796875" style="294" bestFit="1" customWidth="1"/>
    <col min="5892" max="5893" width="8.26953125" style="294" bestFit="1" customWidth="1"/>
    <col min="5894" max="5894" width="7.26953125" style="294" bestFit="1" customWidth="1"/>
    <col min="5895" max="5895" width="23.26953125" style="294" customWidth="1"/>
    <col min="5896" max="5896" width="17.1796875" style="294" bestFit="1" customWidth="1"/>
    <col min="5897" max="5897" width="23.26953125" style="294" customWidth="1"/>
    <col min="5898" max="5898" width="28.7265625" style="294" bestFit="1" customWidth="1"/>
    <col min="5899" max="5900" width="9.1796875" style="294"/>
    <col min="5901" max="5901" width="13.26953125" style="294" customWidth="1"/>
    <col min="5902" max="6144" width="9.1796875" style="294"/>
    <col min="6145" max="6145" width="24.7265625" style="294" bestFit="1" customWidth="1"/>
    <col min="6146" max="6146" width="18.7265625" style="294" bestFit="1" customWidth="1"/>
    <col min="6147" max="6147" width="8.1796875" style="294" bestFit="1" customWidth="1"/>
    <col min="6148" max="6149" width="8.26953125" style="294" bestFit="1" customWidth="1"/>
    <col min="6150" max="6150" width="7.26953125" style="294" bestFit="1" customWidth="1"/>
    <col min="6151" max="6151" width="23.26953125" style="294" customWidth="1"/>
    <col min="6152" max="6152" width="17.1796875" style="294" bestFit="1" customWidth="1"/>
    <col min="6153" max="6153" width="23.26953125" style="294" customWidth="1"/>
    <col min="6154" max="6154" width="28.7265625" style="294" bestFit="1" customWidth="1"/>
    <col min="6155" max="6156" width="9.1796875" style="294"/>
    <col min="6157" max="6157" width="13.26953125" style="294" customWidth="1"/>
    <col min="6158" max="6400" width="9.1796875" style="294"/>
    <col min="6401" max="6401" width="24.7265625" style="294" bestFit="1" customWidth="1"/>
    <col min="6402" max="6402" width="18.7265625" style="294" bestFit="1" customWidth="1"/>
    <col min="6403" max="6403" width="8.1796875" style="294" bestFit="1" customWidth="1"/>
    <col min="6404" max="6405" width="8.26953125" style="294" bestFit="1" customWidth="1"/>
    <col min="6406" max="6406" width="7.26953125" style="294" bestFit="1" customWidth="1"/>
    <col min="6407" max="6407" width="23.26953125" style="294" customWidth="1"/>
    <col min="6408" max="6408" width="17.1796875" style="294" bestFit="1" customWidth="1"/>
    <col min="6409" max="6409" width="23.26953125" style="294" customWidth="1"/>
    <col min="6410" max="6410" width="28.7265625" style="294" bestFit="1" customWidth="1"/>
    <col min="6411" max="6412" width="9.1796875" style="294"/>
    <col min="6413" max="6413" width="13.26953125" style="294" customWidth="1"/>
    <col min="6414" max="6656" width="9.1796875" style="294"/>
    <col min="6657" max="6657" width="24.7265625" style="294" bestFit="1" customWidth="1"/>
    <col min="6658" max="6658" width="18.7265625" style="294" bestFit="1" customWidth="1"/>
    <col min="6659" max="6659" width="8.1796875" style="294" bestFit="1" customWidth="1"/>
    <col min="6660" max="6661" width="8.26953125" style="294" bestFit="1" customWidth="1"/>
    <col min="6662" max="6662" width="7.26953125" style="294" bestFit="1" customWidth="1"/>
    <col min="6663" max="6663" width="23.26953125" style="294" customWidth="1"/>
    <col min="6664" max="6664" width="17.1796875" style="294" bestFit="1" customWidth="1"/>
    <col min="6665" max="6665" width="23.26953125" style="294" customWidth="1"/>
    <col min="6666" max="6666" width="28.7265625" style="294" bestFit="1" customWidth="1"/>
    <col min="6667" max="6668" width="9.1796875" style="294"/>
    <col min="6669" max="6669" width="13.26953125" style="294" customWidth="1"/>
    <col min="6670" max="6912" width="9.1796875" style="294"/>
    <col min="6913" max="6913" width="24.7265625" style="294" bestFit="1" customWidth="1"/>
    <col min="6914" max="6914" width="18.7265625" style="294" bestFit="1" customWidth="1"/>
    <col min="6915" max="6915" width="8.1796875" style="294" bestFit="1" customWidth="1"/>
    <col min="6916" max="6917" width="8.26953125" style="294" bestFit="1" customWidth="1"/>
    <col min="6918" max="6918" width="7.26953125" style="294" bestFit="1" customWidth="1"/>
    <col min="6919" max="6919" width="23.26953125" style="294" customWidth="1"/>
    <col min="6920" max="6920" width="17.1796875" style="294" bestFit="1" customWidth="1"/>
    <col min="6921" max="6921" width="23.26953125" style="294" customWidth="1"/>
    <col min="6922" max="6922" width="28.7265625" style="294" bestFit="1" customWidth="1"/>
    <col min="6923" max="6924" width="9.1796875" style="294"/>
    <col min="6925" max="6925" width="13.26953125" style="294" customWidth="1"/>
    <col min="6926" max="7168" width="9.1796875" style="294"/>
    <col min="7169" max="7169" width="24.7265625" style="294" bestFit="1" customWidth="1"/>
    <col min="7170" max="7170" width="18.7265625" style="294" bestFit="1" customWidth="1"/>
    <col min="7171" max="7171" width="8.1796875" style="294" bestFit="1" customWidth="1"/>
    <col min="7172" max="7173" width="8.26953125" style="294" bestFit="1" customWidth="1"/>
    <col min="7174" max="7174" width="7.26953125" style="294" bestFit="1" customWidth="1"/>
    <col min="7175" max="7175" width="23.26953125" style="294" customWidth="1"/>
    <col min="7176" max="7176" width="17.1796875" style="294" bestFit="1" customWidth="1"/>
    <col min="7177" max="7177" width="23.26953125" style="294" customWidth="1"/>
    <col min="7178" max="7178" width="28.7265625" style="294" bestFit="1" customWidth="1"/>
    <col min="7179" max="7180" width="9.1796875" style="294"/>
    <col min="7181" max="7181" width="13.26953125" style="294" customWidth="1"/>
    <col min="7182" max="7424" width="9.1796875" style="294"/>
    <col min="7425" max="7425" width="24.7265625" style="294" bestFit="1" customWidth="1"/>
    <col min="7426" max="7426" width="18.7265625" style="294" bestFit="1" customWidth="1"/>
    <col min="7427" max="7427" width="8.1796875" style="294" bestFit="1" customWidth="1"/>
    <col min="7428" max="7429" width="8.26953125" style="294" bestFit="1" customWidth="1"/>
    <col min="7430" max="7430" width="7.26953125" style="294" bestFit="1" customWidth="1"/>
    <col min="7431" max="7431" width="23.26953125" style="294" customWidth="1"/>
    <col min="7432" max="7432" width="17.1796875" style="294" bestFit="1" customWidth="1"/>
    <col min="7433" max="7433" width="23.26953125" style="294" customWidth="1"/>
    <col min="7434" max="7434" width="28.7265625" style="294" bestFit="1" customWidth="1"/>
    <col min="7435" max="7436" width="9.1796875" style="294"/>
    <col min="7437" max="7437" width="13.26953125" style="294" customWidth="1"/>
    <col min="7438" max="7680" width="9.1796875" style="294"/>
    <col min="7681" max="7681" width="24.7265625" style="294" bestFit="1" customWidth="1"/>
    <col min="7682" max="7682" width="18.7265625" style="294" bestFit="1" customWidth="1"/>
    <col min="7683" max="7683" width="8.1796875" style="294" bestFit="1" customWidth="1"/>
    <col min="7684" max="7685" width="8.26953125" style="294" bestFit="1" customWidth="1"/>
    <col min="7686" max="7686" width="7.26953125" style="294" bestFit="1" customWidth="1"/>
    <col min="7687" max="7687" width="23.26953125" style="294" customWidth="1"/>
    <col min="7688" max="7688" width="17.1796875" style="294" bestFit="1" customWidth="1"/>
    <col min="7689" max="7689" width="23.26953125" style="294" customWidth="1"/>
    <col min="7690" max="7690" width="28.7265625" style="294" bestFit="1" customWidth="1"/>
    <col min="7691" max="7692" width="9.1796875" style="294"/>
    <col min="7693" max="7693" width="13.26953125" style="294" customWidth="1"/>
    <col min="7694" max="7936" width="9.1796875" style="294"/>
    <col min="7937" max="7937" width="24.7265625" style="294" bestFit="1" customWidth="1"/>
    <col min="7938" max="7938" width="18.7265625" style="294" bestFit="1" customWidth="1"/>
    <col min="7939" max="7939" width="8.1796875" style="294" bestFit="1" customWidth="1"/>
    <col min="7940" max="7941" width="8.26953125" style="294" bestFit="1" customWidth="1"/>
    <col min="7942" max="7942" width="7.26953125" style="294" bestFit="1" customWidth="1"/>
    <col min="7943" max="7943" width="23.26953125" style="294" customWidth="1"/>
    <col min="7944" max="7944" width="17.1796875" style="294" bestFit="1" customWidth="1"/>
    <col min="7945" max="7945" width="23.26953125" style="294" customWidth="1"/>
    <col min="7946" max="7946" width="28.7265625" style="294" bestFit="1" customWidth="1"/>
    <col min="7947" max="7948" width="9.1796875" style="294"/>
    <col min="7949" max="7949" width="13.26953125" style="294" customWidth="1"/>
    <col min="7950" max="8192" width="9.1796875" style="294"/>
    <col min="8193" max="8193" width="24.7265625" style="294" bestFit="1" customWidth="1"/>
    <col min="8194" max="8194" width="18.7265625" style="294" bestFit="1" customWidth="1"/>
    <col min="8195" max="8195" width="8.1796875" style="294" bestFit="1" customWidth="1"/>
    <col min="8196" max="8197" width="8.26953125" style="294" bestFit="1" customWidth="1"/>
    <col min="8198" max="8198" width="7.26953125" style="294" bestFit="1" customWidth="1"/>
    <col min="8199" max="8199" width="23.26953125" style="294" customWidth="1"/>
    <col min="8200" max="8200" width="17.1796875" style="294" bestFit="1" customWidth="1"/>
    <col min="8201" max="8201" width="23.26953125" style="294" customWidth="1"/>
    <col min="8202" max="8202" width="28.7265625" style="294" bestFit="1" customWidth="1"/>
    <col min="8203" max="8204" width="9.1796875" style="294"/>
    <col min="8205" max="8205" width="13.26953125" style="294" customWidth="1"/>
    <col min="8206" max="8448" width="9.1796875" style="294"/>
    <col min="8449" max="8449" width="24.7265625" style="294" bestFit="1" customWidth="1"/>
    <col min="8450" max="8450" width="18.7265625" style="294" bestFit="1" customWidth="1"/>
    <col min="8451" max="8451" width="8.1796875" style="294" bestFit="1" customWidth="1"/>
    <col min="8452" max="8453" width="8.26953125" style="294" bestFit="1" customWidth="1"/>
    <col min="8454" max="8454" width="7.26953125" style="294" bestFit="1" customWidth="1"/>
    <col min="8455" max="8455" width="23.26953125" style="294" customWidth="1"/>
    <col min="8456" max="8456" width="17.1796875" style="294" bestFit="1" customWidth="1"/>
    <col min="8457" max="8457" width="23.26953125" style="294" customWidth="1"/>
    <col min="8458" max="8458" width="28.7265625" style="294" bestFit="1" customWidth="1"/>
    <col min="8459" max="8460" width="9.1796875" style="294"/>
    <col min="8461" max="8461" width="13.26953125" style="294" customWidth="1"/>
    <col min="8462" max="8704" width="9.1796875" style="294"/>
    <col min="8705" max="8705" width="24.7265625" style="294" bestFit="1" customWidth="1"/>
    <col min="8706" max="8706" width="18.7265625" style="294" bestFit="1" customWidth="1"/>
    <col min="8707" max="8707" width="8.1796875" style="294" bestFit="1" customWidth="1"/>
    <col min="8708" max="8709" width="8.26953125" style="294" bestFit="1" customWidth="1"/>
    <col min="8710" max="8710" width="7.26953125" style="294" bestFit="1" customWidth="1"/>
    <col min="8711" max="8711" width="23.26953125" style="294" customWidth="1"/>
    <col min="8712" max="8712" width="17.1796875" style="294" bestFit="1" customWidth="1"/>
    <col min="8713" max="8713" width="23.26953125" style="294" customWidth="1"/>
    <col min="8714" max="8714" width="28.7265625" style="294" bestFit="1" customWidth="1"/>
    <col min="8715" max="8716" width="9.1796875" style="294"/>
    <col min="8717" max="8717" width="13.26953125" style="294" customWidth="1"/>
    <col min="8718" max="8960" width="9.1796875" style="294"/>
    <col min="8961" max="8961" width="24.7265625" style="294" bestFit="1" customWidth="1"/>
    <col min="8962" max="8962" width="18.7265625" style="294" bestFit="1" customWidth="1"/>
    <col min="8963" max="8963" width="8.1796875" style="294" bestFit="1" customWidth="1"/>
    <col min="8964" max="8965" width="8.26953125" style="294" bestFit="1" customWidth="1"/>
    <col min="8966" max="8966" width="7.26953125" style="294" bestFit="1" customWidth="1"/>
    <col min="8967" max="8967" width="23.26953125" style="294" customWidth="1"/>
    <col min="8968" max="8968" width="17.1796875" style="294" bestFit="1" customWidth="1"/>
    <col min="8969" max="8969" width="23.26953125" style="294" customWidth="1"/>
    <col min="8970" max="8970" width="28.7265625" style="294" bestFit="1" customWidth="1"/>
    <col min="8971" max="8972" width="9.1796875" style="294"/>
    <col min="8973" max="8973" width="13.26953125" style="294" customWidth="1"/>
    <col min="8974" max="9216" width="9.1796875" style="294"/>
    <col min="9217" max="9217" width="24.7265625" style="294" bestFit="1" customWidth="1"/>
    <col min="9218" max="9218" width="18.7265625" style="294" bestFit="1" customWidth="1"/>
    <col min="9219" max="9219" width="8.1796875" style="294" bestFit="1" customWidth="1"/>
    <col min="9220" max="9221" width="8.26953125" style="294" bestFit="1" customWidth="1"/>
    <col min="9222" max="9222" width="7.26953125" style="294" bestFit="1" customWidth="1"/>
    <col min="9223" max="9223" width="23.26953125" style="294" customWidth="1"/>
    <col min="9224" max="9224" width="17.1796875" style="294" bestFit="1" customWidth="1"/>
    <col min="9225" max="9225" width="23.26953125" style="294" customWidth="1"/>
    <col min="9226" max="9226" width="28.7265625" style="294" bestFit="1" customWidth="1"/>
    <col min="9227" max="9228" width="9.1796875" style="294"/>
    <col min="9229" max="9229" width="13.26953125" style="294" customWidth="1"/>
    <col min="9230" max="9472" width="9.1796875" style="294"/>
    <col min="9473" max="9473" width="24.7265625" style="294" bestFit="1" customWidth="1"/>
    <col min="9474" max="9474" width="18.7265625" style="294" bestFit="1" customWidth="1"/>
    <col min="9475" max="9475" width="8.1796875" style="294" bestFit="1" customWidth="1"/>
    <col min="9476" max="9477" width="8.26953125" style="294" bestFit="1" customWidth="1"/>
    <col min="9478" max="9478" width="7.26953125" style="294" bestFit="1" customWidth="1"/>
    <col min="9479" max="9479" width="23.26953125" style="294" customWidth="1"/>
    <col min="9480" max="9480" width="17.1796875" style="294" bestFit="1" customWidth="1"/>
    <col min="9481" max="9481" width="23.26953125" style="294" customWidth="1"/>
    <col min="9482" max="9482" width="28.7265625" style="294" bestFit="1" customWidth="1"/>
    <col min="9483" max="9484" width="9.1796875" style="294"/>
    <col min="9485" max="9485" width="13.26953125" style="294" customWidth="1"/>
    <col min="9486" max="9728" width="9.1796875" style="294"/>
    <col min="9729" max="9729" width="24.7265625" style="294" bestFit="1" customWidth="1"/>
    <col min="9730" max="9730" width="18.7265625" style="294" bestFit="1" customWidth="1"/>
    <col min="9731" max="9731" width="8.1796875" style="294" bestFit="1" customWidth="1"/>
    <col min="9732" max="9733" width="8.26953125" style="294" bestFit="1" customWidth="1"/>
    <col min="9734" max="9734" width="7.26953125" style="294" bestFit="1" customWidth="1"/>
    <col min="9735" max="9735" width="23.26953125" style="294" customWidth="1"/>
    <col min="9736" max="9736" width="17.1796875" style="294" bestFit="1" customWidth="1"/>
    <col min="9737" max="9737" width="23.26953125" style="294" customWidth="1"/>
    <col min="9738" max="9738" width="28.7265625" style="294" bestFit="1" customWidth="1"/>
    <col min="9739" max="9740" width="9.1796875" style="294"/>
    <col min="9741" max="9741" width="13.26953125" style="294" customWidth="1"/>
    <col min="9742" max="9984" width="9.1796875" style="294"/>
    <col min="9985" max="9985" width="24.7265625" style="294" bestFit="1" customWidth="1"/>
    <col min="9986" max="9986" width="18.7265625" style="294" bestFit="1" customWidth="1"/>
    <col min="9987" max="9987" width="8.1796875" style="294" bestFit="1" customWidth="1"/>
    <col min="9988" max="9989" width="8.26953125" style="294" bestFit="1" customWidth="1"/>
    <col min="9990" max="9990" width="7.26953125" style="294" bestFit="1" customWidth="1"/>
    <col min="9991" max="9991" width="23.26953125" style="294" customWidth="1"/>
    <col min="9992" max="9992" width="17.1796875" style="294" bestFit="1" customWidth="1"/>
    <col min="9993" max="9993" width="23.26953125" style="294" customWidth="1"/>
    <col min="9994" max="9994" width="28.7265625" style="294" bestFit="1" customWidth="1"/>
    <col min="9995" max="9996" width="9.1796875" style="294"/>
    <col min="9997" max="9997" width="13.26953125" style="294" customWidth="1"/>
    <col min="9998" max="10240" width="9.1796875" style="294"/>
    <col min="10241" max="10241" width="24.7265625" style="294" bestFit="1" customWidth="1"/>
    <col min="10242" max="10242" width="18.7265625" style="294" bestFit="1" customWidth="1"/>
    <col min="10243" max="10243" width="8.1796875" style="294" bestFit="1" customWidth="1"/>
    <col min="10244" max="10245" width="8.26953125" style="294" bestFit="1" customWidth="1"/>
    <col min="10246" max="10246" width="7.26953125" style="294" bestFit="1" customWidth="1"/>
    <col min="10247" max="10247" width="23.26953125" style="294" customWidth="1"/>
    <col min="10248" max="10248" width="17.1796875" style="294" bestFit="1" customWidth="1"/>
    <col min="10249" max="10249" width="23.26953125" style="294" customWidth="1"/>
    <col min="10250" max="10250" width="28.7265625" style="294" bestFit="1" customWidth="1"/>
    <col min="10251" max="10252" width="9.1796875" style="294"/>
    <col min="10253" max="10253" width="13.26953125" style="294" customWidth="1"/>
    <col min="10254" max="10496" width="9.1796875" style="294"/>
    <col min="10497" max="10497" width="24.7265625" style="294" bestFit="1" customWidth="1"/>
    <col min="10498" max="10498" width="18.7265625" style="294" bestFit="1" customWidth="1"/>
    <col min="10499" max="10499" width="8.1796875" style="294" bestFit="1" customWidth="1"/>
    <col min="10500" max="10501" width="8.26953125" style="294" bestFit="1" customWidth="1"/>
    <col min="10502" max="10502" width="7.26953125" style="294" bestFit="1" customWidth="1"/>
    <col min="10503" max="10503" width="23.26953125" style="294" customWidth="1"/>
    <col min="10504" max="10504" width="17.1796875" style="294" bestFit="1" customWidth="1"/>
    <col min="10505" max="10505" width="23.26953125" style="294" customWidth="1"/>
    <col min="10506" max="10506" width="28.7265625" style="294" bestFit="1" customWidth="1"/>
    <col min="10507" max="10508" width="9.1796875" style="294"/>
    <col min="10509" max="10509" width="13.26953125" style="294" customWidth="1"/>
    <col min="10510" max="10752" width="9.1796875" style="294"/>
    <col min="10753" max="10753" width="24.7265625" style="294" bestFit="1" customWidth="1"/>
    <col min="10754" max="10754" width="18.7265625" style="294" bestFit="1" customWidth="1"/>
    <col min="10755" max="10755" width="8.1796875" style="294" bestFit="1" customWidth="1"/>
    <col min="10756" max="10757" width="8.26953125" style="294" bestFit="1" customWidth="1"/>
    <col min="10758" max="10758" width="7.26953125" style="294" bestFit="1" customWidth="1"/>
    <col min="10759" max="10759" width="23.26953125" style="294" customWidth="1"/>
    <col min="10760" max="10760" width="17.1796875" style="294" bestFit="1" customWidth="1"/>
    <col min="10761" max="10761" width="23.26953125" style="294" customWidth="1"/>
    <col min="10762" max="10762" width="28.7265625" style="294" bestFit="1" customWidth="1"/>
    <col min="10763" max="10764" width="9.1796875" style="294"/>
    <col min="10765" max="10765" width="13.26953125" style="294" customWidth="1"/>
    <col min="10766" max="11008" width="9.1796875" style="294"/>
    <col min="11009" max="11009" width="24.7265625" style="294" bestFit="1" customWidth="1"/>
    <col min="11010" max="11010" width="18.7265625" style="294" bestFit="1" customWidth="1"/>
    <col min="11011" max="11011" width="8.1796875" style="294" bestFit="1" customWidth="1"/>
    <col min="11012" max="11013" width="8.26953125" style="294" bestFit="1" customWidth="1"/>
    <col min="11014" max="11014" width="7.26953125" style="294" bestFit="1" customWidth="1"/>
    <col min="11015" max="11015" width="23.26953125" style="294" customWidth="1"/>
    <col min="11016" max="11016" width="17.1796875" style="294" bestFit="1" customWidth="1"/>
    <col min="11017" max="11017" width="23.26953125" style="294" customWidth="1"/>
    <col min="11018" max="11018" width="28.7265625" style="294" bestFit="1" customWidth="1"/>
    <col min="11019" max="11020" width="9.1796875" style="294"/>
    <col min="11021" max="11021" width="13.26953125" style="294" customWidth="1"/>
    <col min="11022" max="11264" width="9.1796875" style="294"/>
    <col min="11265" max="11265" width="24.7265625" style="294" bestFit="1" customWidth="1"/>
    <col min="11266" max="11266" width="18.7265625" style="294" bestFit="1" customWidth="1"/>
    <col min="11267" max="11267" width="8.1796875" style="294" bestFit="1" customWidth="1"/>
    <col min="11268" max="11269" width="8.26953125" style="294" bestFit="1" customWidth="1"/>
    <col min="11270" max="11270" width="7.26953125" style="294" bestFit="1" customWidth="1"/>
    <col min="11271" max="11271" width="23.26953125" style="294" customWidth="1"/>
    <col min="11272" max="11272" width="17.1796875" style="294" bestFit="1" customWidth="1"/>
    <col min="11273" max="11273" width="23.26953125" style="294" customWidth="1"/>
    <col min="11274" max="11274" width="28.7265625" style="294" bestFit="1" customWidth="1"/>
    <col min="11275" max="11276" width="9.1796875" style="294"/>
    <col min="11277" max="11277" width="13.26953125" style="294" customWidth="1"/>
    <col min="11278" max="11520" width="9.1796875" style="294"/>
    <col min="11521" max="11521" width="24.7265625" style="294" bestFit="1" customWidth="1"/>
    <col min="11522" max="11522" width="18.7265625" style="294" bestFit="1" customWidth="1"/>
    <col min="11523" max="11523" width="8.1796875" style="294" bestFit="1" customWidth="1"/>
    <col min="11524" max="11525" width="8.26953125" style="294" bestFit="1" customWidth="1"/>
    <col min="11526" max="11526" width="7.26953125" style="294" bestFit="1" customWidth="1"/>
    <col min="11527" max="11527" width="23.26953125" style="294" customWidth="1"/>
    <col min="11528" max="11528" width="17.1796875" style="294" bestFit="1" customWidth="1"/>
    <col min="11529" max="11529" width="23.26953125" style="294" customWidth="1"/>
    <col min="11530" max="11530" width="28.7265625" style="294" bestFit="1" customWidth="1"/>
    <col min="11531" max="11532" width="9.1796875" style="294"/>
    <col min="11533" max="11533" width="13.26953125" style="294" customWidth="1"/>
    <col min="11534" max="11776" width="9.1796875" style="294"/>
    <col min="11777" max="11777" width="24.7265625" style="294" bestFit="1" customWidth="1"/>
    <col min="11778" max="11778" width="18.7265625" style="294" bestFit="1" customWidth="1"/>
    <col min="11779" max="11779" width="8.1796875" style="294" bestFit="1" customWidth="1"/>
    <col min="11780" max="11781" width="8.26953125" style="294" bestFit="1" customWidth="1"/>
    <col min="11782" max="11782" width="7.26953125" style="294" bestFit="1" customWidth="1"/>
    <col min="11783" max="11783" width="23.26953125" style="294" customWidth="1"/>
    <col min="11784" max="11784" width="17.1796875" style="294" bestFit="1" customWidth="1"/>
    <col min="11785" max="11785" width="23.26953125" style="294" customWidth="1"/>
    <col min="11786" max="11786" width="28.7265625" style="294" bestFit="1" customWidth="1"/>
    <col min="11787" max="11788" width="9.1796875" style="294"/>
    <col min="11789" max="11789" width="13.26953125" style="294" customWidth="1"/>
    <col min="11790" max="12032" width="9.1796875" style="294"/>
    <col min="12033" max="12033" width="24.7265625" style="294" bestFit="1" customWidth="1"/>
    <col min="12034" max="12034" width="18.7265625" style="294" bestFit="1" customWidth="1"/>
    <col min="12035" max="12035" width="8.1796875" style="294" bestFit="1" customWidth="1"/>
    <col min="12036" max="12037" width="8.26953125" style="294" bestFit="1" customWidth="1"/>
    <col min="12038" max="12038" width="7.26953125" style="294" bestFit="1" customWidth="1"/>
    <col min="12039" max="12039" width="23.26953125" style="294" customWidth="1"/>
    <col min="12040" max="12040" width="17.1796875" style="294" bestFit="1" customWidth="1"/>
    <col min="12041" max="12041" width="23.26953125" style="294" customWidth="1"/>
    <col min="12042" max="12042" width="28.7265625" style="294" bestFit="1" customWidth="1"/>
    <col min="12043" max="12044" width="9.1796875" style="294"/>
    <col min="12045" max="12045" width="13.26953125" style="294" customWidth="1"/>
    <col min="12046" max="12288" width="9.1796875" style="294"/>
    <col min="12289" max="12289" width="24.7265625" style="294" bestFit="1" customWidth="1"/>
    <col min="12290" max="12290" width="18.7265625" style="294" bestFit="1" customWidth="1"/>
    <col min="12291" max="12291" width="8.1796875" style="294" bestFit="1" customWidth="1"/>
    <col min="12292" max="12293" width="8.26953125" style="294" bestFit="1" customWidth="1"/>
    <col min="12294" max="12294" width="7.26953125" style="294" bestFit="1" customWidth="1"/>
    <col min="12295" max="12295" width="23.26953125" style="294" customWidth="1"/>
    <col min="12296" max="12296" width="17.1796875" style="294" bestFit="1" customWidth="1"/>
    <col min="12297" max="12297" width="23.26953125" style="294" customWidth="1"/>
    <col min="12298" max="12298" width="28.7265625" style="294" bestFit="1" customWidth="1"/>
    <col min="12299" max="12300" width="9.1796875" style="294"/>
    <col min="12301" max="12301" width="13.26953125" style="294" customWidth="1"/>
    <col min="12302" max="12544" width="9.1796875" style="294"/>
    <col min="12545" max="12545" width="24.7265625" style="294" bestFit="1" customWidth="1"/>
    <col min="12546" max="12546" width="18.7265625" style="294" bestFit="1" customWidth="1"/>
    <col min="12547" max="12547" width="8.1796875" style="294" bestFit="1" customWidth="1"/>
    <col min="12548" max="12549" width="8.26953125" style="294" bestFit="1" customWidth="1"/>
    <col min="12550" max="12550" width="7.26953125" style="294" bestFit="1" customWidth="1"/>
    <col min="12551" max="12551" width="23.26953125" style="294" customWidth="1"/>
    <col min="12552" max="12552" width="17.1796875" style="294" bestFit="1" customWidth="1"/>
    <col min="12553" max="12553" width="23.26953125" style="294" customWidth="1"/>
    <col min="12554" max="12554" width="28.7265625" style="294" bestFit="1" customWidth="1"/>
    <col min="12555" max="12556" width="9.1796875" style="294"/>
    <col min="12557" max="12557" width="13.26953125" style="294" customWidth="1"/>
    <col min="12558" max="12800" width="9.1796875" style="294"/>
    <col min="12801" max="12801" width="24.7265625" style="294" bestFit="1" customWidth="1"/>
    <col min="12802" max="12802" width="18.7265625" style="294" bestFit="1" customWidth="1"/>
    <col min="12803" max="12803" width="8.1796875" style="294" bestFit="1" customWidth="1"/>
    <col min="12804" max="12805" width="8.26953125" style="294" bestFit="1" customWidth="1"/>
    <col min="12806" max="12806" width="7.26953125" style="294" bestFit="1" customWidth="1"/>
    <col min="12807" max="12807" width="23.26953125" style="294" customWidth="1"/>
    <col min="12808" max="12808" width="17.1796875" style="294" bestFit="1" customWidth="1"/>
    <col min="12809" max="12809" width="23.26953125" style="294" customWidth="1"/>
    <col min="12810" max="12810" width="28.7265625" style="294" bestFit="1" customWidth="1"/>
    <col min="12811" max="12812" width="9.1796875" style="294"/>
    <col min="12813" max="12813" width="13.26953125" style="294" customWidth="1"/>
    <col min="12814" max="13056" width="9.1796875" style="294"/>
    <col min="13057" max="13057" width="24.7265625" style="294" bestFit="1" customWidth="1"/>
    <col min="13058" max="13058" width="18.7265625" style="294" bestFit="1" customWidth="1"/>
    <col min="13059" max="13059" width="8.1796875" style="294" bestFit="1" customWidth="1"/>
    <col min="13060" max="13061" width="8.26953125" style="294" bestFit="1" customWidth="1"/>
    <col min="13062" max="13062" width="7.26953125" style="294" bestFit="1" customWidth="1"/>
    <col min="13063" max="13063" width="23.26953125" style="294" customWidth="1"/>
    <col min="13064" max="13064" width="17.1796875" style="294" bestFit="1" customWidth="1"/>
    <col min="13065" max="13065" width="23.26953125" style="294" customWidth="1"/>
    <col min="13066" max="13066" width="28.7265625" style="294" bestFit="1" customWidth="1"/>
    <col min="13067" max="13068" width="9.1796875" style="294"/>
    <col min="13069" max="13069" width="13.26953125" style="294" customWidth="1"/>
    <col min="13070" max="13312" width="9.1796875" style="294"/>
    <col min="13313" max="13313" width="24.7265625" style="294" bestFit="1" customWidth="1"/>
    <col min="13314" max="13314" width="18.7265625" style="294" bestFit="1" customWidth="1"/>
    <col min="13315" max="13315" width="8.1796875" style="294" bestFit="1" customWidth="1"/>
    <col min="13316" max="13317" width="8.26953125" style="294" bestFit="1" customWidth="1"/>
    <col min="13318" max="13318" width="7.26953125" style="294" bestFit="1" customWidth="1"/>
    <col min="13319" max="13319" width="23.26953125" style="294" customWidth="1"/>
    <col min="13320" max="13320" width="17.1796875" style="294" bestFit="1" customWidth="1"/>
    <col min="13321" max="13321" width="23.26953125" style="294" customWidth="1"/>
    <col min="13322" max="13322" width="28.7265625" style="294" bestFit="1" customWidth="1"/>
    <col min="13323" max="13324" width="9.1796875" style="294"/>
    <col min="13325" max="13325" width="13.26953125" style="294" customWidth="1"/>
    <col min="13326" max="13568" width="9.1796875" style="294"/>
    <col min="13569" max="13569" width="24.7265625" style="294" bestFit="1" customWidth="1"/>
    <col min="13570" max="13570" width="18.7265625" style="294" bestFit="1" customWidth="1"/>
    <col min="13571" max="13571" width="8.1796875" style="294" bestFit="1" customWidth="1"/>
    <col min="13572" max="13573" width="8.26953125" style="294" bestFit="1" customWidth="1"/>
    <col min="13574" max="13574" width="7.26953125" style="294" bestFit="1" customWidth="1"/>
    <col min="13575" max="13575" width="23.26953125" style="294" customWidth="1"/>
    <col min="13576" max="13576" width="17.1796875" style="294" bestFit="1" customWidth="1"/>
    <col min="13577" max="13577" width="23.26953125" style="294" customWidth="1"/>
    <col min="13578" max="13578" width="28.7265625" style="294" bestFit="1" customWidth="1"/>
    <col min="13579" max="13580" width="9.1796875" style="294"/>
    <col min="13581" max="13581" width="13.26953125" style="294" customWidth="1"/>
    <col min="13582" max="13824" width="9.1796875" style="294"/>
    <col min="13825" max="13825" width="24.7265625" style="294" bestFit="1" customWidth="1"/>
    <col min="13826" max="13826" width="18.7265625" style="294" bestFit="1" customWidth="1"/>
    <col min="13827" max="13827" width="8.1796875" style="294" bestFit="1" customWidth="1"/>
    <col min="13828" max="13829" width="8.26953125" style="294" bestFit="1" customWidth="1"/>
    <col min="13830" max="13830" width="7.26953125" style="294" bestFit="1" customWidth="1"/>
    <col min="13831" max="13831" width="23.26953125" style="294" customWidth="1"/>
    <col min="13832" max="13832" width="17.1796875" style="294" bestFit="1" customWidth="1"/>
    <col min="13833" max="13833" width="23.26953125" style="294" customWidth="1"/>
    <col min="13834" max="13834" width="28.7265625" style="294" bestFit="1" customWidth="1"/>
    <col min="13835" max="13836" width="9.1796875" style="294"/>
    <col min="13837" max="13837" width="13.26953125" style="294" customWidth="1"/>
    <col min="13838" max="14080" width="9.1796875" style="294"/>
    <col min="14081" max="14081" width="24.7265625" style="294" bestFit="1" customWidth="1"/>
    <col min="14082" max="14082" width="18.7265625" style="294" bestFit="1" customWidth="1"/>
    <col min="14083" max="14083" width="8.1796875" style="294" bestFit="1" customWidth="1"/>
    <col min="14084" max="14085" width="8.26953125" style="294" bestFit="1" customWidth="1"/>
    <col min="14086" max="14086" width="7.26953125" style="294" bestFit="1" customWidth="1"/>
    <col min="14087" max="14087" width="23.26953125" style="294" customWidth="1"/>
    <col min="14088" max="14088" width="17.1796875" style="294" bestFit="1" customWidth="1"/>
    <col min="14089" max="14089" width="23.26953125" style="294" customWidth="1"/>
    <col min="14090" max="14090" width="28.7265625" style="294" bestFit="1" customWidth="1"/>
    <col min="14091" max="14092" width="9.1796875" style="294"/>
    <col min="14093" max="14093" width="13.26953125" style="294" customWidth="1"/>
    <col min="14094" max="14336" width="9.1796875" style="294"/>
    <col min="14337" max="14337" width="24.7265625" style="294" bestFit="1" customWidth="1"/>
    <col min="14338" max="14338" width="18.7265625" style="294" bestFit="1" customWidth="1"/>
    <col min="14339" max="14339" width="8.1796875" style="294" bestFit="1" customWidth="1"/>
    <col min="14340" max="14341" width="8.26953125" style="294" bestFit="1" customWidth="1"/>
    <col min="14342" max="14342" width="7.26953125" style="294" bestFit="1" customWidth="1"/>
    <col min="14343" max="14343" width="23.26953125" style="294" customWidth="1"/>
    <col min="14344" max="14344" width="17.1796875" style="294" bestFit="1" customWidth="1"/>
    <col min="14345" max="14345" width="23.26953125" style="294" customWidth="1"/>
    <col min="14346" max="14346" width="28.7265625" style="294" bestFit="1" customWidth="1"/>
    <col min="14347" max="14348" width="9.1796875" style="294"/>
    <col min="14349" max="14349" width="13.26953125" style="294" customWidth="1"/>
    <col min="14350" max="14592" width="9.1796875" style="294"/>
    <col min="14593" max="14593" width="24.7265625" style="294" bestFit="1" customWidth="1"/>
    <col min="14594" max="14594" width="18.7265625" style="294" bestFit="1" customWidth="1"/>
    <col min="14595" max="14595" width="8.1796875" style="294" bestFit="1" customWidth="1"/>
    <col min="14596" max="14597" width="8.26953125" style="294" bestFit="1" customWidth="1"/>
    <col min="14598" max="14598" width="7.26953125" style="294" bestFit="1" customWidth="1"/>
    <col min="14599" max="14599" width="23.26953125" style="294" customWidth="1"/>
    <col min="14600" max="14600" width="17.1796875" style="294" bestFit="1" customWidth="1"/>
    <col min="14601" max="14601" width="23.26953125" style="294" customWidth="1"/>
    <col min="14602" max="14602" width="28.7265625" style="294" bestFit="1" customWidth="1"/>
    <col min="14603" max="14604" width="9.1796875" style="294"/>
    <col min="14605" max="14605" width="13.26953125" style="294" customWidth="1"/>
    <col min="14606" max="14848" width="9.1796875" style="294"/>
    <col min="14849" max="14849" width="24.7265625" style="294" bestFit="1" customWidth="1"/>
    <col min="14850" max="14850" width="18.7265625" style="294" bestFit="1" customWidth="1"/>
    <col min="14851" max="14851" width="8.1796875" style="294" bestFit="1" customWidth="1"/>
    <col min="14852" max="14853" width="8.26953125" style="294" bestFit="1" customWidth="1"/>
    <col min="14854" max="14854" width="7.26953125" style="294" bestFit="1" customWidth="1"/>
    <col min="14855" max="14855" width="23.26953125" style="294" customWidth="1"/>
    <col min="14856" max="14856" width="17.1796875" style="294" bestFit="1" customWidth="1"/>
    <col min="14857" max="14857" width="23.26953125" style="294" customWidth="1"/>
    <col min="14858" max="14858" width="28.7265625" style="294" bestFit="1" customWidth="1"/>
    <col min="14859" max="14860" width="9.1796875" style="294"/>
    <col min="14861" max="14861" width="13.26953125" style="294" customWidth="1"/>
    <col min="14862" max="15104" width="9.1796875" style="294"/>
    <col min="15105" max="15105" width="24.7265625" style="294" bestFit="1" customWidth="1"/>
    <col min="15106" max="15106" width="18.7265625" style="294" bestFit="1" customWidth="1"/>
    <col min="15107" max="15107" width="8.1796875" style="294" bestFit="1" customWidth="1"/>
    <col min="15108" max="15109" width="8.26953125" style="294" bestFit="1" customWidth="1"/>
    <col min="15110" max="15110" width="7.26953125" style="294" bestFit="1" customWidth="1"/>
    <col min="15111" max="15111" width="23.26953125" style="294" customWidth="1"/>
    <col min="15112" max="15112" width="17.1796875" style="294" bestFit="1" customWidth="1"/>
    <col min="15113" max="15113" width="23.26953125" style="294" customWidth="1"/>
    <col min="15114" max="15114" width="28.7265625" style="294" bestFit="1" customWidth="1"/>
    <col min="15115" max="15116" width="9.1796875" style="294"/>
    <col min="15117" max="15117" width="13.26953125" style="294" customWidth="1"/>
    <col min="15118" max="15360" width="9.1796875" style="294"/>
    <col min="15361" max="15361" width="24.7265625" style="294" bestFit="1" customWidth="1"/>
    <col min="15362" max="15362" width="18.7265625" style="294" bestFit="1" customWidth="1"/>
    <col min="15363" max="15363" width="8.1796875" style="294" bestFit="1" customWidth="1"/>
    <col min="15364" max="15365" width="8.26953125" style="294" bestFit="1" customWidth="1"/>
    <col min="15366" max="15366" width="7.26953125" style="294" bestFit="1" customWidth="1"/>
    <col min="15367" max="15367" width="23.26953125" style="294" customWidth="1"/>
    <col min="15368" max="15368" width="17.1796875" style="294" bestFit="1" customWidth="1"/>
    <col min="15369" max="15369" width="23.26953125" style="294" customWidth="1"/>
    <col min="15370" max="15370" width="28.7265625" style="294" bestFit="1" customWidth="1"/>
    <col min="15371" max="15372" width="9.1796875" style="294"/>
    <col min="15373" max="15373" width="13.26953125" style="294" customWidth="1"/>
    <col min="15374" max="15616" width="9.1796875" style="294"/>
    <col min="15617" max="15617" width="24.7265625" style="294" bestFit="1" customWidth="1"/>
    <col min="15618" max="15618" width="18.7265625" style="294" bestFit="1" customWidth="1"/>
    <col min="15619" max="15619" width="8.1796875" style="294" bestFit="1" customWidth="1"/>
    <col min="15620" max="15621" width="8.26953125" style="294" bestFit="1" customWidth="1"/>
    <col min="15622" max="15622" width="7.26953125" style="294" bestFit="1" customWidth="1"/>
    <col min="15623" max="15623" width="23.26953125" style="294" customWidth="1"/>
    <col min="15624" max="15624" width="17.1796875" style="294" bestFit="1" customWidth="1"/>
    <col min="15625" max="15625" width="23.26953125" style="294" customWidth="1"/>
    <col min="15626" max="15626" width="28.7265625" style="294" bestFit="1" customWidth="1"/>
    <col min="15627" max="15628" width="9.1796875" style="294"/>
    <col min="15629" max="15629" width="13.26953125" style="294" customWidth="1"/>
    <col min="15630" max="15872" width="9.1796875" style="294"/>
    <col min="15873" max="15873" width="24.7265625" style="294" bestFit="1" customWidth="1"/>
    <col min="15874" max="15874" width="18.7265625" style="294" bestFit="1" customWidth="1"/>
    <col min="15875" max="15875" width="8.1796875" style="294" bestFit="1" customWidth="1"/>
    <col min="15876" max="15877" width="8.26953125" style="294" bestFit="1" customWidth="1"/>
    <col min="15878" max="15878" width="7.26953125" style="294" bestFit="1" customWidth="1"/>
    <col min="15879" max="15879" width="23.26953125" style="294" customWidth="1"/>
    <col min="15880" max="15880" width="17.1796875" style="294" bestFit="1" customWidth="1"/>
    <col min="15881" max="15881" width="23.26953125" style="294" customWidth="1"/>
    <col min="15882" max="15882" width="28.7265625" style="294" bestFit="1" customWidth="1"/>
    <col min="15883" max="15884" width="9.1796875" style="294"/>
    <col min="15885" max="15885" width="13.26953125" style="294" customWidth="1"/>
    <col min="15886" max="16128" width="9.1796875" style="294"/>
    <col min="16129" max="16129" width="24.7265625" style="294" bestFit="1" customWidth="1"/>
    <col min="16130" max="16130" width="18.7265625" style="294" bestFit="1" customWidth="1"/>
    <col min="16131" max="16131" width="8.1796875" style="294" bestFit="1" customWidth="1"/>
    <col min="16132" max="16133" width="8.26953125" style="294" bestFit="1" customWidth="1"/>
    <col min="16134" max="16134" width="7.26953125" style="294" bestFit="1" customWidth="1"/>
    <col min="16135" max="16135" width="23.26953125" style="294" customWidth="1"/>
    <col min="16136" max="16136" width="17.1796875" style="294" bestFit="1" customWidth="1"/>
    <col min="16137" max="16137" width="23.26953125" style="294" customWidth="1"/>
    <col min="16138" max="16138" width="28.7265625" style="294" bestFit="1" customWidth="1"/>
    <col min="16139" max="16140" width="9.1796875" style="294"/>
    <col min="16141" max="16141" width="13.26953125" style="294" customWidth="1"/>
    <col min="16142" max="16384" width="9.1796875" style="294"/>
  </cols>
  <sheetData>
    <row r="1" spans="1:14" s="289" customFormat="1" ht="57.75" customHeight="1">
      <c r="A1" s="286" t="s">
        <v>0</v>
      </c>
      <c r="B1" s="287" t="s">
        <v>1</v>
      </c>
      <c r="C1" s="287" t="s">
        <v>2</v>
      </c>
      <c r="D1" s="287" t="s">
        <v>3</v>
      </c>
      <c r="E1" s="287" t="s">
        <v>4</v>
      </c>
      <c r="F1" s="287" t="s">
        <v>5</v>
      </c>
      <c r="G1" s="444" t="s">
        <v>6</v>
      </c>
      <c r="H1" s="287" t="s">
        <v>703</v>
      </c>
      <c r="I1" s="287" t="s">
        <v>704</v>
      </c>
      <c r="J1" s="287" t="s">
        <v>705</v>
      </c>
      <c r="K1" s="287" t="s">
        <v>10</v>
      </c>
      <c r="L1" s="287" t="s">
        <v>706</v>
      </c>
      <c r="M1" s="288" t="s">
        <v>12</v>
      </c>
    </row>
    <row r="2" spans="1:14" ht="10.5">
      <c r="A2" s="290" t="s">
        <v>1949</v>
      </c>
      <c r="B2" s="291" t="s">
        <v>14</v>
      </c>
      <c r="C2" s="291" t="s">
        <v>879</v>
      </c>
      <c r="D2" s="291">
        <v>1</v>
      </c>
      <c r="E2" s="291">
        <f>E8</f>
        <v>50</v>
      </c>
      <c r="F2" s="291">
        <f>SUM(F3:F8)</f>
        <v>50</v>
      </c>
      <c r="G2" s="445"/>
      <c r="H2" s="292"/>
      <c r="I2" s="292"/>
      <c r="J2" s="291"/>
      <c r="K2" s="291"/>
      <c r="L2" s="291"/>
      <c r="M2" s="423" t="s">
        <v>16</v>
      </c>
    </row>
    <row r="3" spans="1:14" ht="21">
      <c r="A3" s="295" t="s">
        <v>17</v>
      </c>
      <c r="B3" s="296" t="s">
        <v>18</v>
      </c>
      <c r="C3" s="297">
        <v>1</v>
      </c>
      <c r="D3" s="297">
        <v>1</v>
      </c>
      <c r="E3" s="297">
        <f t="shared" ref="E3:E8" si="0">D3+F3-1</f>
        <v>1</v>
      </c>
      <c r="F3" s="297">
        <v>1</v>
      </c>
      <c r="G3" s="446" t="s">
        <v>19</v>
      </c>
      <c r="H3" s="307" t="s">
        <v>999</v>
      </c>
      <c r="I3" s="298"/>
      <c r="J3" s="297"/>
      <c r="K3" s="297"/>
      <c r="L3" s="297"/>
      <c r="M3" s="293" t="s">
        <v>16</v>
      </c>
    </row>
    <row r="4" spans="1:14" s="23" customFormat="1">
      <c r="A4" s="18" t="s">
        <v>710</v>
      </c>
      <c r="B4" s="18" t="s">
        <v>711</v>
      </c>
      <c r="C4" s="19">
        <v>2</v>
      </c>
      <c r="D4" s="19">
        <f>E3+1</f>
        <v>2</v>
      </c>
      <c r="E4" s="19">
        <f t="shared" si="0"/>
        <v>16</v>
      </c>
      <c r="F4" s="19">
        <v>15</v>
      </c>
      <c r="G4" s="18" t="s">
        <v>1000</v>
      </c>
      <c r="H4" s="20"/>
      <c r="I4" s="20"/>
      <c r="J4" s="18"/>
      <c r="K4" s="19"/>
      <c r="L4" s="19"/>
      <c r="M4" s="21"/>
      <c r="N4" s="22"/>
    </row>
    <row r="5" spans="1:14" s="23" customFormat="1">
      <c r="A5" s="18" t="s">
        <v>713</v>
      </c>
      <c r="B5" s="18" t="s">
        <v>714</v>
      </c>
      <c r="C5" s="19">
        <v>3</v>
      </c>
      <c r="D5" s="19">
        <f>E4+1</f>
        <v>17</v>
      </c>
      <c r="E5" s="19">
        <f t="shared" si="0"/>
        <v>26</v>
      </c>
      <c r="F5" s="19">
        <v>10</v>
      </c>
      <c r="G5" s="18" t="s">
        <v>715</v>
      </c>
      <c r="H5" s="20"/>
      <c r="I5" s="20"/>
      <c r="J5" s="18"/>
      <c r="K5" s="19"/>
      <c r="L5" s="19"/>
      <c r="M5" s="21"/>
      <c r="N5" s="22"/>
    </row>
    <row r="6" spans="1:14" s="23" customFormat="1" ht="10.5">
      <c r="A6" s="18" t="s">
        <v>1001</v>
      </c>
      <c r="B6" s="18" t="s">
        <v>1002</v>
      </c>
      <c r="C6" s="297">
        <v>4</v>
      </c>
      <c r="D6" s="19">
        <f>E5+1</f>
        <v>27</v>
      </c>
      <c r="E6" s="19">
        <f t="shared" si="0"/>
        <v>34</v>
      </c>
      <c r="F6" s="19">
        <v>8</v>
      </c>
      <c r="G6" s="18" t="s">
        <v>1003</v>
      </c>
      <c r="H6" s="24"/>
      <c r="I6" s="24"/>
      <c r="J6" s="18"/>
      <c r="K6" s="19"/>
      <c r="L6" s="19"/>
      <c r="M6" s="21"/>
      <c r="N6" s="22"/>
    </row>
    <row r="7" spans="1:14" ht="12.5">
      <c r="A7" s="12" t="s">
        <v>717</v>
      </c>
      <c r="B7" s="13" t="s">
        <v>1004</v>
      </c>
      <c r="C7" s="19">
        <v>5</v>
      </c>
      <c r="D7" s="19">
        <f>E6+1</f>
        <v>35</v>
      </c>
      <c r="E7" s="14">
        <f t="shared" si="0"/>
        <v>49</v>
      </c>
      <c r="F7" s="14">
        <v>15</v>
      </c>
      <c r="G7" s="447" t="s">
        <v>1950</v>
      </c>
      <c r="H7" s="307" t="s">
        <v>999</v>
      </c>
      <c r="I7" s="301"/>
      <c r="J7" s="297"/>
      <c r="K7" s="297"/>
      <c r="L7" s="297"/>
      <c r="M7" s="293" t="s">
        <v>16</v>
      </c>
    </row>
    <row r="8" spans="1:14" s="23" customFormat="1">
      <c r="A8" s="18" t="s">
        <v>719</v>
      </c>
      <c r="B8" s="18" t="s">
        <v>720</v>
      </c>
      <c r="C8" s="19">
        <v>6</v>
      </c>
      <c r="D8" s="19">
        <f>E7+1</f>
        <v>50</v>
      </c>
      <c r="E8" s="14">
        <f t="shared" si="0"/>
        <v>50</v>
      </c>
      <c r="F8" s="19">
        <v>1</v>
      </c>
      <c r="G8" s="18" t="s">
        <v>721</v>
      </c>
      <c r="H8" s="20"/>
      <c r="I8" s="20"/>
      <c r="J8" s="18"/>
      <c r="K8" s="19"/>
      <c r="L8" s="19"/>
      <c r="M8" s="21"/>
      <c r="N8" s="22"/>
    </row>
    <row r="9" spans="1:14" ht="10.5">
      <c r="A9" s="290" t="s">
        <v>1951</v>
      </c>
      <c r="B9" s="291" t="s">
        <v>14</v>
      </c>
      <c r="C9" s="302" t="s">
        <v>879</v>
      </c>
      <c r="D9" s="291">
        <v>1</v>
      </c>
      <c r="E9" s="291">
        <f>E18</f>
        <v>82</v>
      </c>
      <c r="F9" s="291">
        <f>SUM(F10:F18)</f>
        <v>82</v>
      </c>
      <c r="G9" s="448"/>
      <c r="H9" s="303"/>
      <c r="I9" s="303"/>
      <c r="J9" s="291"/>
      <c r="K9" s="291"/>
      <c r="L9" s="291"/>
      <c r="M9" s="423" t="s">
        <v>16</v>
      </c>
    </row>
    <row r="10" spans="1:14" ht="21">
      <c r="A10" s="304" t="s">
        <v>723</v>
      </c>
      <c r="B10" s="296" t="s">
        <v>18</v>
      </c>
      <c r="C10" s="297">
        <v>7</v>
      </c>
      <c r="D10" s="305">
        <v>1</v>
      </c>
      <c r="E10" s="297">
        <f t="shared" ref="E10:E18" si="1">D10+F10-1</f>
        <v>1</v>
      </c>
      <c r="F10" s="305">
        <v>1</v>
      </c>
      <c r="G10" s="446" t="s">
        <v>38</v>
      </c>
      <c r="H10" s="307" t="s">
        <v>999</v>
      </c>
      <c r="I10" s="298"/>
      <c r="J10" s="305"/>
      <c r="K10" s="310" t="s">
        <v>1952</v>
      </c>
      <c r="L10" s="305"/>
      <c r="M10" s="293" t="s">
        <v>16</v>
      </c>
    </row>
    <row r="11" spans="1:14" s="427" customFormat="1">
      <c r="A11" s="426" t="s">
        <v>1822</v>
      </c>
      <c r="B11" s="425" t="s">
        <v>1075</v>
      </c>
      <c r="C11" s="307">
        <v>8</v>
      </c>
      <c r="D11" s="307">
        <f t="shared" ref="D11:D18" si="2">E10+1</f>
        <v>2</v>
      </c>
      <c r="E11" s="307">
        <f t="shared" si="1"/>
        <v>9</v>
      </c>
      <c r="F11" s="307">
        <v>8</v>
      </c>
      <c r="G11" s="449" t="s">
        <v>1953</v>
      </c>
      <c r="H11" s="307" t="s">
        <v>999</v>
      </c>
      <c r="I11" s="425" t="s">
        <v>1954</v>
      </c>
      <c r="J11" s="425" t="s">
        <v>1822</v>
      </c>
      <c r="K11" s="310" t="s">
        <v>1952</v>
      </c>
      <c r="L11" s="460">
        <v>3085</v>
      </c>
      <c r="M11" s="293" t="s">
        <v>16</v>
      </c>
    </row>
    <row r="12" spans="1:14" s="427" customFormat="1" ht="30">
      <c r="A12" s="450" t="s">
        <v>1955</v>
      </c>
      <c r="B12" s="425" t="s">
        <v>1070</v>
      </c>
      <c r="C12" s="307">
        <v>9</v>
      </c>
      <c r="D12" s="307">
        <f t="shared" si="2"/>
        <v>10</v>
      </c>
      <c r="E12" s="307">
        <f t="shared" si="1"/>
        <v>10</v>
      </c>
      <c r="F12" s="307">
        <v>1</v>
      </c>
      <c r="G12" s="457" t="s">
        <v>1956</v>
      </c>
      <c r="H12" s="307" t="s">
        <v>999</v>
      </c>
      <c r="I12" s="425" t="s">
        <v>1954</v>
      </c>
      <c r="J12" s="450" t="s">
        <v>1957</v>
      </c>
      <c r="K12" s="310" t="s">
        <v>1952</v>
      </c>
      <c r="L12" s="36" t="s">
        <v>1958</v>
      </c>
      <c r="M12" s="293" t="s">
        <v>16</v>
      </c>
    </row>
    <row r="13" spans="1:14" s="427" customFormat="1" ht="20">
      <c r="A13" s="426" t="s">
        <v>1959</v>
      </c>
      <c r="B13" s="425" t="s">
        <v>1070</v>
      </c>
      <c r="C13" s="297">
        <v>10</v>
      </c>
      <c r="D13" s="307">
        <f t="shared" si="2"/>
        <v>11</v>
      </c>
      <c r="E13" s="307">
        <f t="shared" si="1"/>
        <v>11</v>
      </c>
      <c r="F13" s="307">
        <v>1</v>
      </c>
      <c r="G13" s="457" t="s">
        <v>1960</v>
      </c>
      <c r="H13" s="307" t="s">
        <v>999</v>
      </c>
      <c r="I13" s="425" t="s">
        <v>1954</v>
      </c>
      <c r="J13" s="450" t="s">
        <v>1961</v>
      </c>
      <c r="K13" s="310" t="s">
        <v>1952</v>
      </c>
      <c r="L13" s="36" t="s">
        <v>1962</v>
      </c>
      <c r="M13" s="293" t="s">
        <v>16</v>
      </c>
    </row>
    <row r="14" spans="1:14" s="427" customFormat="1">
      <c r="A14" s="426" t="s">
        <v>1963</v>
      </c>
      <c r="B14" s="425" t="s">
        <v>1869</v>
      </c>
      <c r="C14" s="307">
        <v>11</v>
      </c>
      <c r="D14" s="307">
        <f t="shared" si="2"/>
        <v>12</v>
      </c>
      <c r="E14" s="307">
        <f t="shared" si="1"/>
        <v>16</v>
      </c>
      <c r="F14" s="307">
        <v>5</v>
      </c>
      <c r="G14" s="451" t="s">
        <v>1964</v>
      </c>
      <c r="H14" s="307" t="s">
        <v>999</v>
      </c>
      <c r="I14" s="425" t="s">
        <v>1954</v>
      </c>
      <c r="J14" s="450" t="s">
        <v>1965</v>
      </c>
      <c r="K14" s="310" t="s">
        <v>1952</v>
      </c>
      <c r="L14" s="36" t="s">
        <v>1966</v>
      </c>
      <c r="M14" s="293" t="s">
        <v>16</v>
      </c>
    </row>
    <row r="15" spans="1:14" s="427" customFormat="1">
      <c r="A15" s="426" t="s">
        <v>1967</v>
      </c>
      <c r="B15" s="425" t="s">
        <v>1014</v>
      </c>
      <c r="C15" s="307">
        <v>12</v>
      </c>
      <c r="D15" s="307">
        <f t="shared" si="2"/>
        <v>17</v>
      </c>
      <c r="E15" s="307">
        <f t="shared" si="1"/>
        <v>66</v>
      </c>
      <c r="F15" s="307">
        <v>50</v>
      </c>
      <c r="G15" s="451" t="s">
        <v>1968</v>
      </c>
      <c r="H15" s="307" t="s">
        <v>999</v>
      </c>
      <c r="I15" s="425" t="s">
        <v>1954</v>
      </c>
      <c r="J15" s="450" t="s">
        <v>1969</v>
      </c>
      <c r="K15" s="310" t="s">
        <v>1952</v>
      </c>
      <c r="L15" s="452"/>
      <c r="M15" s="293" t="s">
        <v>16</v>
      </c>
    </row>
    <row r="16" spans="1:14" s="427" customFormat="1">
      <c r="A16" s="426" t="s">
        <v>1970</v>
      </c>
      <c r="B16" s="425" t="s">
        <v>1971</v>
      </c>
      <c r="C16" s="297">
        <v>13</v>
      </c>
      <c r="D16" s="307">
        <f t="shared" si="2"/>
        <v>67</v>
      </c>
      <c r="E16" s="307">
        <f t="shared" si="1"/>
        <v>76</v>
      </c>
      <c r="F16" s="307">
        <v>10</v>
      </c>
      <c r="G16" s="451" t="s">
        <v>1972</v>
      </c>
      <c r="H16" s="307" t="s">
        <v>999</v>
      </c>
      <c r="I16" s="425" t="s">
        <v>1954</v>
      </c>
      <c r="J16" s="450" t="s">
        <v>1973</v>
      </c>
      <c r="K16" s="310" t="s">
        <v>1952</v>
      </c>
      <c r="L16" s="452"/>
      <c r="M16" s="293" t="s">
        <v>16</v>
      </c>
    </row>
    <row r="17" spans="1:14" s="11" customFormat="1">
      <c r="A17" s="33" t="s">
        <v>1868</v>
      </c>
      <c r="B17" s="32" t="s">
        <v>200</v>
      </c>
      <c r="C17" s="14">
        <v>14</v>
      </c>
      <c r="D17" s="14">
        <f t="shared" si="2"/>
        <v>77</v>
      </c>
      <c r="E17" s="14">
        <f t="shared" si="1"/>
        <v>81</v>
      </c>
      <c r="F17" s="14">
        <v>5</v>
      </c>
      <c r="G17" s="34" t="s">
        <v>1870</v>
      </c>
      <c r="H17" s="16" t="s">
        <v>20</v>
      </c>
      <c r="I17" s="425" t="s">
        <v>1954</v>
      </c>
      <c r="J17" s="39" t="s">
        <v>202</v>
      </c>
      <c r="K17" s="32" t="s">
        <v>1107</v>
      </c>
      <c r="L17" s="36"/>
      <c r="M17" s="40" t="s">
        <v>16</v>
      </c>
    </row>
    <row r="18" spans="1:14" s="23" customFormat="1">
      <c r="A18" s="18" t="s">
        <v>719</v>
      </c>
      <c r="B18" s="18" t="s">
        <v>720</v>
      </c>
      <c r="C18" s="307">
        <v>15</v>
      </c>
      <c r="D18" s="307">
        <f t="shared" si="2"/>
        <v>82</v>
      </c>
      <c r="E18" s="307">
        <f t="shared" si="1"/>
        <v>82</v>
      </c>
      <c r="F18" s="19">
        <v>1</v>
      </c>
      <c r="G18" s="18" t="s">
        <v>721</v>
      </c>
      <c r="H18" s="20"/>
      <c r="I18" s="20"/>
      <c r="J18" s="18"/>
      <c r="K18" s="19"/>
      <c r="L18" s="19"/>
      <c r="M18" s="21"/>
      <c r="N18" s="22"/>
    </row>
    <row r="19" spans="1:14" ht="10.5">
      <c r="A19" s="290" t="s">
        <v>1974</v>
      </c>
      <c r="B19" s="291" t="s">
        <v>14</v>
      </c>
      <c r="C19" s="302" t="s">
        <v>879</v>
      </c>
      <c r="D19" s="291">
        <v>1</v>
      </c>
      <c r="E19" s="291">
        <f>E22</f>
        <v>11</v>
      </c>
      <c r="F19" s="291">
        <f>SUM(F20:F22)</f>
        <v>11</v>
      </c>
      <c r="G19" s="448"/>
      <c r="H19" s="303"/>
      <c r="I19" s="303"/>
      <c r="J19" s="291"/>
      <c r="K19" s="316" t="s">
        <v>204</v>
      </c>
      <c r="L19" s="316"/>
      <c r="M19" s="316"/>
    </row>
    <row r="20" spans="1:14" ht="21">
      <c r="A20" s="304" t="s">
        <v>723</v>
      </c>
      <c r="B20" s="296" t="s">
        <v>18</v>
      </c>
      <c r="C20" s="307">
        <v>16</v>
      </c>
      <c r="D20" s="297">
        <v>1</v>
      </c>
      <c r="E20" s="297">
        <v>1</v>
      </c>
      <c r="F20" s="297">
        <v>1</v>
      </c>
      <c r="G20" s="446" t="s">
        <v>205</v>
      </c>
      <c r="H20" s="307" t="s">
        <v>999</v>
      </c>
      <c r="I20" s="298"/>
      <c r="J20" s="297"/>
      <c r="K20" s="297"/>
      <c r="L20" s="297"/>
      <c r="M20" s="293"/>
    </row>
    <row r="21" spans="1:14" ht="12.5">
      <c r="A21" s="317" t="s">
        <v>206</v>
      </c>
      <c r="B21" s="296" t="s">
        <v>207</v>
      </c>
      <c r="C21" s="307">
        <v>17</v>
      </c>
      <c r="D21" s="297">
        <v>2</v>
      </c>
      <c r="E21" s="297">
        <f>D21+F21-1</f>
        <v>10</v>
      </c>
      <c r="F21" s="297">
        <v>9</v>
      </c>
      <c r="G21" s="446" t="s">
        <v>1098</v>
      </c>
      <c r="H21" s="307" t="s">
        <v>999</v>
      </c>
      <c r="I21" s="298"/>
      <c r="J21" s="297"/>
      <c r="K21" s="297"/>
      <c r="L21" s="297"/>
      <c r="M21" s="293"/>
    </row>
    <row r="22" spans="1:14" s="23" customFormat="1">
      <c r="A22" s="18" t="s">
        <v>719</v>
      </c>
      <c r="B22" s="18" t="s">
        <v>720</v>
      </c>
      <c r="C22" s="19">
        <v>18</v>
      </c>
      <c r="D22" s="19">
        <f>E21+1</f>
        <v>11</v>
      </c>
      <c r="E22" s="14">
        <f>D22+F22-1</f>
        <v>11</v>
      </c>
      <c r="F22" s="19">
        <v>1</v>
      </c>
      <c r="G22" s="18" t="s">
        <v>721</v>
      </c>
      <c r="H22" s="20"/>
      <c r="I22" s="20"/>
      <c r="J22" s="18"/>
      <c r="K22" s="19"/>
      <c r="L22" s="19"/>
      <c r="M22" s="21"/>
      <c r="N22" s="22"/>
    </row>
    <row r="23" spans="1:14">
      <c r="M23" s="321"/>
    </row>
    <row r="24" spans="1:14">
      <c r="M24" s="321"/>
    </row>
    <row r="25" spans="1:14" s="289" customFormat="1" ht="57.75" hidden="1" customHeight="1">
      <c r="A25" s="286" t="s">
        <v>0</v>
      </c>
      <c r="B25" s="287" t="s">
        <v>1</v>
      </c>
      <c r="C25" s="287" t="s">
        <v>2</v>
      </c>
      <c r="D25" s="287" t="s">
        <v>3</v>
      </c>
      <c r="E25" s="287" t="s">
        <v>4</v>
      </c>
      <c r="F25" s="287" t="s">
        <v>5</v>
      </c>
      <c r="G25" s="444" t="s">
        <v>6</v>
      </c>
      <c r="H25" s="287" t="s">
        <v>703</v>
      </c>
      <c r="I25" s="287" t="s">
        <v>704</v>
      </c>
      <c r="J25" s="287" t="s">
        <v>705</v>
      </c>
      <c r="K25" s="287" t="s">
        <v>10</v>
      </c>
      <c r="L25" s="287" t="s">
        <v>706</v>
      </c>
      <c r="M25" s="288" t="s">
        <v>12</v>
      </c>
    </row>
    <row r="26" spans="1:14" ht="11.5" hidden="1">
      <c r="A26" s="322" t="s">
        <v>1099</v>
      </c>
      <c r="B26" s="297"/>
      <c r="C26" s="297"/>
      <c r="D26" s="297">
        <v>1</v>
      </c>
      <c r="E26" s="297">
        <v>20</v>
      </c>
      <c r="F26" s="297">
        <v>20</v>
      </c>
      <c r="G26" s="446" t="s">
        <v>210</v>
      </c>
      <c r="H26" s="298"/>
      <c r="I26" s="298"/>
      <c r="J26" s="297"/>
      <c r="K26" s="297"/>
      <c r="L26" s="297"/>
      <c r="M26" s="293" t="s">
        <v>16</v>
      </c>
    </row>
    <row r="27" spans="1:14" ht="10.5" hidden="1">
      <c r="A27" s="290" t="s">
        <v>1100</v>
      </c>
      <c r="B27" s="291" t="s">
        <v>14</v>
      </c>
      <c r="C27" s="291">
        <v>1</v>
      </c>
      <c r="D27" s="291">
        <v>1</v>
      </c>
      <c r="E27" s="291">
        <v>20</v>
      </c>
      <c r="F27" s="291">
        <v>20</v>
      </c>
      <c r="G27" s="445"/>
      <c r="H27" s="292"/>
      <c r="I27" s="292"/>
      <c r="J27" s="291"/>
      <c r="K27" s="291"/>
      <c r="L27" s="291"/>
      <c r="M27" s="293" t="s">
        <v>16</v>
      </c>
    </row>
    <row r="28" spans="1:14" ht="21" hidden="1">
      <c r="A28" s="295" t="s">
        <v>17</v>
      </c>
      <c r="B28" s="296" t="s">
        <v>18</v>
      </c>
      <c r="C28" s="297">
        <v>2</v>
      </c>
      <c r="D28" s="297">
        <v>1</v>
      </c>
      <c r="E28" s="297">
        <f>D28+F28-1</f>
        <v>1</v>
      </c>
      <c r="F28" s="297">
        <v>1</v>
      </c>
      <c r="G28" s="446" t="s">
        <v>19</v>
      </c>
      <c r="H28" s="298"/>
      <c r="I28" s="298"/>
      <c r="J28" s="297"/>
      <c r="K28" s="297"/>
      <c r="L28" s="297"/>
      <c r="M28" s="293" t="s">
        <v>16</v>
      </c>
    </row>
    <row r="29" spans="1:14" ht="12.5" hidden="1">
      <c r="A29" s="295" t="s">
        <v>212</v>
      </c>
      <c r="B29" s="296" t="s">
        <v>213</v>
      </c>
      <c r="C29" s="297">
        <v>3</v>
      </c>
      <c r="D29" s="297">
        <f>E28+1</f>
        <v>2</v>
      </c>
      <c r="E29" s="297">
        <f>D29+F29-1</f>
        <v>9</v>
      </c>
      <c r="F29" s="297">
        <v>8</v>
      </c>
      <c r="G29" s="447" t="s">
        <v>1101</v>
      </c>
      <c r="H29" s="301"/>
      <c r="I29" s="301"/>
      <c r="J29" s="297"/>
      <c r="K29" s="297"/>
      <c r="L29" s="297"/>
      <c r="M29" s="293" t="s">
        <v>16</v>
      </c>
    </row>
    <row r="30" spans="1:14" ht="12.5" hidden="1">
      <c r="A30" s="295" t="s">
        <v>215</v>
      </c>
      <c r="B30" s="296" t="s">
        <v>216</v>
      </c>
      <c r="C30" s="297">
        <v>4</v>
      </c>
      <c r="D30" s="297">
        <f>E29+1</f>
        <v>10</v>
      </c>
      <c r="E30" s="297">
        <f>D30+F30-1</f>
        <v>17</v>
      </c>
      <c r="F30" s="297">
        <v>8</v>
      </c>
      <c r="G30" s="447" t="s">
        <v>1003</v>
      </c>
      <c r="H30" s="301"/>
      <c r="I30" s="301"/>
      <c r="J30" s="297"/>
      <c r="K30" s="297"/>
      <c r="L30" s="297"/>
      <c r="M30" s="293" t="s">
        <v>16</v>
      </c>
    </row>
    <row r="31" spans="1:14" hidden="1">
      <c r="A31" s="317" t="s">
        <v>217</v>
      </c>
      <c r="B31" s="314" t="s">
        <v>218</v>
      </c>
      <c r="C31" s="297">
        <v>5</v>
      </c>
      <c r="D31" s="297">
        <f>E30+1</f>
        <v>18</v>
      </c>
      <c r="E31" s="297">
        <f>D31+F31-1</f>
        <v>20</v>
      </c>
      <c r="F31" s="297">
        <v>3</v>
      </c>
      <c r="G31" s="446" t="s">
        <v>219</v>
      </c>
      <c r="H31" s="298"/>
      <c r="I31" s="298"/>
      <c r="J31" s="297"/>
      <c r="K31" s="297"/>
      <c r="L31" s="297"/>
      <c r="M31" s="293" t="s">
        <v>16</v>
      </c>
    </row>
    <row r="32" spans="1:14" ht="10.5" hidden="1">
      <c r="A32" s="290" t="s">
        <v>1102</v>
      </c>
      <c r="B32" s="291" t="s">
        <v>14</v>
      </c>
      <c r="C32" s="302">
        <v>6</v>
      </c>
      <c r="D32" s="291">
        <v>1</v>
      </c>
      <c r="E32" s="291">
        <v>20</v>
      </c>
      <c r="F32" s="291">
        <v>20</v>
      </c>
      <c r="G32" s="448"/>
      <c r="H32" s="303"/>
      <c r="I32" s="303"/>
      <c r="J32" s="291"/>
      <c r="K32" s="291"/>
      <c r="L32" s="291"/>
      <c r="M32" s="293" t="s">
        <v>16</v>
      </c>
    </row>
    <row r="33" spans="1:13" ht="21" hidden="1">
      <c r="A33" s="304" t="s">
        <v>723</v>
      </c>
      <c r="B33" s="296" t="s">
        <v>18</v>
      </c>
      <c r="C33" s="297">
        <v>7</v>
      </c>
      <c r="D33" s="305">
        <v>1</v>
      </c>
      <c r="E33" s="297">
        <f>D33+F33-1</f>
        <v>1</v>
      </c>
      <c r="F33" s="305">
        <v>1</v>
      </c>
      <c r="G33" s="446" t="s">
        <v>38</v>
      </c>
      <c r="H33" s="298"/>
      <c r="I33" s="298"/>
      <c r="J33" s="305"/>
      <c r="K33" s="305"/>
      <c r="L33" s="305"/>
      <c r="M33" s="293" t="s">
        <v>16</v>
      </c>
    </row>
    <row r="34" spans="1:13" ht="24" hidden="1" customHeight="1">
      <c r="A34" s="312" t="s">
        <v>1103</v>
      </c>
      <c r="B34" s="296" t="s">
        <v>1104</v>
      </c>
      <c r="C34" s="297">
        <v>8</v>
      </c>
      <c r="D34" s="297">
        <f>E33+1</f>
        <v>2</v>
      </c>
      <c r="E34" s="297">
        <f>D34+F34-1</f>
        <v>5</v>
      </c>
      <c r="F34" s="297">
        <v>4</v>
      </c>
      <c r="G34" s="323" t="s">
        <v>1105</v>
      </c>
      <c r="H34" s="298" t="s">
        <v>20</v>
      </c>
      <c r="I34" s="298" t="s">
        <v>224</v>
      </c>
      <c r="J34" s="324" t="s">
        <v>1106</v>
      </c>
      <c r="K34" s="314" t="s">
        <v>1107</v>
      </c>
      <c r="L34" s="325">
        <v>611</v>
      </c>
      <c r="M34" s="293" t="s">
        <v>16</v>
      </c>
    </row>
    <row r="35" spans="1:13" ht="24" hidden="1" customHeight="1">
      <c r="A35" s="312" t="s">
        <v>226</v>
      </c>
      <c r="B35" s="296" t="s">
        <v>1108</v>
      </c>
      <c r="C35" s="297">
        <v>8</v>
      </c>
      <c r="D35" s="297">
        <f>E34+1</f>
        <v>6</v>
      </c>
      <c r="E35" s="297">
        <f>D35+F35-1</f>
        <v>17</v>
      </c>
      <c r="F35" s="297">
        <v>12</v>
      </c>
      <c r="G35" s="323" t="s">
        <v>1109</v>
      </c>
      <c r="H35" s="298" t="s">
        <v>20</v>
      </c>
      <c r="I35" s="298" t="s">
        <v>224</v>
      </c>
      <c r="J35" s="324" t="s">
        <v>1110</v>
      </c>
      <c r="K35" s="314" t="s">
        <v>1107</v>
      </c>
      <c r="L35" s="325">
        <v>611</v>
      </c>
      <c r="M35" s="293" t="s">
        <v>16</v>
      </c>
    </row>
    <row r="36" spans="1:13" ht="12.5" hidden="1">
      <c r="A36" s="295" t="s">
        <v>229</v>
      </c>
      <c r="B36" s="296" t="s">
        <v>1111</v>
      </c>
      <c r="C36" s="297">
        <v>9</v>
      </c>
      <c r="D36" s="297">
        <f>E35+1</f>
        <v>18</v>
      </c>
      <c r="E36" s="297">
        <f>D36+F36-1</f>
        <v>20</v>
      </c>
      <c r="F36" s="297">
        <v>3</v>
      </c>
      <c r="G36" s="323" t="s">
        <v>1112</v>
      </c>
      <c r="H36" s="298" t="s">
        <v>20</v>
      </c>
      <c r="I36" s="298" t="s">
        <v>224</v>
      </c>
      <c r="J36" s="324" t="s">
        <v>1113</v>
      </c>
      <c r="K36" s="314" t="s">
        <v>1107</v>
      </c>
      <c r="L36" s="325"/>
      <c r="M36" s="293" t="s">
        <v>16</v>
      </c>
    </row>
    <row r="37" spans="1:13" ht="31.5" hidden="1">
      <c r="A37" s="290" t="s">
        <v>1114</v>
      </c>
      <c r="B37" s="291" t="s">
        <v>14</v>
      </c>
      <c r="C37" s="302">
        <v>35</v>
      </c>
      <c r="D37" s="291">
        <v>1</v>
      </c>
      <c r="E37" s="291">
        <v>20</v>
      </c>
      <c r="F37" s="291">
        <v>20</v>
      </c>
      <c r="G37" s="448"/>
      <c r="H37" s="303"/>
      <c r="I37" s="303"/>
      <c r="J37" s="291"/>
      <c r="K37" s="316" t="s">
        <v>204</v>
      </c>
      <c r="L37" s="316"/>
      <c r="M37" s="316"/>
    </row>
    <row r="38" spans="1:13" ht="21" hidden="1">
      <c r="A38" s="304" t="s">
        <v>723</v>
      </c>
      <c r="B38" s="296" t="s">
        <v>18</v>
      </c>
      <c r="C38" s="297">
        <v>36</v>
      </c>
      <c r="D38" s="297">
        <v>1</v>
      </c>
      <c r="E38" s="297">
        <v>1</v>
      </c>
      <c r="F38" s="297">
        <v>1</v>
      </c>
      <c r="G38" s="446" t="s">
        <v>205</v>
      </c>
      <c r="H38" s="298"/>
      <c r="I38" s="298"/>
      <c r="J38" s="297"/>
      <c r="K38" s="297"/>
      <c r="L38" s="297"/>
      <c r="M38" s="293"/>
    </row>
    <row r="39" spans="1:13" ht="12.5" hidden="1">
      <c r="A39" s="317" t="s">
        <v>206</v>
      </c>
      <c r="B39" s="296" t="s">
        <v>207</v>
      </c>
      <c r="C39" s="297">
        <v>37</v>
      </c>
      <c r="D39" s="297">
        <v>2</v>
      </c>
      <c r="E39" s="297">
        <f>D39+F39-1</f>
        <v>10</v>
      </c>
      <c r="F39" s="297">
        <v>9</v>
      </c>
      <c r="G39" s="446" t="s">
        <v>233</v>
      </c>
      <c r="H39" s="298"/>
      <c r="I39" s="298"/>
      <c r="J39" s="297"/>
      <c r="K39" s="297"/>
      <c r="L39" s="297"/>
      <c r="M39" s="293"/>
    </row>
    <row r="40" spans="1:13" ht="13" hidden="1" thickBot="1">
      <c r="A40" s="326" t="s">
        <v>217</v>
      </c>
      <c r="B40" s="327" t="s">
        <v>714</v>
      </c>
      <c r="C40" s="328">
        <v>38</v>
      </c>
      <c r="D40" s="328">
        <v>11</v>
      </c>
      <c r="E40" s="328">
        <f>D40+F40-1</f>
        <v>20</v>
      </c>
      <c r="F40" s="328">
        <v>10</v>
      </c>
      <c r="G40" s="459" t="s">
        <v>219</v>
      </c>
      <c r="H40" s="329"/>
      <c r="I40" s="329"/>
      <c r="J40" s="328"/>
      <c r="K40" s="328"/>
      <c r="L40" s="328"/>
      <c r="M40" s="293"/>
    </row>
    <row r="41" spans="1:13" hidden="1">
      <c r="M41" s="321"/>
    </row>
    <row r="42" spans="1:13" s="289" customFormat="1" ht="57.75" hidden="1" customHeight="1">
      <c r="A42" s="286" t="s">
        <v>0</v>
      </c>
      <c r="B42" s="287" t="s">
        <v>1</v>
      </c>
      <c r="C42" s="287" t="s">
        <v>2</v>
      </c>
      <c r="D42" s="287" t="s">
        <v>3</v>
      </c>
      <c r="E42" s="287" t="s">
        <v>4</v>
      </c>
      <c r="F42" s="287" t="s">
        <v>5</v>
      </c>
      <c r="G42" s="444" t="s">
        <v>6</v>
      </c>
      <c r="H42" s="287" t="s">
        <v>703</v>
      </c>
      <c r="I42" s="287" t="s">
        <v>704</v>
      </c>
      <c r="J42" s="287" t="s">
        <v>705</v>
      </c>
      <c r="K42" s="287" t="s">
        <v>10</v>
      </c>
      <c r="L42" s="287" t="s">
        <v>706</v>
      </c>
      <c r="M42" s="288" t="s">
        <v>12</v>
      </c>
    </row>
    <row r="43" spans="1:13" ht="11.5" hidden="1">
      <c r="A43" s="322" t="s">
        <v>1115</v>
      </c>
      <c r="B43" s="297"/>
      <c r="C43" s="297"/>
      <c r="D43" s="297">
        <v>1</v>
      </c>
      <c r="E43" s="297">
        <v>103</v>
      </c>
      <c r="F43" s="297">
        <v>103</v>
      </c>
      <c r="G43" s="446" t="s">
        <v>210</v>
      </c>
      <c r="H43" s="298"/>
      <c r="I43" s="298"/>
      <c r="J43" s="297"/>
      <c r="K43" s="297"/>
      <c r="L43" s="297"/>
      <c r="M43" s="293" t="s">
        <v>16</v>
      </c>
    </row>
    <row r="44" spans="1:13" ht="10.5" hidden="1">
      <c r="A44" s="290" t="s">
        <v>1116</v>
      </c>
      <c r="B44" s="291" t="s">
        <v>14</v>
      </c>
      <c r="C44" s="291">
        <v>1</v>
      </c>
      <c r="D44" s="291">
        <v>1</v>
      </c>
      <c r="E44" s="291">
        <v>103</v>
      </c>
      <c r="F44" s="291">
        <v>103</v>
      </c>
      <c r="G44" s="445"/>
      <c r="H44" s="292"/>
      <c r="I44" s="292"/>
      <c r="J44" s="291"/>
      <c r="K44" s="291"/>
      <c r="L44" s="291"/>
      <c r="M44" s="293" t="s">
        <v>16</v>
      </c>
    </row>
    <row r="45" spans="1:13" ht="21" hidden="1">
      <c r="A45" s="295" t="s">
        <v>17</v>
      </c>
      <c r="B45" s="296" t="s">
        <v>18</v>
      </c>
      <c r="C45" s="297">
        <v>2</v>
      </c>
      <c r="D45" s="297">
        <v>1</v>
      </c>
      <c r="E45" s="297">
        <f>D45+F45-1</f>
        <v>1</v>
      </c>
      <c r="F45" s="297">
        <v>1</v>
      </c>
      <c r="G45" s="446" t="s">
        <v>19</v>
      </c>
      <c r="H45" s="298"/>
      <c r="I45" s="298"/>
      <c r="J45" s="297"/>
      <c r="K45" s="297"/>
      <c r="L45" s="297"/>
      <c r="M45" s="293" t="s">
        <v>16</v>
      </c>
    </row>
    <row r="46" spans="1:13" ht="12.5" hidden="1">
      <c r="A46" s="295" t="s">
        <v>212</v>
      </c>
      <c r="B46" s="296" t="s">
        <v>213</v>
      </c>
      <c r="C46" s="297">
        <v>3</v>
      </c>
      <c r="D46" s="297">
        <f>E45+1</f>
        <v>2</v>
      </c>
      <c r="E46" s="297">
        <f>D46+F46-1</f>
        <v>9</v>
      </c>
      <c r="F46" s="297">
        <v>8</v>
      </c>
      <c r="G46" s="447" t="s">
        <v>1101</v>
      </c>
      <c r="H46" s="301"/>
      <c r="I46" s="301"/>
      <c r="J46" s="297"/>
      <c r="K46" s="297"/>
      <c r="L46" s="297"/>
      <c r="M46" s="293" t="s">
        <v>16</v>
      </c>
    </row>
    <row r="47" spans="1:13" ht="12.5" hidden="1">
      <c r="A47" s="295" t="s">
        <v>215</v>
      </c>
      <c r="B47" s="296" t="s">
        <v>216</v>
      </c>
      <c r="C47" s="297">
        <v>4</v>
      </c>
      <c r="D47" s="297">
        <f>E46+1</f>
        <v>10</v>
      </c>
      <c r="E47" s="297">
        <f>D47+F47-1</f>
        <v>17</v>
      </c>
      <c r="F47" s="297">
        <v>8</v>
      </c>
      <c r="G47" s="447" t="s">
        <v>1003</v>
      </c>
      <c r="H47" s="301"/>
      <c r="I47" s="301"/>
      <c r="J47" s="297"/>
      <c r="K47" s="297"/>
      <c r="L47" s="297"/>
      <c r="M47" s="293" t="s">
        <v>16</v>
      </c>
    </row>
    <row r="48" spans="1:13" hidden="1">
      <c r="A48" s="317" t="s">
        <v>217</v>
      </c>
      <c r="B48" s="314" t="s">
        <v>236</v>
      </c>
      <c r="C48" s="297">
        <v>5</v>
      </c>
      <c r="D48" s="297">
        <f>E47+1</f>
        <v>18</v>
      </c>
      <c r="E48" s="297">
        <f>D48+F48-1</f>
        <v>103</v>
      </c>
      <c r="F48" s="297">
        <v>86</v>
      </c>
      <c r="G48" s="446" t="s">
        <v>219</v>
      </c>
      <c r="H48" s="298"/>
      <c r="I48" s="298"/>
      <c r="J48" s="297"/>
      <c r="K48" s="297"/>
      <c r="L48" s="297"/>
      <c r="M48" s="293" t="s">
        <v>16</v>
      </c>
    </row>
    <row r="49" spans="1:13" ht="10.5" hidden="1">
      <c r="A49" s="290" t="s">
        <v>1117</v>
      </c>
      <c r="B49" s="291" t="s">
        <v>14</v>
      </c>
      <c r="C49" s="302">
        <v>6</v>
      </c>
      <c r="D49" s="291">
        <v>1</v>
      </c>
      <c r="E49" s="291">
        <v>103</v>
      </c>
      <c r="F49" s="291">
        <v>103</v>
      </c>
      <c r="G49" s="448"/>
      <c r="H49" s="303"/>
      <c r="I49" s="303"/>
      <c r="J49" s="291"/>
      <c r="K49" s="291"/>
      <c r="L49" s="291"/>
      <c r="M49" s="293" t="s">
        <v>16</v>
      </c>
    </row>
    <row r="50" spans="1:13" ht="21" hidden="1">
      <c r="A50" s="304" t="s">
        <v>723</v>
      </c>
      <c r="B50" s="296" t="s">
        <v>18</v>
      </c>
      <c r="C50" s="297">
        <v>7</v>
      </c>
      <c r="D50" s="305">
        <v>1</v>
      </c>
      <c r="E50" s="297">
        <f>D50+F50-1</f>
        <v>1</v>
      </c>
      <c r="F50" s="305">
        <v>1</v>
      </c>
      <c r="G50" s="446" t="s">
        <v>38</v>
      </c>
      <c r="H50" s="298"/>
      <c r="I50" s="298"/>
      <c r="J50" s="305"/>
      <c r="K50" s="305"/>
      <c r="L50" s="305"/>
      <c r="M50" s="293" t="s">
        <v>16</v>
      </c>
    </row>
    <row r="51" spans="1:13" ht="24" hidden="1" customHeight="1">
      <c r="A51" s="312" t="s">
        <v>238</v>
      </c>
      <c r="B51" s="296" t="s">
        <v>854</v>
      </c>
      <c r="C51" s="297">
        <v>8</v>
      </c>
      <c r="D51" s="297">
        <f>E50+1</f>
        <v>2</v>
      </c>
      <c r="E51" s="297">
        <f>D51+F51-1</f>
        <v>3</v>
      </c>
      <c r="F51" s="297">
        <v>2</v>
      </c>
      <c r="G51" s="323" t="s">
        <v>1118</v>
      </c>
      <c r="H51" s="298" t="s">
        <v>20</v>
      </c>
      <c r="I51" s="298" t="s">
        <v>1119</v>
      </c>
      <c r="J51" s="324" t="s">
        <v>1120</v>
      </c>
      <c r="K51" s="314" t="s">
        <v>1107</v>
      </c>
      <c r="L51" s="325">
        <v>611</v>
      </c>
      <c r="M51" s="293" t="s">
        <v>16</v>
      </c>
    </row>
    <row r="52" spans="1:13" ht="24" hidden="1" customHeight="1">
      <c r="A52" s="312" t="s">
        <v>243</v>
      </c>
      <c r="B52" s="296" t="s">
        <v>1039</v>
      </c>
      <c r="C52" s="297">
        <v>8</v>
      </c>
      <c r="D52" s="297">
        <f>E51+1</f>
        <v>4</v>
      </c>
      <c r="E52" s="297">
        <f>D52+F52-1</f>
        <v>103</v>
      </c>
      <c r="F52" s="297">
        <v>100</v>
      </c>
      <c r="G52" s="323" t="s">
        <v>1121</v>
      </c>
      <c r="H52" s="298" t="s">
        <v>20</v>
      </c>
      <c r="I52" s="298" t="s">
        <v>1119</v>
      </c>
      <c r="J52" s="324" t="s">
        <v>1122</v>
      </c>
      <c r="K52" s="314" t="s">
        <v>1107</v>
      </c>
      <c r="L52" s="325">
        <v>611</v>
      </c>
      <c r="M52" s="293" t="s">
        <v>16</v>
      </c>
    </row>
    <row r="53" spans="1:13" ht="31.5" hidden="1">
      <c r="A53" s="290" t="s">
        <v>1123</v>
      </c>
      <c r="B53" s="291" t="s">
        <v>14</v>
      </c>
      <c r="C53" s="302">
        <v>35</v>
      </c>
      <c r="D53" s="291">
        <v>1</v>
      </c>
      <c r="E53" s="291">
        <v>103</v>
      </c>
      <c r="F53" s="291">
        <v>103</v>
      </c>
      <c r="G53" s="448"/>
      <c r="H53" s="303"/>
      <c r="I53" s="303"/>
      <c r="J53" s="291"/>
      <c r="K53" s="316" t="s">
        <v>204</v>
      </c>
      <c r="L53" s="316"/>
      <c r="M53" s="316"/>
    </row>
    <row r="54" spans="1:13" ht="21" hidden="1">
      <c r="A54" s="304" t="s">
        <v>723</v>
      </c>
      <c r="B54" s="296" t="s">
        <v>18</v>
      </c>
      <c r="C54" s="297">
        <v>36</v>
      </c>
      <c r="D54" s="297">
        <v>1</v>
      </c>
      <c r="E54" s="297">
        <v>1</v>
      </c>
      <c r="F54" s="297">
        <v>1</v>
      </c>
      <c r="G54" s="446" t="s">
        <v>205</v>
      </c>
      <c r="H54" s="298"/>
      <c r="I54" s="298"/>
      <c r="J54" s="297"/>
      <c r="K54" s="297"/>
      <c r="L54" s="297"/>
      <c r="M54" s="293"/>
    </row>
    <row r="55" spans="1:13" ht="12.5" hidden="1">
      <c r="A55" s="317" t="s">
        <v>206</v>
      </c>
      <c r="B55" s="296" t="s">
        <v>207</v>
      </c>
      <c r="C55" s="297">
        <v>37</v>
      </c>
      <c r="D55" s="297">
        <v>2</v>
      </c>
      <c r="E55" s="297">
        <f>D55+F55-1</f>
        <v>10</v>
      </c>
      <c r="F55" s="297">
        <v>9</v>
      </c>
      <c r="G55" s="446" t="s">
        <v>233</v>
      </c>
      <c r="H55" s="298"/>
      <c r="I55" s="298"/>
      <c r="J55" s="297"/>
      <c r="K55" s="297"/>
      <c r="L55" s="297"/>
      <c r="M55" s="293"/>
    </row>
    <row r="56" spans="1:13" ht="13" hidden="1" thickBot="1">
      <c r="A56" s="326" t="s">
        <v>217</v>
      </c>
      <c r="B56" s="327" t="s">
        <v>1124</v>
      </c>
      <c r="C56" s="328">
        <v>38</v>
      </c>
      <c r="D56" s="328">
        <v>11</v>
      </c>
      <c r="E56" s="328">
        <f>D56+F56-1</f>
        <v>103</v>
      </c>
      <c r="F56" s="328">
        <v>93</v>
      </c>
      <c r="G56" s="459" t="s">
        <v>219</v>
      </c>
      <c r="H56" s="329"/>
      <c r="I56" s="329"/>
      <c r="J56" s="328"/>
      <c r="K56" s="328"/>
      <c r="L56" s="328"/>
      <c r="M56" s="293"/>
    </row>
    <row r="57" spans="1:13" hidden="1"/>
    <row r="58" spans="1:13" hidden="1"/>
    <row r="59" spans="1:13" s="289" customFormat="1" ht="57.75" hidden="1" customHeight="1">
      <c r="A59" s="286" t="s">
        <v>0</v>
      </c>
      <c r="B59" s="287" t="s">
        <v>1</v>
      </c>
      <c r="C59" s="287" t="s">
        <v>2</v>
      </c>
      <c r="D59" s="287" t="s">
        <v>3</v>
      </c>
      <c r="E59" s="287" t="s">
        <v>4</v>
      </c>
      <c r="F59" s="287" t="s">
        <v>5</v>
      </c>
      <c r="G59" s="444" t="s">
        <v>6</v>
      </c>
      <c r="H59" s="287" t="s">
        <v>703</v>
      </c>
      <c r="I59" s="287" t="s">
        <v>704</v>
      </c>
      <c r="J59" s="287" t="s">
        <v>705</v>
      </c>
      <c r="K59" s="287" t="s">
        <v>10</v>
      </c>
      <c r="L59" s="287" t="s">
        <v>706</v>
      </c>
      <c r="M59" s="288" t="s">
        <v>12</v>
      </c>
    </row>
    <row r="60" spans="1:13" ht="11.5" hidden="1">
      <c r="A60" s="322" t="s">
        <v>1125</v>
      </c>
      <c r="B60" s="297"/>
      <c r="C60" s="297"/>
      <c r="D60" s="297">
        <v>1</v>
      </c>
      <c r="E60" s="297">
        <v>33</v>
      </c>
      <c r="F60" s="297">
        <v>33</v>
      </c>
      <c r="G60" s="446" t="s">
        <v>210</v>
      </c>
      <c r="H60" s="298"/>
      <c r="I60" s="298"/>
      <c r="J60" s="297"/>
      <c r="K60" s="297"/>
      <c r="L60" s="297"/>
      <c r="M60" s="293" t="s">
        <v>16</v>
      </c>
    </row>
    <row r="61" spans="1:13" ht="10.5" hidden="1">
      <c r="A61" s="290" t="s">
        <v>1126</v>
      </c>
      <c r="B61" s="291" t="s">
        <v>14</v>
      </c>
      <c r="C61" s="291">
        <v>1</v>
      </c>
      <c r="D61" s="291">
        <v>1</v>
      </c>
      <c r="E61" s="291">
        <v>33</v>
      </c>
      <c r="F61" s="291">
        <v>33</v>
      </c>
      <c r="G61" s="445"/>
      <c r="H61" s="292"/>
      <c r="I61" s="292"/>
      <c r="J61" s="291"/>
      <c r="K61" s="291"/>
      <c r="L61" s="291"/>
      <c r="M61" s="293" t="s">
        <v>16</v>
      </c>
    </row>
    <row r="62" spans="1:13" ht="21" hidden="1">
      <c r="A62" s="295" t="s">
        <v>17</v>
      </c>
      <c r="B62" s="296" t="s">
        <v>18</v>
      </c>
      <c r="C62" s="297">
        <v>2</v>
      </c>
      <c r="D62" s="297">
        <v>1</v>
      </c>
      <c r="E62" s="297">
        <f>D62+F62-1</f>
        <v>1</v>
      </c>
      <c r="F62" s="297">
        <v>1</v>
      </c>
      <c r="G62" s="446" t="s">
        <v>19</v>
      </c>
      <c r="H62" s="298"/>
      <c r="I62" s="298"/>
      <c r="J62" s="297"/>
      <c r="K62" s="297"/>
      <c r="L62" s="297"/>
      <c r="M62" s="293" t="s">
        <v>16</v>
      </c>
    </row>
    <row r="63" spans="1:13" ht="12.5" hidden="1">
      <c r="A63" s="295" t="s">
        <v>212</v>
      </c>
      <c r="B63" s="296" t="s">
        <v>213</v>
      </c>
      <c r="C63" s="297">
        <v>3</v>
      </c>
      <c r="D63" s="297">
        <f>E62+1</f>
        <v>2</v>
      </c>
      <c r="E63" s="297">
        <f>D63+F63-1</f>
        <v>9</v>
      </c>
      <c r="F63" s="297">
        <v>8</v>
      </c>
      <c r="G63" s="447" t="s">
        <v>1101</v>
      </c>
      <c r="H63" s="301"/>
      <c r="I63" s="301"/>
      <c r="J63" s="297"/>
      <c r="K63" s="297"/>
      <c r="L63" s="297"/>
      <c r="M63" s="293" t="s">
        <v>16</v>
      </c>
    </row>
    <row r="64" spans="1:13" ht="12.5" hidden="1">
      <c r="A64" s="295" t="s">
        <v>215</v>
      </c>
      <c r="B64" s="296" t="s">
        <v>216</v>
      </c>
      <c r="C64" s="297">
        <v>4</v>
      </c>
      <c r="D64" s="297">
        <f>E63+1</f>
        <v>10</v>
      </c>
      <c r="E64" s="297">
        <f>D64+F64-1</f>
        <v>17</v>
      </c>
      <c r="F64" s="297">
        <v>8</v>
      </c>
      <c r="G64" s="447" t="s">
        <v>1003</v>
      </c>
      <c r="H64" s="301"/>
      <c r="I64" s="301"/>
      <c r="J64" s="297"/>
      <c r="K64" s="297"/>
      <c r="L64" s="297"/>
      <c r="M64" s="293" t="s">
        <v>16</v>
      </c>
    </row>
    <row r="65" spans="1:13" hidden="1">
      <c r="A65" s="317" t="s">
        <v>217</v>
      </c>
      <c r="B65" s="314" t="s">
        <v>250</v>
      </c>
      <c r="C65" s="297">
        <v>5</v>
      </c>
      <c r="D65" s="297">
        <f>E64+1</f>
        <v>18</v>
      </c>
      <c r="E65" s="297">
        <f>D65+F65-1</f>
        <v>33</v>
      </c>
      <c r="F65" s="297">
        <v>16</v>
      </c>
      <c r="G65" s="446" t="s">
        <v>219</v>
      </c>
      <c r="H65" s="298"/>
      <c r="I65" s="298"/>
      <c r="J65" s="297"/>
      <c r="K65" s="297"/>
      <c r="L65" s="297"/>
      <c r="M65" s="293" t="s">
        <v>16</v>
      </c>
    </row>
    <row r="66" spans="1:13" ht="10.5" hidden="1">
      <c r="A66" s="290" t="s">
        <v>1127</v>
      </c>
      <c r="B66" s="291" t="s">
        <v>14</v>
      </c>
      <c r="C66" s="302">
        <v>6</v>
      </c>
      <c r="D66" s="291">
        <v>1</v>
      </c>
      <c r="E66" s="291">
        <v>33</v>
      </c>
      <c r="F66" s="291">
        <v>33</v>
      </c>
      <c r="G66" s="448"/>
      <c r="H66" s="303"/>
      <c r="I66" s="303"/>
      <c r="J66" s="291"/>
      <c r="K66" s="291"/>
      <c r="L66" s="291"/>
      <c r="M66" s="293" t="s">
        <v>16</v>
      </c>
    </row>
    <row r="67" spans="1:13" ht="21" hidden="1">
      <c r="A67" s="304" t="s">
        <v>723</v>
      </c>
      <c r="B67" s="296" t="s">
        <v>18</v>
      </c>
      <c r="C67" s="297">
        <v>7</v>
      </c>
      <c r="D67" s="305">
        <v>1</v>
      </c>
      <c r="E67" s="297">
        <f>D67+F67-1</f>
        <v>1</v>
      </c>
      <c r="F67" s="305">
        <v>1</v>
      </c>
      <c r="G67" s="446" t="s">
        <v>38</v>
      </c>
      <c r="H67" s="298"/>
      <c r="I67" s="298"/>
      <c r="J67" s="305"/>
      <c r="K67" s="305"/>
      <c r="L67" s="305"/>
      <c r="M67" s="293" t="s">
        <v>16</v>
      </c>
    </row>
    <row r="68" spans="1:13" ht="24" hidden="1" customHeight="1">
      <c r="A68" s="312" t="s">
        <v>252</v>
      </c>
      <c r="B68" s="296" t="s">
        <v>1128</v>
      </c>
      <c r="C68" s="297">
        <v>8</v>
      </c>
      <c r="D68" s="297">
        <f>E67+1</f>
        <v>2</v>
      </c>
      <c r="E68" s="297">
        <f>D68+F68-1</f>
        <v>3</v>
      </c>
      <c r="F68" s="297">
        <v>2</v>
      </c>
      <c r="G68" s="323" t="s">
        <v>1129</v>
      </c>
      <c r="H68" s="298" t="s">
        <v>20</v>
      </c>
      <c r="I68" s="298" t="s">
        <v>255</v>
      </c>
      <c r="J68" s="324" t="s">
        <v>1130</v>
      </c>
      <c r="K68" s="314" t="s">
        <v>1107</v>
      </c>
      <c r="L68" s="325">
        <v>611</v>
      </c>
      <c r="M68" s="293" t="s">
        <v>16</v>
      </c>
    </row>
    <row r="69" spans="1:13" ht="24" hidden="1" customHeight="1">
      <c r="A69" s="312" t="s">
        <v>257</v>
      </c>
      <c r="B69" s="296" t="s">
        <v>1128</v>
      </c>
      <c r="C69" s="297">
        <v>8</v>
      </c>
      <c r="D69" s="297">
        <f>E68+1</f>
        <v>4</v>
      </c>
      <c r="E69" s="297">
        <f>D69+F69-1</f>
        <v>33</v>
      </c>
      <c r="F69" s="297">
        <v>30</v>
      </c>
      <c r="G69" s="323" t="s">
        <v>1131</v>
      </c>
      <c r="H69" s="298" t="s">
        <v>20</v>
      </c>
      <c r="I69" s="298" t="s">
        <v>255</v>
      </c>
      <c r="J69" s="324" t="s">
        <v>1132</v>
      </c>
      <c r="K69" s="314" t="s">
        <v>1107</v>
      </c>
      <c r="L69" s="325">
        <v>611</v>
      </c>
      <c r="M69" s="293" t="s">
        <v>16</v>
      </c>
    </row>
    <row r="70" spans="1:13" ht="31.5" hidden="1">
      <c r="A70" s="290" t="s">
        <v>1133</v>
      </c>
      <c r="B70" s="291" t="s">
        <v>14</v>
      </c>
      <c r="C70" s="302">
        <v>35</v>
      </c>
      <c r="D70" s="291">
        <v>1</v>
      </c>
      <c r="E70" s="291">
        <v>33</v>
      </c>
      <c r="F70" s="291">
        <v>33</v>
      </c>
      <c r="G70" s="448"/>
      <c r="H70" s="303"/>
      <c r="I70" s="303"/>
      <c r="J70" s="291"/>
      <c r="K70" s="316" t="s">
        <v>204</v>
      </c>
      <c r="L70" s="316"/>
      <c r="M70" s="316"/>
    </row>
    <row r="71" spans="1:13" ht="21" hidden="1">
      <c r="A71" s="304" t="s">
        <v>723</v>
      </c>
      <c r="B71" s="296" t="s">
        <v>18</v>
      </c>
      <c r="C71" s="297">
        <v>36</v>
      </c>
      <c r="D71" s="297">
        <v>1</v>
      </c>
      <c r="E71" s="297">
        <v>1</v>
      </c>
      <c r="F71" s="297">
        <v>1</v>
      </c>
      <c r="G71" s="446" t="s">
        <v>205</v>
      </c>
      <c r="H71" s="298"/>
      <c r="I71" s="298"/>
      <c r="J71" s="297"/>
      <c r="K71" s="297"/>
      <c r="L71" s="297"/>
      <c r="M71" s="293"/>
    </row>
    <row r="72" spans="1:13" ht="12.5" hidden="1">
      <c r="A72" s="317" t="s">
        <v>206</v>
      </c>
      <c r="B72" s="296" t="s">
        <v>207</v>
      </c>
      <c r="C72" s="297">
        <v>37</v>
      </c>
      <c r="D72" s="297">
        <v>2</v>
      </c>
      <c r="E72" s="297">
        <f>D72+F72-1</f>
        <v>10</v>
      </c>
      <c r="F72" s="297">
        <v>9</v>
      </c>
      <c r="G72" s="446" t="s">
        <v>233</v>
      </c>
      <c r="H72" s="298"/>
      <c r="I72" s="298"/>
      <c r="J72" s="297"/>
      <c r="K72" s="297"/>
      <c r="L72" s="297"/>
      <c r="M72" s="293"/>
    </row>
    <row r="73" spans="1:13" ht="13" hidden="1" thickBot="1">
      <c r="A73" s="326" t="s">
        <v>217</v>
      </c>
      <c r="B73" s="327" t="s">
        <v>1134</v>
      </c>
      <c r="C73" s="328">
        <v>38</v>
      </c>
      <c r="D73" s="328">
        <v>11</v>
      </c>
      <c r="E73" s="328">
        <f>D73+F73-1</f>
        <v>33</v>
      </c>
      <c r="F73" s="328">
        <v>23</v>
      </c>
      <c r="G73" s="459" t="s">
        <v>219</v>
      </c>
      <c r="H73" s="329"/>
      <c r="I73" s="329"/>
      <c r="J73" s="328"/>
      <c r="K73" s="328"/>
      <c r="L73" s="328"/>
      <c r="M73" s="293"/>
    </row>
    <row r="74" spans="1:13" hidden="1"/>
    <row r="75" spans="1:13" hidden="1"/>
    <row r="76" spans="1:13" s="289" customFormat="1" ht="57.75" hidden="1" customHeight="1">
      <c r="A76" s="286" t="s">
        <v>0</v>
      </c>
      <c r="B76" s="287" t="s">
        <v>1</v>
      </c>
      <c r="C76" s="287" t="s">
        <v>2</v>
      </c>
      <c r="D76" s="287" t="s">
        <v>3</v>
      </c>
      <c r="E76" s="287" t="s">
        <v>4</v>
      </c>
      <c r="F76" s="287" t="s">
        <v>5</v>
      </c>
      <c r="G76" s="444" t="s">
        <v>6</v>
      </c>
      <c r="H76" s="287" t="s">
        <v>703</v>
      </c>
      <c r="I76" s="287" t="s">
        <v>704</v>
      </c>
      <c r="J76" s="287" t="s">
        <v>705</v>
      </c>
      <c r="K76" s="287" t="s">
        <v>10</v>
      </c>
      <c r="L76" s="287" t="s">
        <v>706</v>
      </c>
      <c r="M76" s="288" t="s">
        <v>12</v>
      </c>
    </row>
    <row r="77" spans="1:13" ht="11.5" hidden="1">
      <c r="A77" s="322" t="s">
        <v>1135</v>
      </c>
      <c r="B77" s="297"/>
      <c r="C77" s="297"/>
      <c r="D77" s="297">
        <v>1</v>
      </c>
      <c r="E77" s="297">
        <v>33</v>
      </c>
      <c r="F77" s="297">
        <v>33</v>
      </c>
      <c r="G77" s="446" t="s">
        <v>210</v>
      </c>
      <c r="H77" s="298"/>
      <c r="I77" s="298"/>
      <c r="J77" s="297"/>
      <c r="K77" s="297"/>
      <c r="L77" s="297"/>
      <c r="M77" s="293" t="s">
        <v>16</v>
      </c>
    </row>
    <row r="78" spans="1:13" ht="10.5" hidden="1">
      <c r="A78" s="290" t="s">
        <v>1136</v>
      </c>
      <c r="B78" s="291" t="s">
        <v>14</v>
      </c>
      <c r="C78" s="291">
        <v>1</v>
      </c>
      <c r="D78" s="291">
        <v>1</v>
      </c>
      <c r="E78" s="291">
        <v>33</v>
      </c>
      <c r="F78" s="291">
        <v>33</v>
      </c>
      <c r="G78" s="445"/>
      <c r="H78" s="292"/>
      <c r="I78" s="292"/>
      <c r="J78" s="291"/>
      <c r="K78" s="291"/>
      <c r="L78" s="291"/>
      <c r="M78" s="293" t="s">
        <v>16</v>
      </c>
    </row>
    <row r="79" spans="1:13" ht="21" hidden="1">
      <c r="A79" s="295" t="s">
        <v>17</v>
      </c>
      <c r="B79" s="296" t="s">
        <v>18</v>
      </c>
      <c r="C79" s="297">
        <v>2</v>
      </c>
      <c r="D79" s="297">
        <v>1</v>
      </c>
      <c r="E79" s="297">
        <f>D79+F79-1</f>
        <v>1</v>
      </c>
      <c r="F79" s="297">
        <v>1</v>
      </c>
      <c r="G79" s="446" t="s">
        <v>19</v>
      </c>
      <c r="H79" s="298"/>
      <c r="I79" s="298"/>
      <c r="J79" s="297"/>
      <c r="K79" s="297"/>
      <c r="L79" s="297"/>
      <c r="M79" s="293" t="s">
        <v>16</v>
      </c>
    </row>
    <row r="80" spans="1:13" ht="12.5" hidden="1">
      <c r="A80" s="295" t="s">
        <v>212</v>
      </c>
      <c r="B80" s="296" t="s">
        <v>213</v>
      </c>
      <c r="C80" s="297">
        <v>3</v>
      </c>
      <c r="D80" s="297">
        <f>E79+1</f>
        <v>2</v>
      </c>
      <c r="E80" s="297">
        <f>D80+F80-1</f>
        <v>9</v>
      </c>
      <c r="F80" s="297">
        <v>8</v>
      </c>
      <c r="G80" s="447" t="s">
        <v>1101</v>
      </c>
      <c r="H80" s="301"/>
      <c r="I80" s="301"/>
      <c r="J80" s="297"/>
      <c r="K80" s="297"/>
      <c r="L80" s="297"/>
      <c r="M80" s="293" t="s">
        <v>16</v>
      </c>
    </row>
    <row r="81" spans="1:13" ht="12.5" hidden="1">
      <c r="A81" s="295" t="s">
        <v>215</v>
      </c>
      <c r="B81" s="296" t="s">
        <v>216</v>
      </c>
      <c r="C81" s="297">
        <v>4</v>
      </c>
      <c r="D81" s="297">
        <f>E80+1</f>
        <v>10</v>
      </c>
      <c r="E81" s="297">
        <f>D81+F81-1</f>
        <v>17</v>
      </c>
      <c r="F81" s="297">
        <v>8</v>
      </c>
      <c r="G81" s="447" t="s">
        <v>1003</v>
      </c>
      <c r="H81" s="301"/>
      <c r="I81" s="301"/>
      <c r="J81" s="297"/>
      <c r="K81" s="297"/>
      <c r="L81" s="297"/>
      <c r="M81" s="293" t="s">
        <v>16</v>
      </c>
    </row>
    <row r="82" spans="1:13" hidden="1">
      <c r="A82" s="317" t="s">
        <v>217</v>
      </c>
      <c r="B82" s="314" t="s">
        <v>250</v>
      </c>
      <c r="C82" s="297">
        <v>5</v>
      </c>
      <c r="D82" s="297">
        <f>E81+1</f>
        <v>18</v>
      </c>
      <c r="E82" s="297">
        <f>D82+F82-1</f>
        <v>33</v>
      </c>
      <c r="F82" s="297">
        <v>16</v>
      </c>
      <c r="G82" s="446" t="s">
        <v>219</v>
      </c>
      <c r="H82" s="298"/>
      <c r="I82" s="298"/>
      <c r="J82" s="297"/>
      <c r="K82" s="297"/>
      <c r="L82" s="297"/>
      <c r="M82" s="293" t="s">
        <v>16</v>
      </c>
    </row>
    <row r="83" spans="1:13" ht="10.5" hidden="1">
      <c r="A83" s="290" t="s">
        <v>1137</v>
      </c>
      <c r="B83" s="291" t="s">
        <v>14</v>
      </c>
      <c r="C83" s="302">
        <v>6</v>
      </c>
      <c r="D83" s="291">
        <v>1</v>
      </c>
      <c r="E83" s="291">
        <v>33</v>
      </c>
      <c r="F83" s="291">
        <v>33</v>
      </c>
      <c r="G83" s="448"/>
      <c r="H83" s="303"/>
      <c r="I83" s="303"/>
      <c r="J83" s="291"/>
      <c r="K83" s="291"/>
      <c r="L83" s="291"/>
      <c r="M83" s="293" t="s">
        <v>16</v>
      </c>
    </row>
    <row r="84" spans="1:13" ht="21" hidden="1">
      <c r="A84" s="304" t="s">
        <v>723</v>
      </c>
      <c r="B84" s="296" t="s">
        <v>18</v>
      </c>
      <c r="C84" s="297">
        <v>7</v>
      </c>
      <c r="D84" s="305">
        <v>1</v>
      </c>
      <c r="E84" s="297">
        <f>D84+F84-1</f>
        <v>1</v>
      </c>
      <c r="F84" s="305">
        <v>1</v>
      </c>
      <c r="G84" s="446" t="s">
        <v>38</v>
      </c>
      <c r="H84" s="298"/>
      <c r="I84" s="298"/>
      <c r="J84" s="305"/>
      <c r="K84" s="305"/>
      <c r="L84" s="305"/>
      <c r="M84" s="293" t="s">
        <v>16</v>
      </c>
    </row>
    <row r="85" spans="1:13" ht="24" hidden="1" customHeight="1">
      <c r="A85" s="312" t="s">
        <v>265</v>
      </c>
      <c r="B85" s="296" t="s">
        <v>1128</v>
      </c>
      <c r="C85" s="297">
        <v>8</v>
      </c>
      <c r="D85" s="297">
        <f>E84+1</f>
        <v>2</v>
      </c>
      <c r="E85" s="297">
        <f>D85+F85-1</f>
        <v>3</v>
      </c>
      <c r="F85" s="297">
        <v>2</v>
      </c>
      <c r="G85" s="323" t="s">
        <v>1138</v>
      </c>
      <c r="H85" s="298" t="s">
        <v>20</v>
      </c>
      <c r="I85" s="298" t="s">
        <v>1139</v>
      </c>
      <c r="J85" s="324" t="s">
        <v>1140</v>
      </c>
      <c r="K85" s="314" t="s">
        <v>1107</v>
      </c>
      <c r="L85" s="325">
        <v>611</v>
      </c>
      <c r="M85" s="293" t="s">
        <v>16</v>
      </c>
    </row>
    <row r="86" spans="1:13" ht="24" hidden="1" customHeight="1">
      <c r="A86" s="312" t="s">
        <v>269</v>
      </c>
      <c r="B86" s="296" t="s">
        <v>1128</v>
      </c>
      <c r="C86" s="297">
        <v>8</v>
      </c>
      <c r="D86" s="297">
        <f>E85+1</f>
        <v>4</v>
      </c>
      <c r="E86" s="297">
        <f>D86+F86-1</f>
        <v>33</v>
      </c>
      <c r="F86" s="297">
        <v>30</v>
      </c>
      <c r="G86" s="323" t="s">
        <v>1141</v>
      </c>
      <c r="H86" s="298" t="s">
        <v>20</v>
      </c>
      <c r="I86" s="298" t="s">
        <v>271</v>
      </c>
      <c r="J86" s="324" t="s">
        <v>1142</v>
      </c>
      <c r="K86" s="314" t="s">
        <v>1107</v>
      </c>
      <c r="L86" s="325">
        <v>611</v>
      </c>
      <c r="M86" s="293" t="s">
        <v>16</v>
      </c>
    </row>
    <row r="87" spans="1:13" ht="31.5" hidden="1">
      <c r="A87" s="290" t="s">
        <v>1143</v>
      </c>
      <c r="B87" s="291" t="s">
        <v>14</v>
      </c>
      <c r="C87" s="302">
        <v>35</v>
      </c>
      <c r="D87" s="291">
        <v>1</v>
      </c>
      <c r="E87" s="291">
        <v>33</v>
      </c>
      <c r="F87" s="291">
        <v>33</v>
      </c>
      <c r="G87" s="448"/>
      <c r="H87" s="303"/>
      <c r="I87" s="303"/>
      <c r="J87" s="291"/>
      <c r="K87" s="316" t="s">
        <v>204</v>
      </c>
      <c r="L87" s="316"/>
      <c r="M87" s="316"/>
    </row>
    <row r="88" spans="1:13" ht="21" hidden="1">
      <c r="A88" s="304" t="s">
        <v>723</v>
      </c>
      <c r="B88" s="296" t="s">
        <v>18</v>
      </c>
      <c r="C88" s="297">
        <v>36</v>
      </c>
      <c r="D88" s="297">
        <v>1</v>
      </c>
      <c r="E88" s="297">
        <v>1</v>
      </c>
      <c r="F88" s="297">
        <v>1</v>
      </c>
      <c r="G88" s="446" t="s">
        <v>205</v>
      </c>
      <c r="H88" s="298"/>
      <c r="I88" s="298"/>
      <c r="J88" s="297"/>
      <c r="K88" s="297"/>
      <c r="L88" s="297"/>
      <c r="M88" s="293"/>
    </row>
    <row r="89" spans="1:13" ht="12.5" hidden="1">
      <c r="A89" s="317" t="s">
        <v>206</v>
      </c>
      <c r="B89" s="296" t="s">
        <v>207</v>
      </c>
      <c r="C89" s="297">
        <v>37</v>
      </c>
      <c r="D89" s="297">
        <v>2</v>
      </c>
      <c r="E89" s="297">
        <f>D89+F89-1</f>
        <v>10</v>
      </c>
      <c r="F89" s="297">
        <v>9</v>
      </c>
      <c r="G89" s="446" t="s">
        <v>233</v>
      </c>
      <c r="H89" s="298"/>
      <c r="I89" s="298"/>
      <c r="J89" s="297"/>
      <c r="K89" s="297"/>
      <c r="L89" s="297"/>
      <c r="M89" s="293"/>
    </row>
    <row r="90" spans="1:13" ht="13" hidden="1" thickBot="1">
      <c r="A90" s="326" t="s">
        <v>217</v>
      </c>
      <c r="B90" s="327" t="s">
        <v>1134</v>
      </c>
      <c r="C90" s="328">
        <v>38</v>
      </c>
      <c r="D90" s="328">
        <v>11</v>
      </c>
      <c r="E90" s="328">
        <f>D90+F90-1</f>
        <v>33</v>
      </c>
      <c r="F90" s="328">
        <v>23</v>
      </c>
      <c r="G90" s="459" t="s">
        <v>219</v>
      </c>
      <c r="H90" s="329"/>
      <c r="I90" s="329"/>
      <c r="J90" s="328"/>
      <c r="K90" s="328"/>
      <c r="L90" s="328"/>
      <c r="M90" s="293"/>
    </row>
    <row r="91" spans="1:13" hidden="1"/>
    <row r="92" spans="1:13" hidden="1"/>
    <row r="93" spans="1:13" s="289" customFormat="1" ht="57.75" hidden="1" customHeight="1">
      <c r="A93" s="286" t="s">
        <v>0</v>
      </c>
      <c r="B93" s="287" t="s">
        <v>1</v>
      </c>
      <c r="C93" s="287" t="s">
        <v>2</v>
      </c>
      <c r="D93" s="287" t="s">
        <v>3</v>
      </c>
      <c r="E93" s="287" t="s">
        <v>4</v>
      </c>
      <c r="F93" s="287" t="s">
        <v>5</v>
      </c>
      <c r="G93" s="444" t="s">
        <v>6</v>
      </c>
      <c r="H93" s="287" t="s">
        <v>703</v>
      </c>
      <c r="I93" s="287" t="s">
        <v>704</v>
      </c>
      <c r="J93" s="287" t="s">
        <v>705</v>
      </c>
      <c r="K93" s="287" t="s">
        <v>10</v>
      </c>
      <c r="L93" s="287" t="s">
        <v>706</v>
      </c>
      <c r="M93" s="288" t="s">
        <v>12</v>
      </c>
    </row>
    <row r="94" spans="1:13" ht="11.5" hidden="1">
      <c r="A94" s="322" t="s">
        <v>1144</v>
      </c>
      <c r="B94" s="297"/>
      <c r="C94" s="297"/>
      <c r="D94" s="297">
        <v>1</v>
      </c>
      <c r="E94" s="297">
        <v>24</v>
      </c>
      <c r="F94" s="297">
        <v>24</v>
      </c>
      <c r="G94" s="446" t="s">
        <v>210</v>
      </c>
      <c r="H94" s="298"/>
      <c r="I94" s="298"/>
      <c r="J94" s="297"/>
      <c r="K94" s="297"/>
      <c r="L94" s="297"/>
      <c r="M94" s="293" t="s">
        <v>16</v>
      </c>
    </row>
    <row r="95" spans="1:13" ht="10.5" hidden="1">
      <c r="A95" s="290" t="s">
        <v>1145</v>
      </c>
      <c r="B95" s="291" t="s">
        <v>14</v>
      </c>
      <c r="C95" s="291">
        <v>1</v>
      </c>
      <c r="D95" s="291">
        <v>1</v>
      </c>
      <c r="E95" s="291">
        <v>24</v>
      </c>
      <c r="F95" s="291">
        <v>24</v>
      </c>
      <c r="G95" s="445"/>
      <c r="H95" s="292"/>
      <c r="I95" s="292"/>
      <c r="J95" s="291"/>
      <c r="K95" s="291"/>
      <c r="L95" s="291"/>
      <c r="M95" s="293" t="s">
        <v>16</v>
      </c>
    </row>
    <row r="96" spans="1:13" ht="21" hidden="1">
      <c r="A96" s="295" t="s">
        <v>17</v>
      </c>
      <c r="B96" s="296" t="s">
        <v>18</v>
      </c>
      <c r="C96" s="297">
        <v>2</v>
      </c>
      <c r="D96" s="297">
        <v>1</v>
      </c>
      <c r="E96" s="297">
        <f>D96+F96-1</f>
        <v>1</v>
      </c>
      <c r="F96" s="297">
        <v>1</v>
      </c>
      <c r="G96" s="446" t="s">
        <v>19</v>
      </c>
      <c r="H96" s="298"/>
      <c r="I96" s="298"/>
      <c r="J96" s="297"/>
      <c r="K96" s="297"/>
      <c r="L96" s="297"/>
      <c r="M96" s="293" t="s">
        <v>16</v>
      </c>
    </row>
    <row r="97" spans="1:13" ht="12.5" hidden="1">
      <c r="A97" s="295" t="s">
        <v>212</v>
      </c>
      <c r="B97" s="296" t="s">
        <v>213</v>
      </c>
      <c r="C97" s="297">
        <v>3</v>
      </c>
      <c r="D97" s="297">
        <f>E96+1</f>
        <v>2</v>
      </c>
      <c r="E97" s="297">
        <f>D97+F97-1</f>
        <v>9</v>
      </c>
      <c r="F97" s="297">
        <v>8</v>
      </c>
      <c r="G97" s="447" t="s">
        <v>1101</v>
      </c>
      <c r="H97" s="301"/>
      <c r="I97" s="301"/>
      <c r="J97" s="297"/>
      <c r="K97" s="297"/>
      <c r="L97" s="297"/>
      <c r="M97" s="293" t="s">
        <v>16</v>
      </c>
    </row>
    <row r="98" spans="1:13" ht="12.5" hidden="1">
      <c r="A98" s="295" t="s">
        <v>215</v>
      </c>
      <c r="B98" s="296" t="s">
        <v>216</v>
      </c>
      <c r="C98" s="297">
        <v>4</v>
      </c>
      <c r="D98" s="297">
        <f>E97+1</f>
        <v>10</v>
      </c>
      <c r="E98" s="297">
        <f>D98+F98-1</f>
        <v>17</v>
      </c>
      <c r="F98" s="297">
        <v>8</v>
      </c>
      <c r="G98" s="447" t="s">
        <v>1003</v>
      </c>
      <c r="H98" s="301"/>
      <c r="I98" s="301"/>
      <c r="J98" s="297"/>
      <c r="K98" s="297"/>
      <c r="L98" s="297"/>
      <c r="M98" s="293" t="s">
        <v>16</v>
      </c>
    </row>
    <row r="99" spans="1:13" hidden="1">
      <c r="A99" s="317" t="s">
        <v>217</v>
      </c>
      <c r="B99" s="314" t="s">
        <v>236</v>
      </c>
      <c r="C99" s="297">
        <v>5</v>
      </c>
      <c r="D99" s="297">
        <f>E98+1</f>
        <v>18</v>
      </c>
      <c r="E99" s="297">
        <f>D99+F99-1</f>
        <v>24</v>
      </c>
      <c r="F99" s="297">
        <v>7</v>
      </c>
      <c r="G99" s="446" t="s">
        <v>219</v>
      </c>
      <c r="H99" s="298"/>
      <c r="I99" s="298"/>
      <c r="J99" s="297"/>
      <c r="K99" s="297"/>
      <c r="L99" s="297"/>
      <c r="M99" s="293" t="s">
        <v>16</v>
      </c>
    </row>
    <row r="100" spans="1:13" ht="10.5" hidden="1">
      <c r="A100" s="290" t="s">
        <v>1146</v>
      </c>
      <c r="B100" s="291" t="s">
        <v>14</v>
      </c>
      <c r="C100" s="302">
        <v>6</v>
      </c>
      <c r="D100" s="291">
        <v>1</v>
      </c>
      <c r="E100" s="291">
        <v>24</v>
      </c>
      <c r="F100" s="291">
        <v>24</v>
      </c>
      <c r="G100" s="448"/>
      <c r="H100" s="303"/>
      <c r="I100" s="303"/>
      <c r="J100" s="291"/>
      <c r="K100" s="291"/>
      <c r="L100" s="291"/>
      <c r="M100" s="293" t="s">
        <v>16</v>
      </c>
    </row>
    <row r="101" spans="1:13" ht="21" hidden="1">
      <c r="A101" s="304" t="s">
        <v>723</v>
      </c>
      <c r="B101" s="296" t="s">
        <v>18</v>
      </c>
      <c r="C101" s="297">
        <v>7</v>
      </c>
      <c r="D101" s="305">
        <v>1</v>
      </c>
      <c r="E101" s="297">
        <f>D101+F101-1</f>
        <v>1</v>
      </c>
      <c r="F101" s="305">
        <v>1</v>
      </c>
      <c r="G101" s="446" t="s">
        <v>38</v>
      </c>
      <c r="H101" s="298"/>
      <c r="I101" s="298"/>
      <c r="J101" s="305"/>
      <c r="K101" s="305"/>
      <c r="L101" s="305"/>
      <c r="M101" s="293" t="s">
        <v>16</v>
      </c>
    </row>
    <row r="102" spans="1:13" ht="24" hidden="1" customHeight="1">
      <c r="A102" s="312" t="s">
        <v>277</v>
      </c>
      <c r="B102" s="296" t="s">
        <v>1111</v>
      </c>
      <c r="C102" s="297">
        <v>8</v>
      </c>
      <c r="D102" s="297">
        <f>E101+1</f>
        <v>2</v>
      </c>
      <c r="E102" s="297">
        <f>D102+F102-1</f>
        <v>4</v>
      </c>
      <c r="F102" s="297">
        <v>3</v>
      </c>
      <c r="G102" s="323" t="s">
        <v>1147</v>
      </c>
      <c r="H102" s="298" t="s">
        <v>20</v>
      </c>
      <c r="I102" s="298" t="s">
        <v>1148</v>
      </c>
      <c r="J102" s="324" t="s">
        <v>1149</v>
      </c>
      <c r="K102" s="314" t="s">
        <v>1107</v>
      </c>
      <c r="L102" s="325">
        <v>611</v>
      </c>
      <c r="M102" s="293" t="s">
        <v>16</v>
      </c>
    </row>
    <row r="103" spans="1:13" ht="24" hidden="1" customHeight="1">
      <c r="A103" s="312" t="s">
        <v>281</v>
      </c>
      <c r="B103" s="296" t="s">
        <v>1014</v>
      </c>
      <c r="C103" s="297">
        <v>8</v>
      </c>
      <c r="D103" s="297">
        <f>E102+1</f>
        <v>5</v>
      </c>
      <c r="E103" s="297">
        <f>D103+F103-1</f>
        <v>24</v>
      </c>
      <c r="F103" s="297">
        <v>20</v>
      </c>
      <c r="G103" s="323" t="s">
        <v>1150</v>
      </c>
      <c r="H103" s="298" t="s">
        <v>20</v>
      </c>
      <c r="I103" s="298" t="s">
        <v>283</v>
      </c>
      <c r="J103" s="324" t="s">
        <v>1151</v>
      </c>
      <c r="K103" s="314" t="s">
        <v>1107</v>
      </c>
      <c r="L103" s="325">
        <v>611</v>
      </c>
      <c r="M103" s="293" t="s">
        <v>16</v>
      </c>
    </row>
    <row r="104" spans="1:13" ht="31.5" hidden="1">
      <c r="A104" s="290" t="s">
        <v>1152</v>
      </c>
      <c r="B104" s="291" t="s">
        <v>14</v>
      </c>
      <c r="C104" s="302">
        <v>35</v>
      </c>
      <c r="D104" s="291">
        <v>1</v>
      </c>
      <c r="E104" s="291">
        <v>24</v>
      </c>
      <c r="F104" s="291">
        <v>24</v>
      </c>
      <c r="G104" s="448"/>
      <c r="H104" s="303"/>
      <c r="I104" s="303"/>
      <c r="J104" s="291"/>
      <c r="K104" s="316" t="s">
        <v>204</v>
      </c>
      <c r="L104" s="316"/>
      <c r="M104" s="316"/>
    </row>
    <row r="105" spans="1:13" ht="21" hidden="1">
      <c r="A105" s="304" t="s">
        <v>723</v>
      </c>
      <c r="B105" s="296" t="s">
        <v>18</v>
      </c>
      <c r="C105" s="297">
        <v>36</v>
      </c>
      <c r="D105" s="297">
        <v>1</v>
      </c>
      <c r="E105" s="297">
        <v>1</v>
      </c>
      <c r="F105" s="297">
        <v>1</v>
      </c>
      <c r="G105" s="446" t="s">
        <v>205</v>
      </c>
      <c r="H105" s="298"/>
      <c r="I105" s="298"/>
      <c r="J105" s="297"/>
      <c r="K105" s="297"/>
      <c r="L105" s="297"/>
      <c r="M105" s="293"/>
    </row>
    <row r="106" spans="1:13" ht="12.5" hidden="1">
      <c r="A106" s="317" t="s">
        <v>206</v>
      </c>
      <c r="B106" s="296" t="s">
        <v>207</v>
      </c>
      <c r="C106" s="297">
        <v>37</v>
      </c>
      <c r="D106" s="297">
        <v>2</v>
      </c>
      <c r="E106" s="297">
        <f>D106+F106-1</f>
        <v>10</v>
      </c>
      <c r="F106" s="297">
        <v>9</v>
      </c>
      <c r="G106" s="446" t="s">
        <v>233</v>
      </c>
      <c r="H106" s="298"/>
      <c r="I106" s="298"/>
      <c r="J106" s="297"/>
      <c r="K106" s="297"/>
      <c r="L106" s="297"/>
      <c r="M106" s="293"/>
    </row>
    <row r="107" spans="1:13" ht="13" hidden="1" thickBot="1">
      <c r="A107" s="326" t="s">
        <v>217</v>
      </c>
      <c r="B107" s="327" t="s">
        <v>1124</v>
      </c>
      <c r="C107" s="328">
        <v>38</v>
      </c>
      <c r="D107" s="328">
        <v>11</v>
      </c>
      <c r="E107" s="328">
        <f>D107+F107-1</f>
        <v>24</v>
      </c>
      <c r="F107" s="328">
        <v>14</v>
      </c>
      <c r="G107" s="459" t="s">
        <v>219</v>
      </c>
      <c r="H107" s="329"/>
      <c r="I107" s="329"/>
      <c r="J107" s="328"/>
      <c r="K107" s="328"/>
      <c r="L107" s="328"/>
      <c r="M107" s="293"/>
    </row>
    <row r="108" spans="1:13" hidden="1"/>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851E0-F201-4C19-BF2A-F2BDD15749BA}">
  <sheetPr codeName="Sheet6"/>
  <dimension ref="A1:N103"/>
  <sheetViews>
    <sheetView workbookViewId="0">
      <selection activeCell="H110" sqref="H110"/>
    </sheetView>
  </sheetViews>
  <sheetFormatPr defaultRowHeight="10"/>
  <cols>
    <col min="1" max="1" width="24.7265625" style="318" bestFit="1" customWidth="1"/>
    <col min="2" max="2" width="18.7265625" style="319" bestFit="1" customWidth="1"/>
    <col min="3" max="3" width="8.1796875" style="319" bestFit="1" customWidth="1"/>
    <col min="4" max="5" width="8.26953125" style="319" bestFit="1" customWidth="1"/>
    <col min="6" max="6" width="7.26953125" style="319" bestFit="1" customWidth="1"/>
    <col min="7" max="7" width="23.26953125" style="458" customWidth="1"/>
    <col min="8" max="8" width="17.1796875" style="320" bestFit="1" customWidth="1"/>
    <col min="9" max="9" width="23.26953125" style="320" customWidth="1"/>
    <col min="10" max="10" width="28.7265625" style="319" bestFit="1" customWidth="1"/>
    <col min="11" max="12" width="9.1796875" style="319"/>
    <col min="13" max="13" width="13.26953125" style="294" customWidth="1"/>
    <col min="14" max="256" width="9.1796875" style="294"/>
    <col min="257" max="257" width="24.7265625" style="294" bestFit="1" customWidth="1"/>
    <col min="258" max="258" width="18.7265625" style="294" bestFit="1" customWidth="1"/>
    <col min="259" max="259" width="8.1796875" style="294" bestFit="1" customWidth="1"/>
    <col min="260" max="261" width="8.26953125" style="294" bestFit="1" customWidth="1"/>
    <col min="262" max="262" width="7.26953125" style="294" bestFit="1" customWidth="1"/>
    <col min="263" max="263" width="23.26953125" style="294" customWidth="1"/>
    <col min="264" max="264" width="17.1796875" style="294" bestFit="1" customWidth="1"/>
    <col min="265" max="265" width="23.26953125" style="294" customWidth="1"/>
    <col min="266" max="266" width="28.7265625" style="294" bestFit="1" customWidth="1"/>
    <col min="267" max="268" width="9.1796875" style="294"/>
    <col min="269" max="269" width="13.26953125" style="294" customWidth="1"/>
    <col min="270" max="512" width="9.1796875" style="294"/>
    <col min="513" max="513" width="24.7265625" style="294" bestFit="1" customWidth="1"/>
    <col min="514" max="514" width="18.7265625" style="294" bestFit="1" customWidth="1"/>
    <col min="515" max="515" width="8.1796875" style="294" bestFit="1" customWidth="1"/>
    <col min="516" max="517" width="8.26953125" style="294" bestFit="1" customWidth="1"/>
    <col min="518" max="518" width="7.26953125" style="294" bestFit="1" customWidth="1"/>
    <col min="519" max="519" width="23.26953125" style="294" customWidth="1"/>
    <col min="520" max="520" width="17.1796875" style="294" bestFit="1" customWidth="1"/>
    <col min="521" max="521" width="23.26953125" style="294" customWidth="1"/>
    <col min="522" max="522" width="28.7265625" style="294" bestFit="1" customWidth="1"/>
    <col min="523" max="524" width="9.1796875" style="294"/>
    <col min="525" max="525" width="13.26953125" style="294" customWidth="1"/>
    <col min="526" max="768" width="9.1796875" style="294"/>
    <col min="769" max="769" width="24.7265625" style="294" bestFit="1" customWidth="1"/>
    <col min="770" max="770" width="18.7265625" style="294" bestFit="1" customWidth="1"/>
    <col min="771" max="771" width="8.1796875" style="294" bestFit="1" customWidth="1"/>
    <col min="772" max="773" width="8.26953125" style="294" bestFit="1" customWidth="1"/>
    <col min="774" max="774" width="7.26953125" style="294" bestFit="1" customWidth="1"/>
    <col min="775" max="775" width="23.26953125" style="294" customWidth="1"/>
    <col min="776" max="776" width="17.1796875" style="294" bestFit="1" customWidth="1"/>
    <col min="777" max="777" width="23.26953125" style="294" customWidth="1"/>
    <col min="778" max="778" width="28.7265625" style="294" bestFit="1" customWidth="1"/>
    <col min="779" max="780" width="9.1796875" style="294"/>
    <col min="781" max="781" width="13.26953125" style="294" customWidth="1"/>
    <col min="782" max="1024" width="9.1796875" style="294"/>
    <col min="1025" max="1025" width="24.7265625" style="294" bestFit="1" customWidth="1"/>
    <col min="1026" max="1026" width="18.7265625" style="294" bestFit="1" customWidth="1"/>
    <col min="1027" max="1027" width="8.1796875" style="294" bestFit="1" customWidth="1"/>
    <col min="1028" max="1029" width="8.26953125" style="294" bestFit="1" customWidth="1"/>
    <col min="1030" max="1030" width="7.26953125" style="294" bestFit="1" customWidth="1"/>
    <col min="1031" max="1031" width="23.26953125" style="294" customWidth="1"/>
    <col min="1032" max="1032" width="17.1796875" style="294" bestFit="1" customWidth="1"/>
    <col min="1033" max="1033" width="23.26953125" style="294" customWidth="1"/>
    <col min="1034" max="1034" width="28.7265625" style="294" bestFit="1" customWidth="1"/>
    <col min="1035" max="1036" width="9.1796875" style="294"/>
    <col min="1037" max="1037" width="13.26953125" style="294" customWidth="1"/>
    <col min="1038" max="1280" width="9.1796875" style="294"/>
    <col min="1281" max="1281" width="24.7265625" style="294" bestFit="1" customWidth="1"/>
    <col min="1282" max="1282" width="18.7265625" style="294" bestFit="1" customWidth="1"/>
    <col min="1283" max="1283" width="8.1796875" style="294" bestFit="1" customWidth="1"/>
    <col min="1284" max="1285" width="8.26953125" style="294" bestFit="1" customWidth="1"/>
    <col min="1286" max="1286" width="7.26953125" style="294" bestFit="1" customWidth="1"/>
    <col min="1287" max="1287" width="23.26953125" style="294" customWidth="1"/>
    <col min="1288" max="1288" width="17.1796875" style="294" bestFit="1" customWidth="1"/>
    <col min="1289" max="1289" width="23.26953125" style="294" customWidth="1"/>
    <col min="1290" max="1290" width="28.7265625" style="294" bestFit="1" customWidth="1"/>
    <col min="1291" max="1292" width="9.1796875" style="294"/>
    <col min="1293" max="1293" width="13.26953125" style="294" customWidth="1"/>
    <col min="1294" max="1536" width="9.1796875" style="294"/>
    <col min="1537" max="1537" width="24.7265625" style="294" bestFit="1" customWidth="1"/>
    <col min="1538" max="1538" width="18.7265625" style="294" bestFit="1" customWidth="1"/>
    <col min="1539" max="1539" width="8.1796875" style="294" bestFit="1" customWidth="1"/>
    <col min="1540" max="1541" width="8.26953125" style="294" bestFit="1" customWidth="1"/>
    <col min="1542" max="1542" width="7.26953125" style="294" bestFit="1" customWidth="1"/>
    <col min="1543" max="1543" width="23.26953125" style="294" customWidth="1"/>
    <col min="1544" max="1544" width="17.1796875" style="294" bestFit="1" customWidth="1"/>
    <col min="1545" max="1545" width="23.26953125" style="294" customWidth="1"/>
    <col min="1546" max="1546" width="28.7265625" style="294" bestFit="1" customWidth="1"/>
    <col min="1547" max="1548" width="9.1796875" style="294"/>
    <col min="1549" max="1549" width="13.26953125" style="294" customWidth="1"/>
    <col min="1550" max="1792" width="9.1796875" style="294"/>
    <col min="1793" max="1793" width="24.7265625" style="294" bestFit="1" customWidth="1"/>
    <col min="1794" max="1794" width="18.7265625" style="294" bestFit="1" customWidth="1"/>
    <col min="1795" max="1795" width="8.1796875" style="294" bestFit="1" customWidth="1"/>
    <col min="1796" max="1797" width="8.26953125" style="294" bestFit="1" customWidth="1"/>
    <col min="1798" max="1798" width="7.26953125" style="294" bestFit="1" customWidth="1"/>
    <col min="1799" max="1799" width="23.26953125" style="294" customWidth="1"/>
    <col min="1800" max="1800" width="17.1796875" style="294" bestFit="1" customWidth="1"/>
    <col min="1801" max="1801" width="23.26953125" style="294" customWidth="1"/>
    <col min="1802" max="1802" width="28.7265625" style="294" bestFit="1" customWidth="1"/>
    <col min="1803" max="1804" width="9.1796875" style="294"/>
    <col min="1805" max="1805" width="13.26953125" style="294" customWidth="1"/>
    <col min="1806" max="2048" width="9.1796875" style="294"/>
    <col min="2049" max="2049" width="24.7265625" style="294" bestFit="1" customWidth="1"/>
    <col min="2050" max="2050" width="18.7265625" style="294" bestFit="1" customWidth="1"/>
    <col min="2051" max="2051" width="8.1796875" style="294" bestFit="1" customWidth="1"/>
    <col min="2052" max="2053" width="8.26953125" style="294" bestFit="1" customWidth="1"/>
    <col min="2054" max="2054" width="7.26953125" style="294" bestFit="1" customWidth="1"/>
    <col min="2055" max="2055" width="23.26953125" style="294" customWidth="1"/>
    <col min="2056" max="2056" width="17.1796875" style="294" bestFit="1" customWidth="1"/>
    <col min="2057" max="2057" width="23.26953125" style="294" customWidth="1"/>
    <col min="2058" max="2058" width="28.7265625" style="294" bestFit="1" customWidth="1"/>
    <col min="2059" max="2060" width="9.1796875" style="294"/>
    <col min="2061" max="2061" width="13.26953125" style="294" customWidth="1"/>
    <col min="2062" max="2304" width="9.1796875" style="294"/>
    <col min="2305" max="2305" width="24.7265625" style="294" bestFit="1" customWidth="1"/>
    <col min="2306" max="2306" width="18.7265625" style="294" bestFit="1" customWidth="1"/>
    <col min="2307" max="2307" width="8.1796875" style="294" bestFit="1" customWidth="1"/>
    <col min="2308" max="2309" width="8.26953125" style="294" bestFit="1" customWidth="1"/>
    <col min="2310" max="2310" width="7.26953125" style="294" bestFit="1" customWidth="1"/>
    <col min="2311" max="2311" width="23.26953125" style="294" customWidth="1"/>
    <col min="2312" max="2312" width="17.1796875" style="294" bestFit="1" customWidth="1"/>
    <col min="2313" max="2313" width="23.26953125" style="294" customWidth="1"/>
    <col min="2314" max="2314" width="28.7265625" style="294" bestFit="1" customWidth="1"/>
    <col min="2315" max="2316" width="9.1796875" style="294"/>
    <col min="2317" max="2317" width="13.26953125" style="294" customWidth="1"/>
    <col min="2318" max="2560" width="9.1796875" style="294"/>
    <col min="2561" max="2561" width="24.7265625" style="294" bestFit="1" customWidth="1"/>
    <col min="2562" max="2562" width="18.7265625" style="294" bestFit="1" customWidth="1"/>
    <col min="2563" max="2563" width="8.1796875" style="294" bestFit="1" customWidth="1"/>
    <col min="2564" max="2565" width="8.26953125" style="294" bestFit="1" customWidth="1"/>
    <col min="2566" max="2566" width="7.26953125" style="294" bestFit="1" customWidth="1"/>
    <col min="2567" max="2567" width="23.26953125" style="294" customWidth="1"/>
    <col min="2568" max="2568" width="17.1796875" style="294" bestFit="1" customWidth="1"/>
    <col min="2569" max="2569" width="23.26953125" style="294" customWidth="1"/>
    <col min="2570" max="2570" width="28.7265625" style="294" bestFit="1" customWidth="1"/>
    <col min="2571" max="2572" width="9.1796875" style="294"/>
    <col min="2573" max="2573" width="13.26953125" style="294" customWidth="1"/>
    <col min="2574" max="2816" width="9.1796875" style="294"/>
    <col min="2817" max="2817" width="24.7265625" style="294" bestFit="1" customWidth="1"/>
    <col min="2818" max="2818" width="18.7265625" style="294" bestFit="1" customWidth="1"/>
    <col min="2819" max="2819" width="8.1796875" style="294" bestFit="1" customWidth="1"/>
    <col min="2820" max="2821" width="8.26953125" style="294" bestFit="1" customWidth="1"/>
    <col min="2822" max="2822" width="7.26953125" style="294" bestFit="1" customWidth="1"/>
    <col min="2823" max="2823" width="23.26953125" style="294" customWidth="1"/>
    <col min="2824" max="2824" width="17.1796875" style="294" bestFit="1" customWidth="1"/>
    <col min="2825" max="2825" width="23.26953125" style="294" customWidth="1"/>
    <col min="2826" max="2826" width="28.7265625" style="294" bestFit="1" customWidth="1"/>
    <col min="2827" max="2828" width="9.1796875" style="294"/>
    <col min="2829" max="2829" width="13.26953125" style="294" customWidth="1"/>
    <col min="2830" max="3072" width="9.1796875" style="294"/>
    <col min="3073" max="3073" width="24.7265625" style="294" bestFit="1" customWidth="1"/>
    <col min="3074" max="3074" width="18.7265625" style="294" bestFit="1" customWidth="1"/>
    <col min="3075" max="3075" width="8.1796875" style="294" bestFit="1" customWidth="1"/>
    <col min="3076" max="3077" width="8.26953125" style="294" bestFit="1" customWidth="1"/>
    <col min="3078" max="3078" width="7.26953125" style="294" bestFit="1" customWidth="1"/>
    <col min="3079" max="3079" width="23.26953125" style="294" customWidth="1"/>
    <col min="3080" max="3080" width="17.1796875" style="294" bestFit="1" customWidth="1"/>
    <col min="3081" max="3081" width="23.26953125" style="294" customWidth="1"/>
    <col min="3082" max="3082" width="28.7265625" style="294" bestFit="1" customWidth="1"/>
    <col min="3083" max="3084" width="9.1796875" style="294"/>
    <col min="3085" max="3085" width="13.26953125" style="294" customWidth="1"/>
    <col min="3086" max="3328" width="9.1796875" style="294"/>
    <col min="3329" max="3329" width="24.7265625" style="294" bestFit="1" customWidth="1"/>
    <col min="3330" max="3330" width="18.7265625" style="294" bestFit="1" customWidth="1"/>
    <col min="3331" max="3331" width="8.1796875" style="294" bestFit="1" customWidth="1"/>
    <col min="3332" max="3333" width="8.26953125" style="294" bestFit="1" customWidth="1"/>
    <col min="3334" max="3334" width="7.26953125" style="294" bestFit="1" customWidth="1"/>
    <col min="3335" max="3335" width="23.26953125" style="294" customWidth="1"/>
    <col min="3336" max="3336" width="17.1796875" style="294" bestFit="1" customWidth="1"/>
    <col min="3337" max="3337" width="23.26953125" style="294" customWidth="1"/>
    <col min="3338" max="3338" width="28.7265625" style="294" bestFit="1" customWidth="1"/>
    <col min="3339" max="3340" width="9.1796875" style="294"/>
    <col min="3341" max="3341" width="13.26953125" style="294" customWidth="1"/>
    <col min="3342" max="3584" width="9.1796875" style="294"/>
    <col min="3585" max="3585" width="24.7265625" style="294" bestFit="1" customWidth="1"/>
    <col min="3586" max="3586" width="18.7265625" style="294" bestFit="1" customWidth="1"/>
    <col min="3587" max="3587" width="8.1796875" style="294" bestFit="1" customWidth="1"/>
    <col min="3588" max="3589" width="8.26953125" style="294" bestFit="1" customWidth="1"/>
    <col min="3590" max="3590" width="7.26953125" style="294" bestFit="1" customWidth="1"/>
    <col min="3591" max="3591" width="23.26953125" style="294" customWidth="1"/>
    <col min="3592" max="3592" width="17.1796875" style="294" bestFit="1" customWidth="1"/>
    <col min="3593" max="3593" width="23.26953125" style="294" customWidth="1"/>
    <col min="3594" max="3594" width="28.7265625" style="294" bestFit="1" customWidth="1"/>
    <col min="3595" max="3596" width="9.1796875" style="294"/>
    <col min="3597" max="3597" width="13.26953125" style="294" customWidth="1"/>
    <col min="3598" max="3840" width="9.1796875" style="294"/>
    <col min="3841" max="3841" width="24.7265625" style="294" bestFit="1" customWidth="1"/>
    <col min="3842" max="3842" width="18.7265625" style="294" bestFit="1" customWidth="1"/>
    <col min="3843" max="3843" width="8.1796875" style="294" bestFit="1" customWidth="1"/>
    <col min="3844" max="3845" width="8.26953125" style="294" bestFit="1" customWidth="1"/>
    <col min="3846" max="3846" width="7.26953125" style="294" bestFit="1" customWidth="1"/>
    <col min="3847" max="3847" width="23.26953125" style="294" customWidth="1"/>
    <col min="3848" max="3848" width="17.1796875" style="294" bestFit="1" customWidth="1"/>
    <col min="3849" max="3849" width="23.26953125" style="294" customWidth="1"/>
    <col min="3850" max="3850" width="28.7265625" style="294" bestFit="1" customWidth="1"/>
    <col min="3851" max="3852" width="9.1796875" style="294"/>
    <col min="3853" max="3853" width="13.26953125" style="294" customWidth="1"/>
    <col min="3854" max="4096" width="9.1796875" style="294"/>
    <col min="4097" max="4097" width="24.7265625" style="294" bestFit="1" customWidth="1"/>
    <col min="4098" max="4098" width="18.7265625" style="294" bestFit="1" customWidth="1"/>
    <col min="4099" max="4099" width="8.1796875" style="294" bestFit="1" customWidth="1"/>
    <col min="4100" max="4101" width="8.26953125" style="294" bestFit="1" customWidth="1"/>
    <col min="4102" max="4102" width="7.26953125" style="294" bestFit="1" customWidth="1"/>
    <col min="4103" max="4103" width="23.26953125" style="294" customWidth="1"/>
    <col min="4104" max="4104" width="17.1796875" style="294" bestFit="1" customWidth="1"/>
    <col min="4105" max="4105" width="23.26953125" style="294" customWidth="1"/>
    <col min="4106" max="4106" width="28.7265625" style="294" bestFit="1" customWidth="1"/>
    <col min="4107" max="4108" width="9.1796875" style="294"/>
    <col min="4109" max="4109" width="13.26953125" style="294" customWidth="1"/>
    <col min="4110" max="4352" width="9.1796875" style="294"/>
    <col min="4353" max="4353" width="24.7265625" style="294" bestFit="1" customWidth="1"/>
    <col min="4354" max="4354" width="18.7265625" style="294" bestFit="1" customWidth="1"/>
    <col min="4355" max="4355" width="8.1796875" style="294" bestFit="1" customWidth="1"/>
    <col min="4356" max="4357" width="8.26953125" style="294" bestFit="1" customWidth="1"/>
    <col min="4358" max="4358" width="7.26953125" style="294" bestFit="1" customWidth="1"/>
    <col min="4359" max="4359" width="23.26953125" style="294" customWidth="1"/>
    <col min="4360" max="4360" width="17.1796875" style="294" bestFit="1" customWidth="1"/>
    <col min="4361" max="4361" width="23.26953125" style="294" customWidth="1"/>
    <col min="4362" max="4362" width="28.7265625" style="294" bestFit="1" customWidth="1"/>
    <col min="4363" max="4364" width="9.1796875" style="294"/>
    <col min="4365" max="4365" width="13.26953125" style="294" customWidth="1"/>
    <col min="4366" max="4608" width="9.1796875" style="294"/>
    <col min="4609" max="4609" width="24.7265625" style="294" bestFit="1" customWidth="1"/>
    <col min="4610" max="4610" width="18.7265625" style="294" bestFit="1" customWidth="1"/>
    <col min="4611" max="4611" width="8.1796875" style="294" bestFit="1" customWidth="1"/>
    <col min="4612" max="4613" width="8.26953125" style="294" bestFit="1" customWidth="1"/>
    <col min="4614" max="4614" width="7.26953125" style="294" bestFit="1" customWidth="1"/>
    <col min="4615" max="4615" width="23.26953125" style="294" customWidth="1"/>
    <col min="4616" max="4616" width="17.1796875" style="294" bestFit="1" customWidth="1"/>
    <col min="4617" max="4617" width="23.26953125" style="294" customWidth="1"/>
    <col min="4618" max="4618" width="28.7265625" style="294" bestFit="1" customWidth="1"/>
    <col min="4619" max="4620" width="9.1796875" style="294"/>
    <col min="4621" max="4621" width="13.26953125" style="294" customWidth="1"/>
    <col min="4622" max="4864" width="9.1796875" style="294"/>
    <col min="4865" max="4865" width="24.7265625" style="294" bestFit="1" customWidth="1"/>
    <col min="4866" max="4866" width="18.7265625" style="294" bestFit="1" customWidth="1"/>
    <col min="4867" max="4867" width="8.1796875" style="294" bestFit="1" customWidth="1"/>
    <col min="4868" max="4869" width="8.26953125" style="294" bestFit="1" customWidth="1"/>
    <col min="4870" max="4870" width="7.26953125" style="294" bestFit="1" customWidth="1"/>
    <col min="4871" max="4871" width="23.26953125" style="294" customWidth="1"/>
    <col min="4872" max="4872" width="17.1796875" style="294" bestFit="1" customWidth="1"/>
    <col min="4873" max="4873" width="23.26953125" style="294" customWidth="1"/>
    <col min="4874" max="4874" width="28.7265625" style="294" bestFit="1" customWidth="1"/>
    <col min="4875" max="4876" width="9.1796875" style="294"/>
    <col min="4877" max="4877" width="13.26953125" style="294" customWidth="1"/>
    <col min="4878" max="5120" width="9.1796875" style="294"/>
    <col min="5121" max="5121" width="24.7265625" style="294" bestFit="1" customWidth="1"/>
    <col min="5122" max="5122" width="18.7265625" style="294" bestFit="1" customWidth="1"/>
    <col min="5123" max="5123" width="8.1796875" style="294" bestFit="1" customWidth="1"/>
    <col min="5124" max="5125" width="8.26953125" style="294" bestFit="1" customWidth="1"/>
    <col min="5126" max="5126" width="7.26953125" style="294" bestFit="1" customWidth="1"/>
    <col min="5127" max="5127" width="23.26953125" style="294" customWidth="1"/>
    <col min="5128" max="5128" width="17.1796875" style="294" bestFit="1" customWidth="1"/>
    <col min="5129" max="5129" width="23.26953125" style="294" customWidth="1"/>
    <col min="5130" max="5130" width="28.7265625" style="294" bestFit="1" customWidth="1"/>
    <col min="5131" max="5132" width="9.1796875" style="294"/>
    <col min="5133" max="5133" width="13.26953125" style="294" customWidth="1"/>
    <col min="5134" max="5376" width="9.1796875" style="294"/>
    <col min="5377" max="5377" width="24.7265625" style="294" bestFit="1" customWidth="1"/>
    <col min="5378" max="5378" width="18.7265625" style="294" bestFit="1" customWidth="1"/>
    <col min="5379" max="5379" width="8.1796875" style="294" bestFit="1" customWidth="1"/>
    <col min="5380" max="5381" width="8.26953125" style="294" bestFit="1" customWidth="1"/>
    <col min="5382" max="5382" width="7.26953125" style="294" bestFit="1" customWidth="1"/>
    <col min="5383" max="5383" width="23.26953125" style="294" customWidth="1"/>
    <col min="5384" max="5384" width="17.1796875" style="294" bestFit="1" customWidth="1"/>
    <col min="5385" max="5385" width="23.26953125" style="294" customWidth="1"/>
    <col min="5386" max="5386" width="28.7265625" style="294" bestFit="1" customWidth="1"/>
    <col min="5387" max="5388" width="9.1796875" style="294"/>
    <col min="5389" max="5389" width="13.26953125" style="294" customWidth="1"/>
    <col min="5390" max="5632" width="9.1796875" style="294"/>
    <col min="5633" max="5633" width="24.7265625" style="294" bestFit="1" customWidth="1"/>
    <col min="5634" max="5634" width="18.7265625" style="294" bestFit="1" customWidth="1"/>
    <col min="5635" max="5635" width="8.1796875" style="294" bestFit="1" customWidth="1"/>
    <col min="5636" max="5637" width="8.26953125" style="294" bestFit="1" customWidth="1"/>
    <col min="5638" max="5638" width="7.26953125" style="294" bestFit="1" customWidth="1"/>
    <col min="5639" max="5639" width="23.26953125" style="294" customWidth="1"/>
    <col min="5640" max="5640" width="17.1796875" style="294" bestFit="1" customWidth="1"/>
    <col min="5641" max="5641" width="23.26953125" style="294" customWidth="1"/>
    <col min="5642" max="5642" width="28.7265625" style="294" bestFit="1" customWidth="1"/>
    <col min="5643" max="5644" width="9.1796875" style="294"/>
    <col min="5645" max="5645" width="13.26953125" style="294" customWidth="1"/>
    <col min="5646" max="5888" width="9.1796875" style="294"/>
    <col min="5889" max="5889" width="24.7265625" style="294" bestFit="1" customWidth="1"/>
    <col min="5890" max="5890" width="18.7265625" style="294" bestFit="1" customWidth="1"/>
    <col min="5891" max="5891" width="8.1796875" style="294" bestFit="1" customWidth="1"/>
    <col min="5892" max="5893" width="8.26953125" style="294" bestFit="1" customWidth="1"/>
    <col min="5894" max="5894" width="7.26953125" style="294" bestFit="1" customWidth="1"/>
    <col min="5895" max="5895" width="23.26953125" style="294" customWidth="1"/>
    <col min="5896" max="5896" width="17.1796875" style="294" bestFit="1" customWidth="1"/>
    <col min="5897" max="5897" width="23.26953125" style="294" customWidth="1"/>
    <col min="5898" max="5898" width="28.7265625" style="294" bestFit="1" customWidth="1"/>
    <col min="5899" max="5900" width="9.1796875" style="294"/>
    <col min="5901" max="5901" width="13.26953125" style="294" customWidth="1"/>
    <col min="5902" max="6144" width="9.1796875" style="294"/>
    <col min="6145" max="6145" width="24.7265625" style="294" bestFit="1" customWidth="1"/>
    <col min="6146" max="6146" width="18.7265625" style="294" bestFit="1" customWidth="1"/>
    <col min="6147" max="6147" width="8.1796875" style="294" bestFit="1" customWidth="1"/>
    <col min="6148" max="6149" width="8.26953125" style="294" bestFit="1" customWidth="1"/>
    <col min="6150" max="6150" width="7.26953125" style="294" bestFit="1" customWidth="1"/>
    <col min="6151" max="6151" width="23.26953125" style="294" customWidth="1"/>
    <col min="6152" max="6152" width="17.1796875" style="294" bestFit="1" customWidth="1"/>
    <col min="6153" max="6153" width="23.26953125" style="294" customWidth="1"/>
    <col min="6154" max="6154" width="28.7265625" style="294" bestFit="1" customWidth="1"/>
    <col min="6155" max="6156" width="9.1796875" style="294"/>
    <col min="6157" max="6157" width="13.26953125" style="294" customWidth="1"/>
    <col min="6158" max="6400" width="9.1796875" style="294"/>
    <col min="6401" max="6401" width="24.7265625" style="294" bestFit="1" customWidth="1"/>
    <col min="6402" max="6402" width="18.7265625" style="294" bestFit="1" customWidth="1"/>
    <col min="6403" max="6403" width="8.1796875" style="294" bestFit="1" customWidth="1"/>
    <col min="6404" max="6405" width="8.26953125" style="294" bestFit="1" customWidth="1"/>
    <col min="6406" max="6406" width="7.26953125" style="294" bestFit="1" customWidth="1"/>
    <col min="6407" max="6407" width="23.26953125" style="294" customWidth="1"/>
    <col min="6408" max="6408" width="17.1796875" style="294" bestFit="1" customWidth="1"/>
    <col min="6409" max="6409" width="23.26953125" style="294" customWidth="1"/>
    <col min="6410" max="6410" width="28.7265625" style="294" bestFit="1" customWidth="1"/>
    <col min="6411" max="6412" width="9.1796875" style="294"/>
    <col min="6413" max="6413" width="13.26953125" style="294" customWidth="1"/>
    <col min="6414" max="6656" width="9.1796875" style="294"/>
    <col min="6657" max="6657" width="24.7265625" style="294" bestFit="1" customWidth="1"/>
    <col min="6658" max="6658" width="18.7265625" style="294" bestFit="1" customWidth="1"/>
    <col min="6659" max="6659" width="8.1796875" style="294" bestFit="1" customWidth="1"/>
    <col min="6660" max="6661" width="8.26953125" style="294" bestFit="1" customWidth="1"/>
    <col min="6662" max="6662" width="7.26953125" style="294" bestFit="1" customWidth="1"/>
    <col min="6663" max="6663" width="23.26953125" style="294" customWidth="1"/>
    <col min="6664" max="6664" width="17.1796875" style="294" bestFit="1" customWidth="1"/>
    <col min="6665" max="6665" width="23.26953125" style="294" customWidth="1"/>
    <col min="6666" max="6666" width="28.7265625" style="294" bestFit="1" customWidth="1"/>
    <col min="6667" max="6668" width="9.1796875" style="294"/>
    <col min="6669" max="6669" width="13.26953125" style="294" customWidth="1"/>
    <col min="6670" max="6912" width="9.1796875" style="294"/>
    <col min="6913" max="6913" width="24.7265625" style="294" bestFit="1" customWidth="1"/>
    <col min="6914" max="6914" width="18.7265625" style="294" bestFit="1" customWidth="1"/>
    <col min="6915" max="6915" width="8.1796875" style="294" bestFit="1" customWidth="1"/>
    <col min="6916" max="6917" width="8.26953125" style="294" bestFit="1" customWidth="1"/>
    <col min="6918" max="6918" width="7.26953125" style="294" bestFit="1" customWidth="1"/>
    <col min="6919" max="6919" width="23.26953125" style="294" customWidth="1"/>
    <col min="6920" max="6920" width="17.1796875" style="294" bestFit="1" customWidth="1"/>
    <col min="6921" max="6921" width="23.26953125" style="294" customWidth="1"/>
    <col min="6922" max="6922" width="28.7265625" style="294" bestFit="1" customWidth="1"/>
    <col min="6923" max="6924" width="9.1796875" style="294"/>
    <col min="6925" max="6925" width="13.26953125" style="294" customWidth="1"/>
    <col min="6926" max="7168" width="9.1796875" style="294"/>
    <col min="7169" max="7169" width="24.7265625" style="294" bestFit="1" customWidth="1"/>
    <col min="7170" max="7170" width="18.7265625" style="294" bestFit="1" customWidth="1"/>
    <col min="7171" max="7171" width="8.1796875" style="294" bestFit="1" customWidth="1"/>
    <col min="7172" max="7173" width="8.26953125" style="294" bestFit="1" customWidth="1"/>
    <col min="7174" max="7174" width="7.26953125" style="294" bestFit="1" customWidth="1"/>
    <col min="7175" max="7175" width="23.26953125" style="294" customWidth="1"/>
    <col min="7176" max="7176" width="17.1796875" style="294" bestFit="1" customWidth="1"/>
    <col min="7177" max="7177" width="23.26953125" style="294" customWidth="1"/>
    <col min="7178" max="7178" width="28.7265625" style="294" bestFit="1" customWidth="1"/>
    <col min="7179" max="7180" width="9.1796875" style="294"/>
    <col min="7181" max="7181" width="13.26953125" style="294" customWidth="1"/>
    <col min="7182" max="7424" width="9.1796875" style="294"/>
    <col min="7425" max="7425" width="24.7265625" style="294" bestFit="1" customWidth="1"/>
    <col min="7426" max="7426" width="18.7265625" style="294" bestFit="1" customWidth="1"/>
    <col min="7427" max="7427" width="8.1796875" style="294" bestFit="1" customWidth="1"/>
    <col min="7428" max="7429" width="8.26953125" style="294" bestFit="1" customWidth="1"/>
    <col min="7430" max="7430" width="7.26953125" style="294" bestFit="1" customWidth="1"/>
    <col min="7431" max="7431" width="23.26953125" style="294" customWidth="1"/>
    <col min="7432" max="7432" width="17.1796875" style="294" bestFit="1" customWidth="1"/>
    <col min="7433" max="7433" width="23.26953125" style="294" customWidth="1"/>
    <col min="7434" max="7434" width="28.7265625" style="294" bestFit="1" customWidth="1"/>
    <col min="7435" max="7436" width="9.1796875" style="294"/>
    <col min="7437" max="7437" width="13.26953125" style="294" customWidth="1"/>
    <col min="7438" max="7680" width="9.1796875" style="294"/>
    <col min="7681" max="7681" width="24.7265625" style="294" bestFit="1" customWidth="1"/>
    <col min="7682" max="7682" width="18.7265625" style="294" bestFit="1" customWidth="1"/>
    <col min="7683" max="7683" width="8.1796875" style="294" bestFit="1" customWidth="1"/>
    <col min="7684" max="7685" width="8.26953125" style="294" bestFit="1" customWidth="1"/>
    <col min="7686" max="7686" width="7.26953125" style="294" bestFit="1" customWidth="1"/>
    <col min="7687" max="7687" width="23.26953125" style="294" customWidth="1"/>
    <col min="7688" max="7688" width="17.1796875" style="294" bestFit="1" customWidth="1"/>
    <col min="7689" max="7689" width="23.26953125" style="294" customWidth="1"/>
    <col min="7690" max="7690" width="28.7265625" style="294" bestFit="1" customWidth="1"/>
    <col min="7691" max="7692" width="9.1796875" style="294"/>
    <col min="7693" max="7693" width="13.26953125" style="294" customWidth="1"/>
    <col min="7694" max="7936" width="9.1796875" style="294"/>
    <col min="7937" max="7937" width="24.7265625" style="294" bestFit="1" customWidth="1"/>
    <col min="7938" max="7938" width="18.7265625" style="294" bestFit="1" customWidth="1"/>
    <col min="7939" max="7939" width="8.1796875" style="294" bestFit="1" customWidth="1"/>
    <col min="7940" max="7941" width="8.26953125" style="294" bestFit="1" customWidth="1"/>
    <col min="7942" max="7942" width="7.26953125" style="294" bestFit="1" customWidth="1"/>
    <col min="7943" max="7943" width="23.26953125" style="294" customWidth="1"/>
    <col min="7944" max="7944" width="17.1796875" style="294" bestFit="1" customWidth="1"/>
    <col min="7945" max="7945" width="23.26953125" style="294" customWidth="1"/>
    <col min="7946" max="7946" width="28.7265625" style="294" bestFit="1" customWidth="1"/>
    <col min="7947" max="7948" width="9.1796875" style="294"/>
    <col min="7949" max="7949" width="13.26953125" style="294" customWidth="1"/>
    <col min="7950" max="8192" width="9.1796875" style="294"/>
    <col min="8193" max="8193" width="24.7265625" style="294" bestFit="1" customWidth="1"/>
    <col min="8194" max="8194" width="18.7265625" style="294" bestFit="1" customWidth="1"/>
    <col min="8195" max="8195" width="8.1796875" style="294" bestFit="1" customWidth="1"/>
    <col min="8196" max="8197" width="8.26953125" style="294" bestFit="1" customWidth="1"/>
    <col min="8198" max="8198" width="7.26953125" style="294" bestFit="1" customWidth="1"/>
    <col min="8199" max="8199" width="23.26953125" style="294" customWidth="1"/>
    <col min="8200" max="8200" width="17.1796875" style="294" bestFit="1" customWidth="1"/>
    <col min="8201" max="8201" width="23.26953125" style="294" customWidth="1"/>
    <col min="8202" max="8202" width="28.7265625" style="294" bestFit="1" customWidth="1"/>
    <col min="8203" max="8204" width="9.1796875" style="294"/>
    <col min="8205" max="8205" width="13.26953125" style="294" customWidth="1"/>
    <col min="8206" max="8448" width="9.1796875" style="294"/>
    <col min="8449" max="8449" width="24.7265625" style="294" bestFit="1" customWidth="1"/>
    <col min="8450" max="8450" width="18.7265625" style="294" bestFit="1" customWidth="1"/>
    <col min="8451" max="8451" width="8.1796875" style="294" bestFit="1" customWidth="1"/>
    <col min="8452" max="8453" width="8.26953125" style="294" bestFit="1" customWidth="1"/>
    <col min="8454" max="8454" width="7.26953125" style="294" bestFit="1" customWidth="1"/>
    <col min="8455" max="8455" width="23.26953125" style="294" customWidth="1"/>
    <col min="8456" max="8456" width="17.1796875" style="294" bestFit="1" customWidth="1"/>
    <col min="8457" max="8457" width="23.26953125" style="294" customWidth="1"/>
    <col min="8458" max="8458" width="28.7265625" style="294" bestFit="1" customWidth="1"/>
    <col min="8459" max="8460" width="9.1796875" style="294"/>
    <col min="8461" max="8461" width="13.26953125" style="294" customWidth="1"/>
    <col min="8462" max="8704" width="9.1796875" style="294"/>
    <col min="8705" max="8705" width="24.7265625" style="294" bestFit="1" customWidth="1"/>
    <col min="8706" max="8706" width="18.7265625" style="294" bestFit="1" customWidth="1"/>
    <col min="8707" max="8707" width="8.1796875" style="294" bestFit="1" customWidth="1"/>
    <col min="8708" max="8709" width="8.26953125" style="294" bestFit="1" customWidth="1"/>
    <col min="8710" max="8710" width="7.26953125" style="294" bestFit="1" customWidth="1"/>
    <col min="8711" max="8711" width="23.26953125" style="294" customWidth="1"/>
    <col min="8712" max="8712" width="17.1796875" style="294" bestFit="1" customWidth="1"/>
    <col min="8713" max="8713" width="23.26953125" style="294" customWidth="1"/>
    <col min="8714" max="8714" width="28.7265625" style="294" bestFit="1" customWidth="1"/>
    <col min="8715" max="8716" width="9.1796875" style="294"/>
    <col min="8717" max="8717" width="13.26953125" style="294" customWidth="1"/>
    <col min="8718" max="8960" width="9.1796875" style="294"/>
    <col min="8961" max="8961" width="24.7265625" style="294" bestFit="1" customWidth="1"/>
    <col min="8962" max="8962" width="18.7265625" style="294" bestFit="1" customWidth="1"/>
    <col min="8963" max="8963" width="8.1796875" style="294" bestFit="1" customWidth="1"/>
    <col min="8964" max="8965" width="8.26953125" style="294" bestFit="1" customWidth="1"/>
    <col min="8966" max="8966" width="7.26953125" style="294" bestFit="1" customWidth="1"/>
    <col min="8967" max="8967" width="23.26953125" style="294" customWidth="1"/>
    <col min="8968" max="8968" width="17.1796875" style="294" bestFit="1" customWidth="1"/>
    <col min="8969" max="8969" width="23.26953125" style="294" customWidth="1"/>
    <col min="8970" max="8970" width="28.7265625" style="294" bestFit="1" customWidth="1"/>
    <col min="8971" max="8972" width="9.1796875" style="294"/>
    <col min="8973" max="8973" width="13.26953125" style="294" customWidth="1"/>
    <col min="8974" max="9216" width="9.1796875" style="294"/>
    <col min="9217" max="9217" width="24.7265625" style="294" bestFit="1" customWidth="1"/>
    <col min="9218" max="9218" width="18.7265625" style="294" bestFit="1" customWidth="1"/>
    <col min="9219" max="9219" width="8.1796875" style="294" bestFit="1" customWidth="1"/>
    <col min="9220" max="9221" width="8.26953125" style="294" bestFit="1" customWidth="1"/>
    <col min="9222" max="9222" width="7.26953125" style="294" bestFit="1" customWidth="1"/>
    <col min="9223" max="9223" width="23.26953125" style="294" customWidth="1"/>
    <col min="9224" max="9224" width="17.1796875" style="294" bestFit="1" customWidth="1"/>
    <col min="9225" max="9225" width="23.26953125" style="294" customWidth="1"/>
    <col min="9226" max="9226" width="28.7265625" style="294" bestFit="1" customWidth="1"/>
    <col min="9227" max="9228" width="9.1796875" style="294"/>
    <col min="9229" max="9229" width="13.26953125" style="294" customWidth="1"/>
    <col min="9230" max="9472" width="9.1796875" style="294"/>
    <col min="9473" max="9473" width="24.7265625" style="294" bestFit="1" customWidth="1"/>
    <col min="9474" max="9474" width="18.7265625" style="294" bestFit="1" customWidth="1"/>
    <col min="9475" max="9475" width="8.1796875" style="294" bestFit="1" customWidth="1"/>
    <col min="9476" max="9477" width="8.26953125" style="294" bestFit="1" customWidth="1"/>
    <col min="9478" max="9478" width="7.26953125" style="294" bestFit="1" customWidth="1"/>
    <col min="9479" max="9479" width="23.26953125" style="294" customWidth="1"/>
    <col min="9480" max="9480" width="17.1796875" style="294" bestFit="1" customWidth="1"/>
    <col min="9481" max="9481" width="23.26953125" style="294" customWidth="1"/>
    <col min="9482" max="9482" width="28.7265625" style="294" bestFit="1" customWidth="1"/>
    <col min="9483" max="9484" width="9.1796875" style="294"/>
    <col min="9485" max="9485" width="13.26953125" style="294" customWidth="1"/>
    <col min="9486" max="9728" width="9.1796875" style="294"/>
    <col min="9729" max="9729" width="24.7265625" style="294" bestFit="1" customWidth="1"/>
    <col min="9730" max="9730" width="18.7265625" style="294" bestFit="1" customWidth="1"/>
    <col min="9731" max="9731" width="8.1796875" style="294" bestFit="1" customWidth="1"/>
    <col min="9732" max="9733" width="8.26953125" style="294" bestFit="1" customWidth="1"/>
    <col min="9734" max="9734" width="7.26953125" style="294" bestFit="1" customWidth="1"/>
    <col min="9735" max="9735" width="23.26953125" style="294" customWidth="1"/>
    <col min="9736" max="9736" width="17.1796875" style="294" bestFit="1" customWidth="1"/>
    <col min="9737" max="9737" width="23.26953125" style="294" customWidth="1"/>
    <col min="9738" max="9738" width="28.7265625" style="294" bestFit="1" customWidth="1"/>
    <col min="9739" max="9740" width="9.1796875" style="294"/>
    <col min="9741" max="9741" width="13.26953125" style="294" customWidth="1"/>
    <col min="9742" max="9984" width="9.1796875" style="294"/>
    <col min="9985" max="9985" width="24.7265625" style="294" bestFit="1" customWidth="1"/>
    <col min="9986" max="9986" width="18.7265625" style="294" bestFit="1" customWidth="1"/>
    <col min="9987" max="9987" width="8.1796875" style="294" bestFit="1" customWidth="1"/>
    <col min="9988" max="9989" width="8.26953125" style="294" bestFit="1" customWidth="1"/>
    <col min="9990" max="9990" width="7.26953125" style="294" bestFit="1" customWidth="1"/>
    <col min="9991" max="9991" width="23.26953125" style="294" customWidth="1"/>
    <col min="9992" max="9992" width="17.1796875" style="294" bestFit="1" customWidth="1"/>
    <col min="9993" max="9993" width="23.26953125" style="294" customWidth="1"/>
    <col min="9994" max="9994" width="28.7265625" style="294" bestFit="1" customWidth="1"/>
    <col min="9995" max="9996" width="9.1796875" style="294"/>
    <col min="9997" max="9997" width="13.26953125" style="294" customWidth="1"/>
    <col min="9998" max="10240" width="9.1796875" style="294"/>
    <col min="10241" max="10241" width="24.7265625" style="294" bestFit="1" customWidth="1"/>
    <col min="10242" max="10242" width="18.7265625" style="294" bestFit="1" customWidth="1"/>
    <col min="10243" max="10243" width="8.1796875" style="294" bestFit="1" customWidth="1"/>
    <col min="10244" max="10245" width="8.26953125" style="294" bestFit="1" customWidth="1"/>
    <col min="10246" max="10246" width="7.26953125" style="294" bestFit="1" customWidth="1"/>
    <col min="10247" max="10247" width="23.26953125" style="294" customWidth="1"/>
    <col min="10248" max="10248" width="17.1796875" style="294" bestFit="1" customWidth="1"/>
    <col min="10249" max="10249" width="23.26953125" style="294" customWidth="1"/>
    <col min="10250" max="10250" width="28.7265625" style="294" bestFit="1" customWidth="1"/>
    <col min="10251" max="10252" width="9.1796875" style="294"/>
    <col min="10253" max="10253" width="13.26953125" style="294" customWidth="1"/>
    <col min="10254" max="10496" width="9.1796875" style="294"/>
    <col min="10497" max="10497" width="24.7265625" style="294" bestFit="1" customWidth="1"/>
    <col min="10498" max="10498" width="18.7265625" style="294" bestFit="1" customWidth="1"/>
    <col min="10499" max="10499" width="8.1796875" style="294" bestFit="1" customWidth="1"/>
    <col min="10500" max="10501" width="8.26953125" style="294" bestFit="1" customWidth="1"/>
    <col min="10502" max="10502" width="7.26953125" style="294" bestFit="1" customWidth="1"/>
    <col min="10503" max="10503" width="23.26953125" style="294" customWidth="1"/>
    <col min="10504" max="10504" width="17.1796875" style="294" bestFit="1" customWidth="1"/>
    <col min="10505" max="10505" width="23.26953125" style="294" customWidth="1"/>
    <col min="10506" max="10506" width="28.7265625" style="294" bestFit="1" customWidth="1"/>
    <col min="10507" max="10508" width="9.1796875" style="294"/>
    <col min="10509" max="10509" width="13.26953125" style="294" customWidth="1"/>
    <col min="10510" max="10752" width="9.1796875" style="294"/>
    <col min="10753" max="10753" width="24.7265625" style="294" bestFit="1" customWidth="1"/>
    <col min="10754" max="10754" width="18.7265625" style="294" bestFit="1" customWidth="1"/>
    <col min="10755" max="10755" width="8.1796875" style="294" bestFit="1" customWidth="1"/>
    <col min="10756" max="10757" width="8.26953125" style="294" bestFit="1" customWidth="1"/>
    <col min="10758" max="10758" width="7.26953125" style="294" bestFit="1" customWidth="1"/>
    <col min="10759" max="10759" width="23.26953125" style="294" customWidth="1"/>
    <col min="10760" max="10760" width="17.1796875" style="294" bestFit="1" customWidth="1"/>
    <col min="10761" max="10761" width="23.26953125" style="294" customWidth="1"/>
    <col min="10762" max="10762" width="28.7265625" style="294" bestFit="1" customWidth="1"/>
    <col min="10763" max="10764" width="9.1796875" style="294"/>
    <col min="10765" max="10765" width="13.26953125" style="294" customWidth="1"/>
    <col min="10766" max="11008" width="9.1796875" style="294"/>
    <col min="11009" max="11009" width="24.7265625" style="294" bestFit="1" customWidth="1"/>
    <col min="11010" max="11010" width="18.7265625" style="294" bestFit="1" customWidth="1"/>
    <col min="11011" max="11011" width="8.1796875" style="294" bestFit="1" customWidth="1"/>
    <col min="11012" max="11013" width="8.26953125" style="294" bestFit="1" customWidth="1"/>
    <col min="11014" max="11014" width="7.26953125" style="294" bestFit="1" customWidth="1"/>
    <col min="11015" max="11015" width="23.26953125" style="294" customWidth="1"/>
    <col min="11016" max="11016" width="17.1796875" style="294" bestFit="1" customWidth="1"/>
    <col min="11017" max="11017" width="23.26953125" style="294" customWidth="1"/>
    <col min="11018" max="11018" width="28.7265625" style="294" bestFit="1" customWidth="1"/>
    <col min="11019" max="11020" width="9.1796875" style="294"/>
    <col min="11021" max="11021" width="13.26953125" style="294" customWidth="1"/>
    <col min="11022" max="11264" width="9.1796875" style="294"/>
    <col min="11265" max="11265" width="24.7265625" style="294" bestFit="1" customWidth="1"/>
    <col min="11266" max="11266" width="18.7265625" style="294" bestFit="1" customWidth="1"/>
    <col min="11267" max="11267" width="8.1796875" style="294" bestFit="1" customWidth="1"/>
    <col min="11268" max="11269" width="8.26953125" style="294" bestFit="1" customWidth="1"/>
    <col min="11270" max="11270" width="7.26953125" style="294" bestFit="1" customWidth="1"/>
    <col min="11271" max="11271" width="23.26953125" style="294" customWidth="1"/>
    <col min="11272" max="11272" width="17.1796875" style="294" bestFit="1" customWidth="1"/>
    <col min="11273" max="11273" width="23.26953125" style="294" customWidth="1"/>
    <col min="11274" max="11274" width="28.7265625" style="294" bestFit="1" customWidth="1"/>
    <col min="11275" max="11276" width="9.1796875" style="294"/>
    <col min="11277" max="11277" width="13.26953125" style="294" customWidth="1"/>
    <col min="11278" max="11520" width="9.1796875" style="294"/>
    <col min="11521" max="11521" width="24.7265625" style="294" bestFit="1" customWidth="1"/>
    <col min="11522" max="11522" width="18.7265625" style="294" bestFit="1" customWidth="1"/>
    <col min="11523" max="11523" width="8.1796875" style="294" bestFit="1" customWidth="1"/>
    <col min="11524" max="11525" width="8.26953125" style="294" bestFit="1" customWidth="1"/>
    <col min="11526" max="11526" width="7.26953125" style="294" bestFit="1" customWidth="1"/>
    <col min="11527" max="11527" width="23.26953125" style="294" customWidth="1"/>
    <col min="11528" max="11528" width="17.1796875" style="294" bestFit="1" customWidth="1"/>
    <col min="11529" max="11529" width="23.26953125" style="294" customWidth="1"/>
    <col min="11530" max="11530" width="28.7265625" style="294" bestFit="1" customWidth="1"/>
    <col min="11531" max="11532" width="9.1796875" style="294"/>
    <col min="11533" max="11533" width="13.26953125" style="294" customWidth="1"/>
    <col min="11534" max="11776" width="9.1796875" style="294"/>
    <col min="11777" max="11777" width="24.7265625" style="294" bestFit="1" customWidth="1"/>
    <col min="11778" max="11778" width="18.7265625" style="294" bestFit="1" customWidth="1"/>
    <col min="11779" max="11779" width="8.1796875" style="294" bestFit="1" customWidth="1"/>
    <col min="11780" max="11781" width="8.26953125" style="294" bestFit="1" customWidth="1"/>
    <col min="11782" max="11782" width="7.26953125" style="294" bestFit="1" customWidth="1"/>
    <col min="11783" max="11783" width="23.26953125" style="294" customWidth="1"/>
    <col min="11784" max="11784" width="17.1796875" style="294" bestFit="1" customWidth="1"/>
    <col min="11785" max="11785" width="23.26953125" style="294" customWidth="1"/>
    <col min="11786" max="11786" width="28.7265625" style="294" bestFit="1" customWidth="1"/>
    <col min="11787" max="11788" width="9.1796875" style="294"/>
    <col min="11789" max="11789" width="13.26953125" style="294" customWidth="1"/>
    <col min="11790" max="12032" width="9.1796875" style="294"/>
    <col min="12033" max="12033" width="24.7265625" style="294" bestFit="1" customWidth="1"/>
    <col min="12034" max="12034" width="18.7265625" style="294" bestFit="1" customWidth="1"/>
    <col min="12035" max="12035" width="8.1796875" style="294" bestFit="1" customWidth="1"/>
    <col min="12036" max="12037" width="8.26953125" style="294" bestFit="1" customWidth="1"/>
    <col min="12038" max="12038" width="7.26953125" style="294" bestFit="1" customWidth="1"/>
    <col min="12039" max="12039" width="23.26953125" style="294" customWidth="1"/>
    <col min="12040" max="12040" width="17.1796875" style="294" bestFit="1" customWidth="1"/>
    <col min="12041" max="12041" width="23.26953125" style="294" customWidth="1"/>
    <col min="12042" max="12042" width="28.7265625" style="294" bestFit="1" customWidth="1"/>
    <col min="12043" max="12044" width="9.1796875" style="294"/>
    <col min="12045" max="12045" width="13.26953125" style="294" customWidth="1"/>
    <col min="12046" max="12288" width="9.1796875" style="294"/>
    <col min="12289" max="12289" width="24.7265625" style="294" bestFit="1" customWidth="1"/>
    <col min="12290" max="12290" width="18.7265625" style="294" bestFit="1" customWidth="1"/>
    <col min="12291" max="12291" width="8.1796875" style="294" bestFit="1" customWidth="1"/>
    <col min="12292" max="12293" width="8.26953125" style="294" bestFit="1" customWidth="1"/>
    <col min="12294" max="12294" width="7.26953125" style="294" bestFit="1" customWidth="1"/>
    <col min="12295" max="12295" width="23.26953125" style="294" customWidth="1"/>
    <col min="12296" max="12296" width="17.1796875" style="294" bestFit="1" customWidth="1"/>
    <col min="12297" max="12297" width="23.26953125" style="294" customWidth="1"/>
    <col min="12298" max="12298" width="28.7265625" style="294" bestFit="1" customWidth="1"/>
    <col min="12299" max="12300" width="9.1796875" style="294"/>
    <col min="12301" max="12301" width="13.26953125" style="294" customWidth="1"/>
    <col min="12302" max="12544" width="9.1796875" style="294"/>
    <col min="12545" max="12545" width="24.7265625" style="294" bestFit="1" customWidth="1"/>
    <col min="12546" max="12546" width="18.7265625" style="294" bestFit="1" customWidth="1"/>
    <col min="12547" max="12547" width="8.1796875" style="294" bestFit="1" customWidth="1"/>
    <col min="12548" max="12549" width="8.26953125" style="294" bestFit="1" customWidth="1"/>
    <col min="12550" max="12550" width="7.26953125" style="294" bestFit="1" customWidth="1"/>
    <col min="12551" max="12551" width="23.26953125" style="294" customWidth="1"/>
    <col min="12552" max="12552" width="17.1796875" style="294" bestFit="1" customWidth="1"/>
    <col min="12553" max="12553" width="23.26953125" style="294" customWidth="1"/>
    <col min="12554" max="12554" width="28.7265625" style="294" bestFit="1" customWidth="1"/>
    <col min="12555" max="12556" width="9.1796875" style="294"/>
    <col min="12557" max="12557" width="13.26953125" style="294" customWidth="1"/>
    <col min="12558" max="12800" width="9.1796875" style="294"/>
    <col min="12801" max="12801" width="24.7265625" style="294" bestFit="1" customWidth="1"/>
    <col min="12802" max="12802" width="18.7265625" style="294" bestFit="1" customWidth="1"/>
    <col min="12803" max="12803" width="8.1796875" style="294" bestFit="1" customWidth="1"/>
    <col min="12804" max="12805" width="8.26953125" style="294" bestFit="1" customWidth="1"/>
    <col min="12806" max="12806" width="7.26953125" style="294" bestFit="1" customWidth="1"/>
    <col min="12807" max="12807" width="23.26953125" style="294" customWidth="1"/>
    <col min="12808" max="12808" width="17.1796875" style="294" bestFit="1" customWidth="1"/>
    <col min="12809" max="12809" width="23.26953125" style="294" customWidth="1"/>
    <col min="12810" max="12810" width="28.7265625" style="294" bestFit="1" customWidth="1"/>
    <col min="12811" max="12812" width="9.1796875" style="294"/>
    <col min="12813" max="12813" width="13.26953125" style="294" customWidth="1"/>
    <col min="12814" max="13056" width="9.1796875" style="294"/>
    <col min="13057" max="13057" width="24.7265625" style="294" bestFit="1" customWidth="1"/>
    <col min="13058" max="13058" width="18.7265625" style="294" bestFit="1" customWidth="1"/>
    <col min="13059" max="13059" width="8.1796875" style="294" bestFit="1" customWidth="1"/>
    <col min="13060" max="13061" width="8.26953125" style="294" bestFit="1" customWidth="1"/>
    <col min="13062" max="13062" width="7.26953125" style="294" bestFit="1" customWidth="1"/>
    <col min="13063" max="13063" width="23.26953125" style="294" customWidth="1"/>
    <col min="13064" max="13064" width="17.1796875" style="294" bestFit="1" customWidth="1"/>
    <col min="13065" max="13065" width="23.26953125" style="294" customWidth="1"/>
    <col min="13066" max="13066" width="28.7265625" style="294" bestFit="1" customWidth="1"/>
    <col min="13067" max="13068" width="9.1796875" style="294"/>
    <col min="13069" max="13069" width="13.26953125" style="294" customWidth="1"/>
    <col min="13070" max="13312" width="9.1796875" style="294"/>
    <col min="13313" max="13313" width="24.7265625" style="294" bestFit="1" customWidth="1"/>
    <col min="13314" max="13314" width="18.7265625" style="294" bestFit="1" customWidth="1"/>
    <col min="13315" max="13315" width="8.1796875" style="294" bestFit="1" customWidth="1"/>
    <col min="13316" max="13317" width="8.26953125" style="294" bestFit="1" customWidth="1"/>
    <col min="13318" max="13318" width="7.26953125" style="294" bestFit="1" customWidth="1"/>
    <col min="13319" max="13319" width="23.26953125" style="294" customWidth="1"/>
    <col min="13320" max="13320" width="17.1796875" style="294" bestFit="1" customWidth="1"/>
    <col min="13321" max="13321" width="23.26953125" style="294" customWidth="1"/>
    <col min="13322" max="13322" width="28.7265625" style="294" bestFit="1" customWidth="1"/>
    <col min="13323" max="13324" width="9.1796875" style="294"/>
    <col min="13325" max="13325" width="13.26953125" style="294" customWidth="1"/>
    <col min="13326" max="13568" width="9.1796875" style="294"/>
    <col min="13569" max="13569" width="24.7265625" style="294" bestFit="1" customWidth="1"/>
    <col min="13570" max="13570" width="18.7265625" style="294" bestFit="1" customWidth="1"/>
    <col min="13571" max="13571" width="8.1796875" style="294" bestFit="1" customWidth="1"/>
    <col min="13572" max="13573" width="8.26953125" style="294" bestFit="1" customWidth="1"/>
    <col min="13574" max="13574" width="7.26953125" style="294" bestFit="1" customWidth="1"/>
    <col min="13575" max="13575" width="23.26953125" style="294" customWidth="1"/>
    <col min="13576" max="13576" width="17.1796875" style="294" bestFit="1" customWidth="1"/>
    <col min="13577" max="13577" width="23.26953125" style="294" customWidth="1"/>
    <col min="13578" max="13578" width="28.7265625" style="294" bestFit="1" customWidth="1"/>
    <col min="13579" max="13580" width="9.1796875" style="294"/>
    <col min="13581" max="13581" width="13.26953125" style="294" customWidth="1"/>
    <col min="13582" max="13824" width="9.1796875" style="294"/>
    <col min="13825" max="13825" width="24.7265625" style="294" bestFit="1" customWidth="1"/>
    <col min="13826" max="13826" width="18.7265625" style="294" bestFit="1" customWidth="1"/>
    <col min="13827" max="13827" width="8.1796875" style="294" bestFit="1" customWidth="1"/>
    <col min="13828" max="13829" width="8.26953125" style="294" bestFit="1" customWidth="1"/>
    <col min="13830" max="13830" width="7.26953125" style="294" bestFit="1" customWidth="1"/>
    <col min="13831" max="13831" width="23.26953125" style="294" customWidth="1"/>
    <col min="13832" max="13832" width="17.1796875" style="294" bestFit="1" customWidth="1"/>
    <col min="13833" max="13833" width="23.26953125" style="294" customWidth="1"/>
    <col min="13834" max="13834" width="28.7265625" style="294" bestFit="1" customWidth="1"/>
    <col min="13835" max="13836" width="9.1796875" style="294"/>
    <col min="13837" max="13837" width="13.26953125" style="294" customWidth="1"/>
    <col min="13838" max="14080" width="9.1796875" style="294"/>
    <col min="14081" max="14081" width="24.7265625" style="294" bestFit="1" customWidth="1"/>
    <col min="14082" max="14082" width="18.7265625" style="294" bestFit="1" customWidth="1"/>
    <col min="14083" max="14083" width="8.1796875" style="294" bestFit="1" customWidth="1"/>
    <col min="14084" max="14085" width="8.26953125" style="294" bestFit="1" customWidth="1"/>
    <col min="14086" max="14086" width="7.26953125" style="294" bestFit="1" customWidth="1"/>
    <col min="14087" max="14087" width="23.26953125" style="294" customWidth="1"/>
    <col min="14088" max="14088" width="17.1796875" style="294" bestFit="1" customWidth="1"/>
    <col min="14089" max="14089" width="23.26953125" style="294" customWidth="1"/>
    <col min="14090" max="14090" width="28.7265625" style="294" bestFit="1" customWidth="1"/>
    <col min="14091" max="14092" width="9.1796875" style="294"/>
    <col min="14093" max="14093" width="13.26953125" style="294" customWidth="1"/>
    <col min="14094" max="14336" width="9.1796875" style="294"/>
    <col min="14337" max="14337" width="24.7265625" style="294" bestFit="1" customWidth="1"/>
    <col min="14338" max="14338" width="18.7265625" style="294" bestFit="1" customWidth="1"/>
    <col min="14339" max="14339" width="8.1796875" style="294" bestFit="1" customWidth="1"/>
    <col min="14340" max="14341" width="8.26953125" style="294" bestFit="1" customWidth="1"/>
    <col min="14342" max="14342" width="7.26953125" style="294" bestFit="1" customWidth="1"/>
    <col min="14343" max="14343" width="23.26953125" style="294" customWidth="1"/>
    <col min="14344" max="14344" width="17.1796875" style="294" bestFit="1" customWidth="1"/>
    <col min="14345" max="14345" width="23.26953125" style="294" customWidth="1"/>
    <col min="14346" max="14346" width="28.7265625" style="294" bestFit="1" customWidth="1"/>
    <col min="14347" max="14348" width="9.1796875" style="294"/>
    <col min="14349" max="14349" width="13.26953125" style="294" customWidth="1"/>
    <col min="14350" max="14592" width="9.1796875" style="294"/>
    <col min="14593" max="14593" width="24.7265625" style="294" bestFit="1" customWidth="1"/>
    <col min="14594" max="14594" width="18.7265625" style="294" bestFit="1" customWidth="1"/>
    <col min="14595" max="14595" width="8.1796875" style="294" bestFit="1" customWidth="1"/>
    <col min="14596" max="14597" width="8.26953125" style="294" bestFit="1" customWidth="1"/>
    <col min="14598" max="14598" width="7.26953125" style="294" bestFit="1" customWidth="1"/>
    <col min="14599" max="14599" width="23.26953125" style="294" customWidth="1"/>
    <col min="14600" max="14600" width="17.1796875" style="294" bestFit="1" customWidth="1"/>
    <col min="14601" max="14601" width="23.26953125" style="294" customWidth="1"/>
    <col min="14602" max="14602" width="28.7265625" style="294" bestFit="1" customWidth="1"/>
    <col min="14603" max="14604" width="9.1796875" style="294"/>
    <col min="14605" max="14605" width="13.26953125" style="294" customWidth="1"/>
    <col min="14606" max="14848" width="9.1796875" style="294"/>
    <col min="14849" max="14849" width="24.7265625" style="294" bestFit="1" customWidth="1"/>
    <col min="14850" max="14850" width="18.7265625" style="294" bestFit="1" customWidth="1"/>
    <col min="14851" max="14851" width="8.1796875" style="294" bestFit="1" customWidth="1"/>
    <col min="14852" max="14853" width="8.26953125" style="294" bestFit="1" customWidth="1"/>
    <col min="14854" max="14854" width="7.26953125" style="294" bestFit="1" customWidth="1"/>
    <col min="14855" max="14855" width="23.26953125" style="294" customWidth="1"/>
    <col min="14856" max="14856" width="17.1796875" style="294" bestFit="1" customWidth="1"/>
    <col min="14857" max="14857" width="23.26953125" style="294" customWidth="1"/>
    <col min="14858" max="14858" width="28.7265625" style="294" bestFit="1" customWidth="1"/>
    <col min="14859" max="14860" width="9.1796875" style="294"/>
    <col min="14861" max="14861" width="13.26953125" style="294" customWidth="1"/>
    <col min="14862" max="15104" width="9.1796875" style="294"/>
    <col min="15105" max="15105" width="24.7265625" style="294" bestFit="1" customWidth="1"/>
    <col min="15106" max="15106" width="18.7265625" style="294" bestFit="1" customWidth="1"/>
    <col min="15107" max="15107" width="8.1796875" style="294" bestFit="1" customWidth="1"/>
    <col min="15108" max="15109" width="8.26953125" style="294" bestFit="1" customWidth="1"/>
    <col min="15110" max="15110" width="7.26953125" style="294" bestFit="1" customWidth="1"/>
    <col min="15111" max="15111" width="23.26953125" style="294" customWidth="1"/>
    <col min="15112" max="15112" width="17.1796875" style="294" bestFit="1" customWidth="1"/>
    <col min="15113" max="15113" width="23.26953125" style="294" customWidth="1"/>
    <col min="15114" max="15114" width="28.7265625" style="294" bestFit="1" customWidth="1"/>
    <col min="15115" max="15116" width="9.1796875" style="294"/>
    <col min="15117" max="15117" width="13.26953125" style="294" customWidth="1"/>
    <col min="15118" max="15360" width="9.1796875" style="294"/>
    <col min="15361" max="15361" width="24.7265625" style="294" bestFit="1" customWidth="1"/>
    <col min="15362" max="15362" width="18.7265625" style="294" bestFit="1" customWidth="1"/>
    <col min="15363" max="15363" width="8.1796875" style="294" bestFit="1" customWidth="1"/>
    <col min="15364" max="15365" width="8.26953125" style="294" bestFit="1" customWidth="1"/>
    <col min="15366" max="15366" width="7.26953125" style="294" bestFit="1" customWidth="1"/>
    <col min="15367" max="15367" width="23.26953125" style="294" customWidth="1"/>
    <col min="15368" max="15368" width="17.1796875" style="294" bestFit="1" customWidth="1"/>
    <col min="15369" max="15369" width="23.26953125" style="294" customWidth="1"/>
    <col min="15370" max="15370" width="28.7265625" style="294" bestFit="1" customWidth="1"/>
    <col min="15371" max="15372" width="9.1796875" style="294"/>
    <col min="15373" max="15373" width="13.26953125" style="294" customWidth="1"/>
    <col min="15374" max="15616" width="9.1796875" style="294"/>
    <col min="15617" max="15617" width="24.7265625" style="294" bestFit="1" customWidth="1"/>
    <col min="15618" max="15618" width="18.7265625" style="294" bestFit="1" customWidth="1"/>
    <col min="15619" max="15619" width="8.1796875" style="294" bestFit="1" customWidth="1"/>
    <col min="15620" max="15621" width="8.26953125" style="294" bestFit="1" customWidth="1"/>
    <col min="15622" max="15622" width="7.26953125" style="294" bestFit="1" customWidth="1"/>
    <col min="15623" max="15623" width="23.26953125" style="294" customWidth="1"/>
    <col min="15624" max="15624" width="17.1796875" style="294" bestFit="1" customWidth="1"/>
    <col min="15625" max="15625" width="23.26953125" style="294" customWidth="1"/>
    <col min="15626" max="15626" width="28.7265625" style="294" bestFit="1" customWidth="1"/>
    <col min="15627" max="15628" width="9.1796875" style="294"/>
    <col min="15629" max="15629" width="13.26953125" style="294" customWidth="1"/>
    <col min="15630" max="15872" width="9.1796875" style="294"/>
    <col min="15873" max="15873" width="24.7265625" style="294" bestFit="1" customWidth="1"/>
    <col min="15874" max="15874" width="18.7265625" style="294" bestFit="1" customWidth="1"/>
    <col min="15875" max="15875" width="8.1796875" style="294" bestFit="1" customWidth="1"/>
    <col min="15876" max="15877" width="8.26953125" style="294" bestFit="1" customWidth="1"/>
    <col min="15878" max="15878" width="7.26953125" style="294" bestFit="1" customWidth="1"/>
    <col min="15879" max="15879" width="23.26953125" style="294" customWidth="1"/>
    <col min="15880" max="15880" width="17.1796875" style="294" bestFit="1" customWidth="1"/>
    <col min="15881" max="15881" width="23.26953125" style="294" customWidth="1"/>
    <col min="15882" max="15882" width="28.7265625" style="294" bestFit="1" customWidth="1"/>
    <col min="15883" max="15884" width="9.1796875" style="294"/>
    <col min="15885" max="15885" width="13.26953125" style="294" customWidth="1"/>
    <col min="15886" max="16128" width="9.1796875" style="294"/>
    <col min="16129" max="16129" width="24.7265625" style="294" bestFit="1" customWidth="1"/>
    <col min="16130" max="16130" width="18.7265625" style="294" bestFit="1" customWidth="1"/>
    <col min="16131" max="16131" width="8.1796875" style="294" bestFit="1" customWidth="1"/>
    <col min="16132" max="16133" width="8.26953125" style="294" bestFit="1" customWidth="1"/>
    <col min="16134" max="16134" width="7.26953125" style="294" bestFit="1" customWidth="1"/>
    <col min="16135" max="16135" width="23.26953125" style="294" customWidth="1"/>
    <col min="16136" max="16136" width="17.1796875" style="294" bestFit="1" customWidth="1"/>
    <col min="16137" max="16137" width="23.26953125" style="294" customWidth="1"/>
    <col min="16138" max="16138" width="28.7265625" style="294" bestFit="1" customWidth="1"/>
    <col min="16139" max="16140" width="9.1796875" style="294"/>
    <col min="16141" max="16141" width="13.26953125" style="294" customWidth="1"/>
    <col min="16142" max="16384" width="9.1796875" style="294"/>
  </cols>
  <sheetData>
    <row r="1" spans="1:14" s="289" customFormat="1" ht="57.75" customHeight="1">
      <c r="A1" s="286" t="s">
        <v>0</v>
      </c>
      <c r="B1" s="287" t="s">
        <v>1</v>
      </c>
      <c r="C1" s="287" t="s">
        <v>2</v>
      </c>
      <c r="D1" s="287" t="s">
        <v>3</v>
      </c>
      <c r="E1" s="287" t="s">
        <v>4</v>
      </c>
      <c r="F1" s="287" t="s">
        <v>5</v>
      </c>
      <c r="G1" s="444" t="s">
        <v>6</v>
      </c>
      <c r="H1" s="287" t="s">
        <v>703</v>
      </c>
      <c r="I1" s="287" t="s">
        <v>704</v>
      </c>
      <c r="J1" s="287" t="s">
        <v>705</v>
      </c>
      <c r="K1" s="287" t="s">
        <v>10</v>
      </c>
      <c r="L1" s="287" t="s">
        <v>706</v>
      </c>
      <c r="M1" s="288" t="s">
        <v>12</v>
      </c>
    </row>
    <row r="2" spans="1:14" ht="10.5">
      <c r="A2" s="290" t="s">
        <v>1975</v>
      </c>
      <c r="B2" s="291" t="s">
        <v>14</v>
      </c>
      <c r="C2" s="291" t="s">
        <v>879</v>
      </c>
      <c r="D2" s="291">
        <v>1</v>
      </c>
      <c r="E2" s="291">
        <f>E8</f>
        <v>50</v>
      </c>
      <c r="F2" s="291">
        <f>SUM(F3:F8)</f>
        <v>50</v>
      </c>
      <c r="G2" s="445"/>
      <c r="H2" s="292"/>
      <c r="I2" s="292"/>
      <c r="J2" s="291"/>
      <c r="K2" s="291"/>
      <c r="L2" s="291"/>
      <c r="M2" s="423" t="s">
        <v>16</v>
      </c>
    </row>
    <row r="3" spans="1:14" ht="21">
      <c r="A3" s="295" t="s">
        <v>17</v>
      </c>
      <c r="B3" s="296" t="s">
        <v>18</v>
      </c>
      <c r="C3" s="297">
        <v>1</v>
      </c>
      <c r="D3" s="297">
        <v>1</v>
      </c>
      <c r="E3" s="297">
        <f t="shared" ref="E3:E9" si="0">D3+F3-1</f>
        <v>1</v>
      </c>
      <c r="F3" s="297">
        <v>1</v>
      </c>
      <c r="G3" s="446" t="s">
        <v>19</v>
      </c>
      <c r="H3" s="307" t="s">
        <v>999</v>
      </c>
      <c r="I3" s="298"/>
      <c r="J3" s="297"/>
      <c r="K3" s="297"/>
      <c r="L3" s="297"/>
      <c r="M3" s="293" t="s">
        <v>16</v>
      </c>
    </row>
    <row r="4" spans="1:14" s="23" customFormat="1">
      <c r="A4" s="18" t="s">
        <v>710</v>
      </c>
      <c r="B4" s="18" t="s">
        <v>711</v>
      </c>
      <c r="C4" s="19">
        <v>2</v>
      </c>
      <c r="D4" s="19">
        <f>E3+1</f>
        <v>2</v>
      </c>
      <c r="E4" s="19">
        <f t="shared" si="0"/>
        <v>16</v>
      </c>
      <c r="F4" s="19">
        <v>15</v>
      </c>
      <c r="G4" s="18" t="s">
        <v>1000</v>
      </c>
      <c r="H4" s="20"/>
      <c r="I4" s="20"/>
      <c r="J4" s="18"/>
      <c r="K4" s="19"/>
      <c r="L4" s="19"/>
      <c r="M4" s="21"/>
      <c r="N4" s="22"/>
    </row>
    <row r="5" spans="1:14" s="23" customFormat="1">
      <c r="A5" s="18" t="s">
        <v>713</v>
      </c>
      <c r="B5" s="18" t="s">
        <v>714</v>
      </c>
      <c r="C5" s="19">
        <v>3</v>
      </c>
      <c r="D5" s="19">
        <f>E4+1</f>
        <v>17</v>
      </c>
      <c r="E5" s="19">
        <f t="shared" si="0"/>
        <v>26</v>
      </c>
      <c r="F5" s="19">
        <v>10</v>
      </c>
      <c r="G5" s="18" t="s">
        <v>715</v>
      </c>
      <c r="H5" s="20"/>
      <c r="I5" s="20"/>
      <c r="J5" s="18"/>
      <c r="K5" s="19"/>
      <c r="L5" s="19"/>
      <c r="M5" s="21"/>
      <c r="N5" s="22"/>
    </row>
    <row r="6" spans="1:14" s="23" customFormat="1" ht="10.5">
      <c r="A6" s="18" t="s">
        <v>1001</v>
      </c>
      <c r="B6" s="18" t="s">
        <v>1002</v>
      </c>
      <c r="C6" s="19">
        <v>4</v>
      </c>
      <c r="D6" s="19">
        <f>E5+1</f>
        <v>27</v>
      </c>
      <c r="E6" s="19">
        <f t="shared" si="0"/>
        <v>34</v>
      </c>
      <c r="F6" s="19">
        <v>8</v>
      </c>
      <c r="G6" s="18" t="s">
        <v>1003</v>
      </c>
      <c r="H6" s="24"/>
      <c r="I6" s="24"/>
      <c r="J6" s="18"/>
      <c r="K6" s="19"/>
      <c r="L6" s="19"/>
      <c r="M6" s="21"/>
      <c r="N6" s="22"/>
    </row>
    <row r="7" spans="1:14" ht="12.5">
      <c r="A7" s="12" t="s">
        <v>717</v>
      </c>
      <c r="B7" s="13" t="s">
        <v>1004</v>
      </c>
      <c r="C7" s="14">
        <v>5</v>
      </c>
      <c r="D7" s="19">
        <f>E6+1</f>
        <v>35</v>
      </c>
      <c r="E7" s="14">
        <f t="shared" si="0"/>
        <v>49</v>
      </c>
      <c r="F7" s="14">
        <v>15</v>
      </c>
      <c r="G7" s="447" t="s">
        <v>1976</v>
      </c>
      <c r="H7" s="307" t="s">
        <v>999</v>
      </c>
      <c r="I7" s="301" t="s">
        <v>1977</v>
      </c>
      <c r="J7" s="297"/>
      <c r="K7" s="297"/>
      <c r="L7" s="297"/>
      <c r="M7" s="293" t="s">
        <v>16</v>
      </c>
    </row>
    <row r="8" spans="1:14" s="23" customFormat="1">
      <c r="A8" s="18" t="s">
        <v>719</v>
      </c>
      <c r="B8" s="18" t="s">
        <v>720</v>
      </c>
      <c r="C8" s="297">
        <v>6</v>
      </c>
      <c r="D8" s="19">
        <f>E7+1</f>
        <v>50</v>
      </c>
      <c r="E8" s="14">
        <f t="shared" si="0"/>
        <v>50</v>
      </c>
      <c r="F8" s="19">
        <v>1</v>
      </c>
      <c r="G8" s="18" t="s">
        <v>721</v>
      </c>
      <c r="H8" s="20"/>
      <c r="I8" s="20"/>
      <c r="J8" s="18"/>
      <c r="K8" s="19"/>
      <c r="L8" s="19"/>
      <c r="M8" s="21"/>
      <c r="N8" s="22"/>
    </row>
    <row r="9" spans="1:14" ht="10.5">
      <c r="A9" s="290" t="s">
        <v>1938</v>
      </c>
      <c r="B9" s="291" t="s">
        <v>14</v>
      </c>
      <c r="C9" s="302" t="s">
        <v>879</v>
      </c>
      <c r="D9" s="291">
        <v>1</v>
      </c>
      <c r="E9" s="27">
        <f t="shared" si="0"/>
        <v>18</v>
      </c>
      <c r="F9" s="291">
        <f>SUM(F10:F13)</f>
        <v>18</v>
      </c>
      <c r="G9" s="448"/>
      <c r="H9" s="303"/>
      <c r="I9" s="303"/>
      <c r="J9" s="291"/>
      <c r="K9" s="291"/>
      <c r="L9" s="291"/>
      <c r="M9" s="423" t="s">
        <v>16</v>
      </c>
    </row>
    <row r="10" spans="1:14" ht="25.5" customHeight="1">
      <c r="A10" s="304" t="s">
        <v>723</v>
      </c>
      <c r="B10" s="296" t="s">
        <v>18</v>
      </c>
      <c r="C10" s="297">
        <v>7</v>
      </c>
      <c r="D10" s="305">
        <v>1</v>
      </c>
      <c r="E10" s="297">
        <f>D10+F10-1</f>
        <v>1</v>
      </c>
      <c r="F10" s="305">
        <v>1</v>
      </c>
      <c r="G10" s="446" t="s">
        <v>38</v>
      </c>
      <c r="H10" s="307" t="s">
        <v>999</v>
      </c>
      <c r="I10" s="298"/>
      <c r="J10" s="305"/>
      <c r="K10" s="310"/>
      <c r="L10" s="305"/>
      <c r="M10" s="293" t="s">
        <v>16</v>
      </c>
    </row>
    <row r="11" spans="1:14" s="427" customFormat="1">
      <c r="A11" s="425" t="s">
        <v>1106</v>
      </c>
      <c r="B11" s="425" t="s">
        <v>1978</v>
      </c>
      <c r="C11" s="307">
        <v>8</v>
      </c>
      <c r="D11" s="307">
        <f>E10+1</f>
        <v>2</v>
      </c>
      <c r="E11" s="307">
        <f>D11+F11-1</f>
        <v>5</v>
      </c>
      <c r="F11" s="307">
        <v>4</v>
      </c>
      <c r="G11" s="449" t="s">
        <v>1979</v>
      </c>
      <c r="H11" s="307" t="s">
        <v>999</v>
      </c>
      <c r="I11" s="425" t="s">
        <v>1980</v>
      </c>
      <c r="J11" s="426" t="s">
        <v>1103</v>
      </c>
      <c r="K11" s="310"/>
      <c r="L11" s="426"/>
      <c r="M11" s="293" t="s">
        <v>16</v>
      </c>
    </row>
    <row r="12" spans="1:14" s="427" customFormat="1">
      <c r="A12" s="450" t="s">
        <v>1110</v>
      </c>
      <c r="B12" s="425" t="s">
        <v>1108</v>
      </c>
      <c r="C12" s="297">
        <v>9</v>
      </c>
      <c r="D12" s="307">
        <f>E11+1</f>
        <v>6</v>
      </c>
      <c r="E12" s="307">
        <f>D12+F12-1</f>
        <v>17</v>
      </c>
      <c r="F12" s="307">
        <v>12</v>
      </c>
      <c r="G12" s="449" t="s">
        <v>1109</v>
      </c>
      <c r="H12" s="307" t="s">
        <v>999</v>
      </c>
      <c r="I12" s="425" t="s">
        <v>1980</v>
      </c>
      <c r="J12" s="426" t="s">
        <v>1981</v>
      </c>
      <c r="K12" s="310"/>
      <c r="L12" s="452"/>
      <c r="M12" s="293" t="s">
        <v>16</v>
      </c>
    </row>
    <row r="13" spans="1:14" s="23" customFormat="1">
      <c r="A13" s="18" t="s">
        <v>719</v>
      </c>
      <c r="B13" s="18" t="s">
        <v>720</v>
      </c>
      <c r="C13" s="307">
        <v>10</v>
      </c>
      <c r="D13" s="307">
        <f>E12+1</f>
        <v>18</v>
      </c>
      <c r="E13" s="14">
        <f>D13+F13-1</f>
        <v>18</v>
      </c>
      <c r="F13" s="19">
        <v>1</v>
      </c>
      <c r="G13" s="18" t="s">
        <v>721</v>
      </c>
      <c r="H13" s="20"/>
      <c r="I13" s="20"/>
      <c r="J13" s="18"/>
      <c r="K13" s="19"/>
      <c r="L13" s="19"/>
      <c r="M13" s="21"/>
      <c r="N13" s="22"/>
    </row>
    <row r="14" spans="1:14" ht="10.5">
      <c r="A14" s="290" t="s">
        <v>1948</v>
      </c>
      <c r="B14" s="291" t="s">
        <v>14</v>
      </c>
      <c r="C14" s="302" t="s">
        <v>879</v>
      </c>
      <c r="D14" s="291">
        <v>1</v>
      </c>
      <c r="E14" s="291">
        <f>E17</f>
        <v>11</v>
      </c>
      <c r="F14" s="291">
        <f>SUM(F15:F17)</f>
        <v>11</v>
      </c>
      <c r="G14" s="448"/>
      <c r="H14" s="303"/>
      <c r="I14" s="303"/>
      <c r="J14" s="291"/>
      <c r="K14" s="316" t="s">
        <v>204</v>
      </c>
      <c r="L14" s="316"/>
      <c r="M14" s="316"/>
    </row>
    <row r="15" spans="1:14" ht="21">
      <c r="A15" s="304" t="s">
        <v>723</v>
      </c>
      <c r="B15" s="296" t="s">
        <v>18</v>
      </c>
      <c r="C15" s="307">
        <v>11</v>
      </c>
      <c r="D15" s="297">
        <v>1</v>
      </c>
      <c r="E15" s="297">
        <v>1</v>
      </c>
      <c r="F15" s="297">
        <v>1</v>
      </c>
      <c r="G15" s="446" t="s">
        <v>205</v>
      </c>
      <c r="H15" s="307" t="s">
        <v>999</v>
      </c>
      <c r="I15" s="298"/>
      <c r="J15" s="297"/>
      <c r="K15" s="297"/>
      <c r="L15" s="297"/>
      <c r="M15" s="293"/>
    </row>
    <row r="16" spans="1:14" ht="12.5">
      <c r="A16" s="317" t="s">
        <v>206</v>
      </c>
      <c r="B16" s="296" t="s">
        <v>207</v>
      </c>
      <c r="C16" s="307">
        <v>12</v>
      </c>
      <c r="D16" s="297">
        <v>2</v>
      </c>
      <c r="E16" s="297">
        <f>D16+F16-1</f>
        <v>10</v>
      </c>
      <c r="F16" s="297">
        <v>9</v>
      </c>
      <c r="G16" s="446" t="s">
        <v>1098</v>
      </c>
      <c r="H16" s="307" t="s">
        <v>999</v>
      </c>
      <c r="I16" s="298"/>
      <c r="J16" s="297"/>
      <c r="K16" s="297"/>
      <c r="L16" s="297"/>
      <c r="M16" s="293"/>
    </row>
    <row r="17" spans="1:14" s="23" customFormat="1">
      <c r="A17" s="18" t="s">
        <v>719</v>
      </c>
      <c r="B17" s="18" t="s">
        <v>720</v>
      </c>
      <c r="C17" s="19">
        <v>13</v>
      </c>
      <c r="D17" s="19">
        <f>E16+1</f>
        <v>11</v>
      </c>
      <c r="E17" s="14">
        <f>D17+F17-1</f>
        <v>11</v>
      </c>
      <c r="F17" s="19">
        <v>1</v>
      </c>
      <c r="G17" s="18" t="s">
        <v>721</v>
      </c>
      <c r="H17" s="20"/>
      <c r="I17" s="20"/>
      <c r="J17" s="18"/>
      <c r="K17" s="19"/>
      <c r="L17" s="19"/>
      <c r="M17" s="21"/>
      <c r="N17" s="22"/>
    </row>
    <row r="18" spans="1:14">
      <c r="M18" s="321"/>
    </row>
    <row r="19" spans="1:14">
      <c r="M19" s="321"/>
    </row>
    <row r="20" spans="1:14" s="289" customFormat="1" ht="57.75" hidden="1" customHeight="1">
      <c r="A20" s="286" t="s">
        <v>0</v>
      </c>
      <c r="B20" s="287" t="s">
        <v>1</v>
      </c>
      <c r="C20" s="287" t="s">
        <v>2</v>
      </c>
      <c r="D20" s="287" t="s">
        <v>3</v>
      </c>
      <c r="E20" s="287" t="s">
        <v>4</v>
      </c>
      <c r="F20" s="287" t="s">
        <v>5</v>
      </c>
      <c r="G20" s="444" t="s">
        <v>6</v>
      </c>
      <c r="H20" s="287" t="s">
        <v>703</v>
      </c>
      <c r="I20" s="287" t="s">
        <v>704</v>
      </c>
      <c r="J20" s="287" t="s">
        <v>705</v>
      </c>
      <c r="K20" s="287" t="s">
        <v>10</v>
      </c>
      <c r="L20" s="287" t="s">
        <v>706</v>
      </c>
      <c r="M20" s="288"/>
    </row>
    <row r="21" spans="1:14" ht="11.5" hidden="1">
      <c r="A21" s="322" t="s">
        <v>1099</v>
      </c>
      <c r="B21" s="297"/>
      <c r="C21" s="297"/>
      <c r="D21" s="297">
        <v>1</v>
      </c>
      <c r="E21" s="297">
        <v>20</v>
      </c>
      <c r="F21" s="297">
        <v>20</v>
      </c>
      <c r="G21" s="446" t="s">
        <v>210</v>
      </c>
      <c r="H21" s="298"/>
      <c r="I21" s="298"/>
      <c r="J21" s="297"/>
      <c r="K21" s="297"/>
      <c r="L21" s="297"/>
      <c r="M21" s="293"/>
    </row>
    <row r="22" spans="1:14" ht="10.5" hidden="1">
      <c r="A22" s="290" t="s">
        <v>1100</v>
      </c>
      <c r="B22" s="291" t="s">
        <v>14</v>
      </c>
      <c r="C22" s="291">
        <v>1</v>
      </c>
      <c r="D22" s="291">
        <v>1</v>
      </c>
      <c r="E22" s="291">
        <v>20</v>
      </c>
      <c r="F22" s="291">
        <v>20</v>
      </c>
      <c r="G22" s="445"/>
      <c r="H22" s="292"/>
      <c r="I22" s="292"/>
      <c r="J22" s="291"/>
      <c r="K22" s="291"/>
      <c r="L22" s="291"/>
      <c r="M22" s="293"/>
    </row>
    <row r="23" spans="1:14" ht="21" hidden="1">
      <c r="A23" s="295" t="s">
        <v>17</v>
      </c>
      <c r="B23" s="296" t="s">
        <v>18</v>
      </c>
      <c r="C23" s="297">
        <v>2</v>
      </c>
      <c r="D23" s="297">
        <v>1</v>
      </c>
      <c r="E23" s="297">
        <f>D23+F23-1</f>
        <v>1</v>
      </c>
      <c r="F23" s="297">
        <v>1</v>
      </c>
      <c r="G23" s="446" t="s">
        <v>19</v>
      </c>
      <c r="H23" s="298"/>
      <c r="I23" s="298"/>
      <c r="J23" s="297"/>
      <c r="K23" s="297"/>
      <c r="L23" s="297"/>
      <c r="M23" s="293"/>
    </row>
    <row r="24" spans="1:14" ht="12.5" hidden="1">
      <c r="A24" s="295" t="s">
        <v>212</v>
      </c>
      <c r="B24" s="296" t="s">
        <v>213</v>
      </c>
      <c r="C24" s="297">
        <v>3</v>
      </c>
      <c r="D24" s="297">
        <f>E23+1</f>
        <v>2</v>
      </c>
      <c r="E24" s="297">
        <f>D24+F24-1</f>
        <v>9</v>
      </c>
      <c r="F24" s="297">
        <v>8</v>
      </c>
      <c r="G24" s="447" t="s">
        <v>1101</v>
      </c>
      <c r="H24" s="301"/>
      <c r="I24" s="301"/>
      <c r="J24" s="297"/>
      <c r="K24" s="297"/>
      <c r="L24" s="297"/>
      <c r="M24" s="293"/>
    </row>
    <row r="25" spans="1:14" ht="12.5" hidden="1">
      <c r="A25" s="295" t="s">
        <v>215</v>
      </c>
      <c r="B25" s="296" t="s">
        <v>216</v>
      </c>
      <c r="C25" s="297">
        <v>4</v>
      </c>
      <c r="D25" s="297">
        <f>E24+1</f>
        <v>10</v>
      </c>
      <c r="E25" s="297">
        <f>D25+F25-1</f>
        <v>17</v>
      </c>
      <c r="F25" s="297">
        <v>8</v>
      </c>
      <c r="G25" s="447" t="s">
        <v>1003</v>
      </c>
      <c r="H25" s="301"/>
      <c r="I25" s="301"/>
      <c r="J25" s="297"/>
      <c r="K25" s="297"/>
      <c r="L25" s="297"/>
      <c r="M25" s="293"/>
    </row>
    <row r="26" spans="1:14" hidden="1">
      <c r="A26" s="317" t="s">
        <v>217</v>
      </c>
      <c r="B26" s="314" t="s">
        <v>218</v>
      </c>
      <c r="C26" s="297">
        <v>5</v>
      </c>
      <c r="D26" s="297">
        <f>E25+1</f>
        <v>18</v>
      </c>
      <c r="E26" s="297">
        <f>D26+F26-1</f>
        <v>20</v>
      </c>
      <c r="F26" s="297">
        <v>3</v>
      </c>
      <c r="G26" s="446" t="s">
        <v>219</v>
      </c>
      <c r="H26" s="298"/>
      <c r="I26" s="298"/>
      <c r="J26" s="297"/>
      <c r="K26" s="297"/>
      <c r="L26" s="297"/>
      <c r="M26" s="293"/>
    </row>
    <row r="27" spans="1:14" ht="10.5" hidden="1">
      <c r="A27" s="290" t="s">
        <v>1102</v>
      </c>
      <c r="B27" s="291" t="s">
        <v>14</v>
      </c>
      <c r="C27" s="302">
        <v>6</v>
      </c>
      <c r="D27" s="291">
        <v>1</v>
      </c>
      <c r="E27" s="291">
        <v>20</v>
      </c>
      <c r="F27" s="291">
        <v>20</v>
      </c>
      <c r="G27" s="448"/>
      <c r="H27" s="303"/>
      <c r="I27" s="303"/>
      <c r="J27" s="291"/>
      <c r="K27" s="291"/>
      <c r="L27" s="291"/>
      <c r="M27" s="293"/>
    </row>
    <row r="28" spans="1:14" ht="21" hidden="1">
      <c r="A28" s="304" t="s">
        <v>723</v>
      </c>
      <c r="B28" s="296" t="s">
        <v>18</v>
      </c>
      <c r="C28" s="297">
        <v>7</v>
      </c>
      <c r="D28" s="305">
        <v>1</v>
      </c>
      <c r="E28" s="297">
        <f>D28+F28-1</f>
        <v>1</v>
      </c>
      <c r="F28" s="305">
        <v>1</v>
      </c>
      <c r="G28" s="446" t="s">
        <v>38</v>
      </c>
      <c r="H28" s="298"/>
      <c r="I28" s="298"/>
      <c r="J28" s="305"/>
      <c r="K28" s="305"/>
      <c r="L28" s="305"/>
      <c r="M28" s="293"/>
    </row>
    <row r="29" spans="1:14" ht="24" hidden="1" customHeight="1">
      <c r="A29" s="312" t="s">
        <v>1103</v>
      </c>
      <c r="B29" s="296" t="s">
        <v>1104</v>
      </c>
      <c r="C29" s="297">
        <v>8</v>
      </c>
      <c r="D29" s="297">
        <f>E28+1</f>
        <v>2</v>
      </c>
      <c r="E29" s="297">
        <f>D29+F29-1</f>
        <v>5</v>
      </c>
      <c r="F29" s="297">
        <v>4</v>
      </c>
      <c r="G29" s="323" t="s">
        <v>1105</v>
      </c>
      <c r="H29" s="298" t="s">
        <v>20</v>
      </c>
      <c r="I29" s="298" t="s">
        <v>224</v>
      </c>
      <c r="J29" s="324" t="s">
        <v>1106</v>
      </c>
      <c r="K29" s="314" t="s">
        <v>1107</v>
      </c>
      <c r="L29" s="325">
        <v>611</v>
      </c>
      <c r="M29" s="293"/>
    </row>
    <row r="30" spans="1:14" ht="24" hidden="1" customHeight="1">
      <c r="A30" s="312" t="s">
        <v>226</v>
      </c>
      <c r="B30" s="296" t="s">
        <v>1108</v>
      </c>
      <c r="C30" s="297">
        <v>8</v>
      </c>
      <c r="D30" s="297">
        <f>E29+1</f>
        <v>6</v>
      </c>
      <c r="E30" s="297">
        <f>D30+F30-1</f>
        <v>17</v>
      </c>
      <c r="F30" s="297">
        <v>12</v>
      </c>
      <c r="G30" s="323" t="s">
        <v>1109</v>
      </c>
      <c r="H30" s="298" t="s">
        <v>20</v>
      </c>
      <c r="I30" s="298" t="s">
        <v>224</v>
      </c>
      <c r="J30" s="324" t="s">
        <v>1110</v>
      </c>
      <c r="K30" s="314" t="s">
        <v>1107</v>
      </c>
      <c r="L30" s="325">
        <v>611</v>
      </c>
      <c r="M30" s="293"/>
    </row>
    <row r="31" spans="1:14" ht="12.5" hidden="1">
      <c r="A31" s="295" t="s">
        <v>229</v>
      </c>
      <c r="B31" s="296" t="s">
        <v>1111</v>
      </c>
      <c r="C31" s="297">
        <v>9</v>
      </c>
      <c r="D31" s="297">
        <f>E30+1</f>
        <v>18</v>
      </c>
      <c r="E31" s="297">
        <f>D31+F31-1</f>
        <v>20</v>
      </c>
      <c r="F31" s="297">
        <v>3</v>
      </c>
      <c r="G31" s="323" t="s">
        <v>1112</v>
      </c>
      <c r="H31" s="298" t="s">
        <v>20</v>
      </c>
      <c r="I31" s="298" t="s">
        <v>224</v>
      </c>
      <c r="J31" s="324" t="s">
        <v>1113</v>
      </c>
      <c r="K31" s="314" t="s">
        <v>1107</v>
      </c>
      <c r="L31" s="325"/>
      <c r="M31" s="293"/>
    </row>
    <row r="32" spans="1:14" ht="31.5" hidden="1">
      <c r="A32" s="290" t="s">
        <v>1114</v>
      </c>
      <c r="B32" s="291" t="s">
        <v>14</v>
      </c>
      <c r="C32" s="302">
        <v>35</v>
      </c>
      <c r="D32" s="291">
        <v>1</v>
      </c>
      <c r="E32" s="291">
        <v>20</v>
      </c>
      <c r="F32" s="291">
        <v>20</v>
      </c>
      <c r="G32" s="448"/>
      <c r="H32" s="303"/>
      <c r="I32" s="303"/>
      <c r="J32" s="291"/>
      <c r="K32" s="316" t="s">
        <v>204</v>
      </c>
      <c r="L32" s="316"/>
      <c r="M32" s="316"/>
    </row>
    <row r="33" spans="1:13" ht="21" hidden="1">
      <c r="A33" s="304" t="s">
        <v>723</v>
      </c>
      <c r="B33" s="296" t="s">
        <v>18</v>
      </c>
      <c r="C33" s="297">
        <v>36</v>
      </c>
      <c r="D33" s="297">
        <v>1</v>
      </c>
      <c r="E33" s="297">
        <v>1</v>
      </c>
      <c r="F33" s="297">
        <v>1</v>
      </c>
      <c r="G33" s="446" t="s">
        <v>205</v>
      </c>
      <c r="H33" s="298"/>
      <c r="I33" s="298"/>
      <c r="J33" s="297"/>
      <c r="K33" s="297"/>
      <c r="L33" s="297"/>
      <c r="M33" s="293"/>
    </row>
    <row r="34" spans="1:13" ht="12.5" hidden="1">
      <c r="A34" s="317" t="s">
        <v>206</v>
      </c>
      <c r="B34" s="296" t="s">
        <v>207</v>
      </c>
      <c r="C34" s="297">
        <v>37</v>
      </c>
      <c r="D34" s="297">
        <v>2</v>
      </c>
      <c r="E34" s="297">
        <f>D34+F34-1</f>
        <v>10</v>
      </c>
      <c r="F34" s="297">
        <v>9</v>
      </c>
      <c r="G34" s="446" t="s">
        <v>233</v>
      </c>
      <c r="H34" s="298"/>
      <c r="I34" s="298"/>
      <c r="J34" s="297"/>
      <c r="K34" s="297"/>
      <c r="L34" s="297"/>
      <c r="M34" s="293"/>
    </row>
    <row r="35" spans="1:13" ht="13" hidden="1" thickBot="1">
      <c r="A35" s="326" t="s">
        <v>217</v>
      </c>
      <c r="B35" s="327" t="s">
        <v>714</v>
      </c>
      <c r="C35" s="328">
        <v>38</v>
      </c>
      <c r="D35" s="328">
        <v>11</v>
      </c>
      <c r="E35" s="328">
        <f>D35+F35-1</f>
        <v>20</v>
      </c>
      <c r="F35" s="328">
        <v>10</v>
      </c>
      <c r="G35" s="459" t="s">
        <v>219</v>
      </c>
      <c r="H35" s="329"/>
      <c r="I35" s="329"/>
      <c r="J35" s="328"/>
      <c r="K35" s="328"/>
      <c r="L35" s="328"/>
      <c r="M35" s="293"/>
    </row>
    <row r="36" spans="1:13" hidden="1">
      <c r="M36" s="321"/>
    </row>
    <row r="37" spans="1:13" s="289" customFormat="1" ht="57.75" hidden="1" customHeight="1">
      <c r="A37" s="286" t="s">
        <v>0</v>
      </c>
      <c r="B37" s="287" t="s">
        <v>1</v>
      </c>
      <c r="C37" s="287" t="s">
        <v>2</v>
      </c>
      <c r="D37" s="287" t="s">
        <v>3</v>
      </c>
      <c r="E37" s="287" t="s">
        <v>4</v>
      </c>
      <c r="F37" s="287" t="s">
        <v>5</v>
      </c>
      <c r="G37" s="444" t="s">
        <v>6</v>
      </c>
      <c r="H37" s="287" t="s">
        <v>703</v>
      </c>
      <c r="I37" s="287" t="s">
        <v>704</v>
      </c>
      <c r="J37" s="287" t="s">
        <v>705</v>
      </c>
      <c r="K37" s="287" t="s">
        <v>10</v>
      </c>
      <c r="L37" s="287" t="s">
        <v>706</v>
      </c>
      <c r="M37" s="288"/>
    </row>
    <row r="38" spans="1:13" ht="11.5" hidden="1">
      <c r="A38" s="322" t="s">
        <v>1115</v>
      </c>
      <c r="B38" s="297"/>
      <c r="C38" s="297"/>
      <c r="D38" s="297">
        <v>1</v>
      </c>
      <c r="E38" s="297">
        <v>103</v>
      </c>
      <c r="F38" s="297">
        <v>103</v>
      </c>
      <c r="G38" s="446" t="s">
        <v>210</v>
      </c>
      <c r="H38" s="298"/>
      <c r="I38" s="298"/>
      <c r="J38" s="297"/>
      <c r="K38" s="297"/>
      <c r="L38" s="297"/>
      <c r="M38" s="293"/>
    </row>
    <row r="39" spans="1:13" ht="10.5" hidden="1">
      <c r="A39" s="290" t="s">
        <v>1116</v>
      </c>
      <c r="B39" s="291" t="s">
        <v>14</v>
      </c>
      <c r="C39" s="291">
        <v>1</v>
      </c>
      <c r="D39" s="291">
        <v>1</v>
      </c>
      <c r="E39" s="291">
        <v>103</v>
      </c>
      <c r="F39" s="291">
        <v>103</v>
      </c>
      <c r="G39" s="445"/>
      <c r="H39" s="292"/>
      <c r="I39" s="292"/>
      <c r="J39" s="291"/>
      <c r="K39" s="291"/>
      <c r="L39" s="291"/>
      <c r="M39" s="293"/>
    </row>
    <row r="40" spans="1:13" ht="21" hidden="1">
      <c r="A40" s="295" t="s">
        <v>17</v>
      </c>
      <c r="B40" s="296" t="s">
        <v>18</v>
      </c>
      <c r="C40" s="297">
        <v>2</v>
      </c>
      <c r="D40" s="297">
        <v>1</v>
      </c>
      <c r="E40" s="297">
        <f>D40+F40-1</f>
        <v>1</v>
      </c>
      <c r="F40" s="297">
        <v>1</v>
      </c>
      <c r="G40" s="446" t="s">
        <v>19</v>
      </c>
      <c r="H40" s="298"/>
      <c r="I40" s="298"/>
      <c r="J40" s="297"/>
      <c r="K40" s="297"/>
      <c r="L40" s="297"/>
      <c r="M40" s="293"/>
    </row>
    <row r="41" spans="1:13" ht="12.5" hidden="1">
      <c r="A41" s="295" t="s">
        <v>212</v>
      </c>
      <c r="B41" s="296" t="s">
        <v>213</v>
      </c>
      <c r="C41" s="297">
        <v>3</v>
      </c>
      <c r="D41" s="297">
        <f>E40+1</f>
        <v>2</v>
      </c>
      <c r="E41" s="297">
        <f>D41+F41-1</f>
        <v>9</v>
      </c>
      <c r="F41" s="297">
        <v>8</v>
      </c>
      <c r="G41" s="447" t="s">
        <v>1101</v>
      </c>
      <c r="H41" s="301"/>
      <c r="I41" s="301"/>
      <c r="J41" s="297"/>
      <c r="K41" s="297"/>
      <c r="L41" s="297"/>
      <c r="M41" s="293"/>
    </row>
    <row r="42" spans="1:13" ht="12.5" hidden="1">
      <c r="A42" s="295" t="s">
        <v>215</v>
      </c>
      <c r="B42" s="296" t="s">
        <v>216</v>
      </c>
      <c r="C42" s="297">
        <v>4</v>
      </c>
      <c r="D42" s="297">
        <f>E41+1</f>
        <v>10</v>
      </c>
      <c r="E42" s="297">
        <f>D42+F42-1</f>
        <v>17</v>
      </c>
      <c r="F42" s="297">
        <v>8</v>
      </c>
      <c r="G42" s="447" t="s">
        <v>1003</v>
      </c>
      <c r="H42" s="301"/>
      <c r="I42" s="301"/>
      <c r="J42" s="297"/>
      <c r="K42" s="297"/>
      <c r="L42" s="297"/>
      <c r="M42" s="293"/>
    </row>
    <row r="43" spans="1:13" hidden="1">
      <c r="A43" s="317" t="s">
        <v>217</v>
      </c>
      <c r="B43" s="314" t="s">
        <v>236</v>
      </c>
      <c r="C43" s="297">
        <v>5</v>
      </c>
      <c r="D43" s="297">
        <f>E42+1</f>
        <v>18</v>
      </c>
      <c r="E43" s="297">
        <f>D43+F43-1</f>
        <v>103</v>
      </c>
      <c r="F43" s="297">
        <v>86</v>
      </c>
      <c r="G43" s="446" t="s">
        <v>219</v>
      </c>
      <c r="H43" s="298"/>
      <c r="I43" s="298"/>
      <c r="J43" s="297"/>
      <c r="K43" s="297"/>
      <c r="L43" s="297"/>
      <c r="M43" s="293"/>
    </row>
    <row r="44" spans="1:13" ht="10.5" hidden="1">
      <c r="A44" s="290" t="s">
        <v>1117</v>
      </c>
      <c r="B44" s="291" t="s">
        <v>14</v>
      </c>
      <c r="C44" s="302">
        <v>6</v>
      </c>
      <c r="D44" s="291">
        <v>1</v>
      </c>
      <c r="E44" s="291">
        <v>103</v>
      </c>
      <c r="F44" s="291">
        <v>103</v>
      </c>
      <c r="G44" s="448"/>
      <c r="H44" s="303"/>
      <c r="I44" s="303"/>
      <c r="J44" s="291"/>
      <c r="K44" s="291"/>
      <c r="L44" s="291"/>
      <c r="M44" s="293"/>
    </row>
    <row r="45" spans="1:13" ht="21" hidden="1">
      <c r="A45" s="304" t="s">
        <v>723</v>
      </c>
      <c r="B45" s="296" t="s">
        <v>18</v>
      </c>
      <c r="C45" s="297">
        <v>7</v>
      </c>
      <c r="D45" s="305">
        <v>1</v>
      </c>
      <c r="E45" s="297">
        <f>D45+F45-1</f>
        <v>1</v>
      </c>
      <c r="F45" s="305">
        <v>1</v>
      </c>
      <c r="G45" s="446" t="s">
        <v>38</v>
      </c>
      <c r="H45" s="298"/>
      <c r="I45" s="298"/>
      <c r="J45" s="305"/>
      <c r="K45" s="305"/>
      <c r="L45" s="305"/>
      <c r="M45" s="293"/>
    </row>
    <row r="46" spans="1:13" ht="24" hidden="1" customHeight="1">
      <c r="A46" s="312" t="s">
        <v>238</v>
      </c>
      <c r="B46" s="296" t="s">
        <v>854</v>
      </c>
      <c r="C46" s="297">
        <v>8</v>
      </c>
      <c r="D46" s="297">
        <f>E45+1</f>
        <v>2</v>
      </c>
      <c r="E46" s="297">
        <f>D46+F46-1</f>
        <v>3</v>
      </c>
      <c r="F46" s="297">
        <v>2</v>
      </c>
      <c r="G46" s="323" t="s">
        <v>1118</v>
      </c>
      <c r="H46" s="298" t="s">
        <v>20</v>
      </c>
      <c r="I46" s="298" t="s">
        <v>1119</v>
      </c>
      <c r="J46" s="324" t="s">
        <v>1120</v>
      </c>
      <c r="K46" s="314" t="s">
        <v>1107</v>
      </c>
      <c r="L46" s="325">
        <v>611</v>
      </c>
      <c r="M46" s="293"/>
    </row>
    <row r="47" spans="1:13" ht="24" hidden="1" customHeight="1">
      <c r="A47" s="312" t="s">
        <v>243</v>
      </c>
      <c r="B47" s="296" t="s">
        <v>1039</v>
      </c>
      <c r="C47" s="297">
        <v>8</v>
      </c>
      <c r="D47" s="297">
        <f>E46+1</f>
        <v>4</v>
      </c>
      <c r="E47" s="297">
        <f>D47+F47-1</f>
        <v>103</v>
      </c>
      <c r="F47" s="297">
        <v>100</v>
      </c>
      <c r="G47" s="323" t="s">
        <v>1121</v>
      </c>
      <c r="H47" s="298" t="s">
        <v>20</v>
      </c>
      <c r="I47" s="298" t="s">
        <v>1119</v>
      </c>
      <c r="J47" s="324" t="s">
        <v>1122</v>
      </c>
      <c r="K47" s="314" t="s">
        <v>1107</v>
      </c>
      <c r="L47" s="325">
        <v>611</v>
      </c>
      <c r="M47" s="293"/>
    </row>
    <row r="48" spans="1:13" ht="31.5" hidden="1">
      <c r="A48" s="290" t="s">
        <v>1123</v>
      </c>
      <c r="B48" s="291" t="s">
        <v>14</v>
      </c>
      <c r="C48" s="302">
        <v>35</v>
      </c>
      <c r="D48" s="291">
        <v>1</v>
      </c>
      <c r="E48" s="291">
        <v>103</v>
      </c>
      <c r="F48" s="291">
        <v>103</v>
      </c>
      <c r="G48" s="448"/>
      <c r="H48" s="303"/>
      <c r="I48" s="303"/>
      <c r="J48" s="291"/>
      <c r="K48" s="316" t="s">
        <v>204</v>
      </c>
      <c r="L48" s="316"/>
      <c r="M48" s="316"/>
    </row>
    <row r="49" spans="1:13" ht="21" hidden="1">
      <c r="A49" s="304" t="s">
        <v>723</v>
      </c>
      <c r="B49" s="296" t="s">
        <v>18</v>
      </c>
      <c r="C49" s="297">
        <v>36</v>
      </c>
      <c r="D49" s="297">
        <v>1</v>
      </c>
      <c r="E49" s="297">
        <v>1</v>
      </c>
      <c r="F49" s="297">
        <v>1</v>
      </c>
      <c r="G49" s="446" t="s">
        <v>205</v>
      </c>
      <c r="H49" s="298"/>
      <c r="I49" s="298"/>
      <c r="J49" s="297"/>
      <c r="K49" s="297"/>
      <c r="L49" s="297"/>
      <c r="M49" s="293"/>
    </row>
    <row r="50" spans="1:13" ht="12.5" hidden="1">
      <c r="A50" s="317" t="s">
        <v>206</v>
      </c>
      <c r="B50" s="296" t="s">
        <v>207</v>
      </c>
      <c r="C50" s="297">
        <v>37</v>
      </c>
      <c r="D50" s="297">
        <v>2</v>
      </c>
      <c r="E50" s="297">
        <f>D50+F50-1</f>
        <v>10</v>
      </c>
      <c r="F50" s="297">
        <v>9</v>
      </c>
      <c r="G50" s="446" t="s">
        <v>233</v>
      </c>
      <c r="H50" s="298"/>
      <c r="I50" s="298"/>
      <c r="J50" s="297"/>
      <c r="K50" s="297"/>
      <c r="L50" s="297"/>
      <c r="M50" s="293"/>
    </row>
    <row r="51" spans="1:13" ht="13" hidden="1" thickBot="1">
      <c r="A51" s="326" t="s">
        <v>217</v>
      </c>
      <c r="B51" s="327" t="s">
        <v>1124</v>
      </c>
      <c r="C51" s="328">
        <v>38</v>
      </c>
      <c r="D51" s="328">
        <v>11</v>
      </c>
      <c r="E51" s="328">
        <f>D51+F51-1</f>
        <v>103</v>
      </c>
      <c r="F51" s="328">
        <v>93</v>
      </c>
      <c r="G51" s="459" t="s">
        <v>219</v>
      </c>
      <c r="H51" s="329"/>
      <c r="I51" s="329"/>
      <c r="J51" s="328"/>
      <c r="K51" s="328"/>
      <c r="L51" s="328"/>
      <c r="M51" s="293"/>
    </row>
    <row r="52" spans="1:13" hidden="1"/>
    <row r="53" spans="1:13" hidden="1"/>
    <row r="54" spans="1:13" s="289" customFormat="1" ht="57.75" hidden="1" customHeight="1">
      <c r="A54" s="286" t="s">
        <v>0</v>
      </c>
      <c r="B54" s="287" t="s">
        <v>1</v>
      </c>
      <c r="C54" s="287" t="s">
        <v>2</v>
      </c>
      <c r="D54" s="287" t="s">
        <v>3</v>
      </c>
      <c r="E54" s="287" t="s">
        <v>4</v>
      </c>
      <c r="F54" s="287" t="s">
        <v>5</v>
      </c>
      <c r="G54" s="444" t="s">
        <v>6</v>
      </c>
      <c r="H54" s="287" t="s">
        <v>703</v>
      </c>
      <c r="I54" s="287" t="s">
        <v>704</v>
      </c>
      <c r="J54" s="287" t="s">
        <v>705</v>
      </c>
      <c r="K54" s="287" t="s">
        <v>10</v>
      </c>
      <c r="L54" s="287" t="s">
        <v>706</v>
      </c>
      <c r="M54" s="288"/>
    </row>
    <row r="55" spans="1:13" ht="11.5" hidden="1">
      <c r="A55" s="322" t="s">
        <v>1125</v>
      </c>
      <c r="B55" s="297"/>
      <c r="C55" s="297"/>
      <c r="D55" s="297">
        <v>1</v>
      </c>
      <c r="E55" s="297">
        <v>33</v>
      </c>
      <c r="F55" s="297">
        <v>33</v>
      </c>
      <c r="G55" s="446" t="s">
        <v>210</v>
      </c>
      <c r="H55" s="298"/>
      <c r="I55" s="298"/>
      <c r="J55" s="297"/>
      <c r="K55" s="297"/>
      <c r="L55" s="297"/>
      <c r="M55" s="293"/>
    </row>
    <row r="56" spans="1:13" ht="10.5" hidden="1">
      <c r="A56" s="290" t="s">
        <v>1126</v>
      </c>
      <c r="B56" s="291" t="s">
        <v>14</v>
      </c>
      <c r="C56" s="291">
        <v>1</v>
      </c>
      <c r="D56" s="291">
        <v>1</v>
      </c>
      <c r="E56" s="291">
        <v>33</v>
      </c>
      <c r="F56" s="291">
        <v>33</v>
      </c>
      <c r="G56" s="445"/>
      <c r="H56" s="292"/>
      <c r="I56" s="292"/>
      <c r="J56" s="291"/>
      <c r="K56" s="291"/>
      <c r="L56" s="291"/>
      <c r="M56" s="293"/>
    </row>
    <row r="57" spans="1:13" ht="21" hidden="1">
      <c r="A57" s="295" t="s">
        <v>17</v>
      </c>
      <c r="B57" s="296" t="s">
        <v>18</v>
      </c>
      <c r="C57" s="297">
        <v>2</v>
      </c>
      <c r="D57" s="297">
        <v>1</v>
      </c>
      <c r="E57" s="297">
        <f>D57+F57-1</f>
        <v>1</v>
      </c>
      <c r="F57" s="297">
        <v>1</v>
      </c>
      <c r="G57" s="446" t="s">
        <v>19</v>
      </c>
      <c r="H57" s="298"/>
      <c r="I57" s="298"/>
      <c r="J57" s="297"/>
      <c r="K57" s="297"/>
      <c r="L57" s="297"/>
      <c r="M57" s="293"/>
    </row>
    <row r="58" spans="1:13" ht="12.5" hidden="1">
      <c r="A58" s="295" t="s">
        <v>212</v>
      </c>
      <c r="B58" s="296" t="s">
        <v>213</v>
      </c>
      <c r="C58" s="297">
        <v>3</v>
      </c>
      <c r="D58" s="297">
        <f>E57+1</f>
        <v>2</v>
      </c>
      <c r="E58" s="297">
        <f>D58+F58-1</f>
        <v>9</v>
      </c>
      <c r="F58" s="297">
        <v>8</v>
      </c>
      <c r="G58" s="447" t="s">
        <v>1101</v>
      </c>
      <c r="H58" s="301"/>
      <c r="I58" s="301"/>
      <c r="J58" s="297"/>
      <c r="K58" s="297"/>
      <c r="L58" s="297"/>
      <c r="M58" s="293"/>
    </row>
    <row r="59" spans="1:13" ht="12.5" hidden="1">
      <c r="A59" s="295" t="s">
        <v>215</v>
      </c>
      <c r="B59" s="296" t="s">
        <v>216</v>
      </c>
      <c r="C59" s="297">
        <v>4</v>
      </c>
      <c r="D59" s="297">
        <f>E58+1</f>
        <v>10</v>
      </c>
      <c r="E59" s="297">
        <f>D59+F59-1</f>
        <v>17</v>
      </c>
      <c r="F59" s="297">
        <v>8</v>
      </c>
      <c r="G59" s="447" t="s">
        <v>1003</v>
      </c>
      <c r="H59" s="301"/>
      <c r="I59" s="301"/>
      <c r="J59" s="297"/>
      <c r="K59" s="297"/>
      <c r="L59" s="297"/>
      <c r="M59" s="293"/>
    </row>
    <row r="60" spans="1:13" hidden="1">
      <c r="A60" s="317" t="s">
        <v>217</v>
      </c>
      <c r="B60" s="314" t="s">
        <v>250</v>
      </c>
      <c r="C60" s="297">
        <v>5</v>
      </c>
      <c r="D60" s="297">
        <f>E59+1</f>
        <v>18</v>
      </c>
      <c r="E60" s="297">
        <f>D60+F60-1</f>
        <v>33</v>
      </c>
      <c r="F60" s="297">
        <v>16</v>
      </c>
      <c r="G60" s="446" t="s">
        <v>219</v>
      </c>
      <c r="H60" s="298"/>
      <c r="I60" s="298"/>
      <c r="J60" s="297"/>
      <c r="K60" s="297"/>
      <c r="L60" s="297"/>
      <c r="M60" s="293"/>
    </row>
    <row r="61" spans="1:13" ht="10.5" hidden="1">
      <c r="A61" s="290" t="s">
        <v>1127</v>
      </c>
      <c r="B61" s="291" t="s">
        <v>14</v>
      </c>
      <c r="C61" s="302">
        <v>6</v>
      </c>
      <c r="D61" s="291">
        <v>1</v>
      </c>
      <c r="E61" s="291">
        <v>33</v>
      </c>
      <c r="F61" s="291">
        <v>33</v>
      </c>
      <c r="G61" s="448"/>
      <c r="H61" s="303"/>
      <c r="I61" s="303"/>
      <c r="J61" s="291"/>
      <c r="K61" s="291"/>
      <c r="L61" s="291"/>
      <c r="M61" s="293"/>
    </row>
    <row r="62" spans="1:13" ht="21" hidden="1">
      <c r="A62" s="304" t="s">
        <v>723</v>
      </c>
      <c r="B62" s="296" t="s">
        <v>18</v>
      </c>
      <c r="C62" s="297">
        <v>7</v>
      </c>
      <c r="D62" s="305">
        <v>1</v>
      </c>
      <c r="E62" s="297">
        <f>D62+F62-1</f>
        <v>1</v>
      </c>
      <c r="F62" s="305">
        <v>1</v>
      </c>
      <c r="G62" s="446" t="s">
        <v>38</v>
      </c>
      <c r="H62" s="298"/>
      <c r="I62" s="298"/>
      <c r="J62" s="305"/>
      <c r="K62" s="305"/>
      <c r="L62" s="305"/>
      <c r="M62" s="293"/>
    </row>
    <row r="63" spans="1:13" ht="24" hidden="1" customHeight="1">
      <c r="A63" s="312" t="s">
        <v>252</v>
      </c>
      <c r="B63" s="296" t="s">
        <v>1128</v>
      </c>
      <c r="C63" s="297">
        <v>8</v>
      </c>
      <c r="D63" s="297">
        <f>E62+1</f>
        <v>2</v>
      </c>
      <c r="E63" s="297">
        <f>D63+F63-1</f>
        <v>3</v>
      </c>
      <c r="F63" s="297">
        <v>2</v>
      </c>
      <c r="G63" s="323" t="s">
        <v>1129</v>
      </c>
      <c r="H63" s="298" t="s">
        <v>20</v>
      </c>
      <c r="I63" s="298" t="s">
        <v>255</v>
      </c>
      <c r="J63" s="324" t="s">
        <v>1130</v>
      </c>
      <c r="K63" s="314" t="s">
        <v>1107</v>
      </c>
      <c r="L63" s="325">
        <v>611</v>
      </c>
      <c r="M63" s="293"/>
    </row>
    <row r="64" spans="1:13" ht="24" hidden="1" customHeight="1">
      <c r="A64" s="312" t="s">
        <v>257</v>
      </c>
      <c r="B64" s="296" t="s">
        <v>1128</v>
      </c>
      <c r="C64" s="297">
        <v>8</v>
      </c>
      <c r="D64" s="297">
        <f>E63+1</f>
        <v>4</v>
      </c>
      <c r="E64" s="297">
        <f>D64+F64-1</f>
        <v>33</v>
      </c>
      <c r="F64" s="297">
        <v>30</v>
      </c>
      <c r="G64" s="323" t="s">
        <v>1131</v>
      </c>
      <c r="H64" s="298" t="s">
        <v>20</v>
      </c>
      <c r="I64" s="298" t="s">
        <v>255</v>
      </c>
      <c r="J64" s="324" t="s">
        <v>1132</v>
      </c>
      <c r="K64" s="314" t="s">
        <v>1107</v>
      </c>
      <c r="L64" s="325">
        <v>611</v>
      </c>
      <c r="M64" s="293"/>
    </row>
    <row r="65" spans="1:13" ht="31.5" hidden="1">
      <c r="A65" s="290" t="s">
        <v>1133</v>
      </c>
      <c r="B65" s="291" t="s">
        <v>14</v>
      </c>
      <c r="C65" s="302">
        <v>35</v>
      </c>
      <c r="D65" s="291">
        <v>1</v>
      </c>
      <c r="E65" s="291">
        <v>33</v>
      </c>
      <c r="F65" s="291">
        <v>33</v>
      </c>
      <c r="G65" s="448"/>
      <c r="H65" s="303"/>
      <c r="I65" s="303"/>
      <c r="J65" s="291"/>
      <c r="K65" s="316" t="s">
        <v>204</v>
      </c>
      <c r="L65" s="316"/>
      <c r="M65" s="316"/>
    </row>
    <row r="66" spans="1:13" ht="21" hidden="1">
      <c r="A66" s="304" t="s">
        <v>723</v>
      </c>
      <c r="B66" s="296" t="s">
        <v>18</v>
      </c>
      <c r="C66" s="297">
        <v>36</v>
      </c>
      <c r="D66" s="297">
        <v>1</v>
      </c>
      <c r="E66" s="297">
        <v>1</v>
      </c>
      <c r="F66" s="297">
        <v>1</v>
      </c>
      <c r="G66" s="446" t="s">
        <v>205</v>
      </c>
      <c r="H66" s="298"/>
      <c r="I66" s="298"/>
      <c r="J66" s="297"/>
      <c r="K66" s="297"/>
      <c r="L66" s="297"/>
      <c r="M66" s="293"/>
    </row>
    <row r="67" spans="1:13" ht="12.5" hidden="1">
      <c r="A67" s="317" t="s">
        <v>206</v>
      </c>
      <c r="B67" s="296" t="s">
        <v>207</v>
      </c>
      <c r="C67" s="297">
        <v>37</v>
      </c>
      <c r="D67" s="297">
        <v>2</v>
      </c>
      <c r="E67" s="297">
        <f>D67+F67-1</f>
        <v>10</v>
      </c>
      <c r="F67" s="297">
        <v>9</v>
      </c>
      <c r="G67" s="446" t="s">
        <v>233</v>
      </c>
      <c r="H67" s="298"/>
      <c r="I67" s="298"/>
      <c r="J67" s="297"/>
      <c r="K67" s="297"/>
      <c r="L67" s="297"/>
      <c r="M67" s="293"/>
    </row>
    <row r="68" spans="1:13" ht="13" hidden="1" thickBot="1">
      <c r="A68" s="326" t="s">
        <v>217</v>
      </c>
      <c r="B68" s="327" t="s">
        <v>1134</v>
      </c>
      <c r="C68" s="328">
        <v>38</v>
      </c>
      <c r="D68" s="328">
        <v>11</v>
      </c>
      <c r="E68" s="328">
        <f>D68+F68-1</f>
        <v>33</v>
      </c>
      <c r="F68" s="328">
        <v>23</v>
      </c>
      <c r="G68" s="459" t="s">
        <v>219</v>
      </c>
      <c r="H68" s="329"/>
      <c r="I68" s="329"/>
      <c r="J68" s="328"/>
      <c r="K68" s="328"/>
      <c r="L68" s="328"/>
      <c r="M68" s="293"/>
    </row>
    <row r="69" spans="1:13" hidden="1"/>
    <row r="70" spans="1:13" hidden="1"/>
    <row r="71" spans="1:13" s="289" customFormat="1" ht="57.75" hidden="1" customHeight="1">
      <c r="A71" s="286" t="s">
        <v>0</v>
      </c>
      <c r="B71" s="287" t="s">
        <v>1</v>
      </c>
      <c r="C71" s="287" t="s">
        <v>2</v>
      </c>
      <c r="D71" s="287" t="s">
        <v>3</v>
      </c>
      <c r="E71" s="287" t="s">
        <v>4</v>
      </c>
      <c r="F71" s="287" t="s">
        <v>5</v>
      </c>
      <c r="G71" s="444" t="s">
        <v>6</v>
      </c>
      <c r="H71" s="287" t="s">
        <v>703</v>
      </c>
      <c r="I71" s="287" t="s">
        <v>704</v>
      </c>
      <c r="J71" s="287" t="s">
        <v>705</v>
      </c>
      <c r="K71" s="287" t="s">
        <v>10</v>
      </c>
      <c r="L71" s="287" t="s">
        <v>706</v>
      </c>
      <c r="M71" s="288"/>
    </row>
    <row r="72" spans="1:13" ht="11.5" hidden="1">
      <c r="A72" s="322" t="s">
        <v>1135</v>
      </c>
      <c r="B72" s="297"/>
      <c r="C72" s="297"/>
      <c r="D72" s="297">
        <v>1</v>
      </c>
      <c r="E72" s="297">
        <v>33</v>
      </c>
      <c r="F72" s="297">
        <v>33</v>
      </c>
      <c r="G72" s="446" t="s">
        <v>210</v>
      </c>
      <c r="H72" s="298"/>
      <c r="I72" s="298"/>
      <c r="J72" s="297"/>
      <c r="K72" s="297"/>
      <c r="L72" s="297"/>
      <c r="M72" s="293"/>
    </row>
    <row r="73" spans="1:13" ht="10.5" hidden="1">
      <c r="A73" s="290" t="s">
        <v>1136</v>
      </c>
      <c r="B73" s="291" t="s">
        <v>14</v>
      </c>
      <c r="C73" s="291">
        <v>1</v>
      </c>
      <c r="D73" s="291">
        <v>1</v>
      </c>
      <c r="E73" s="291">
        <v>33</v>
      </c>
      <c r="F73" s="291">
        <v>33</v>
      </c>
      <c r="G73" s="445"/>
      <c r="H73" s="292"/>
      <c r="I73" s="292"/>
      <c r="J73" s="291"/>
      <c r="K73" s="291"/>
      <c r="L73" s="291"/>
      <c r="M73" s="293"/>
    </row>
    <row r="74" spans="1:13" ht="21" hidden="1">
      <c r="A74" s="295" t="s">
        <v>17</v>
      </c>
      <c r="B74" s="296" t="s">
        <v>18</v>
      </c>
      <c r="C74" s="297">
        <v>2</v>
      </c>
      <c r="D74" s="297">
        <v>1</v>
      </c>
      <c r="E74" s="297">
        <f>D74+F74-1</f>
        <v>1</v>
      </c>
      <c r="F74" s="297">
        <v>1</v>
      </c>
      <c r="G74" s="446" t="s">
        <v>19</v>
      </c>
      <c r="H74" s="298"/>
      <c r="I74" s="298"/>
      <c r="J74" s="297"/>
      <c r="K74" s="297"/>
      <c r="L74" s="297"/>
      <c r="M74" s="293"/>
    </row>
    <row r="75" spans="1:13" ht="12.5" hidden="1">
      <c r="A75" s="295" t="s">
        <v>212</v>
      </c>
      <c r="B75" s="296" t="s">
        <v>213</v>
      </c>
      <c r="C75" s="297">
        <v>3</v>
      </c>
      <c r="D75" s="297">
        <f>E74+1</f>
        <v>2</v>
      </c>
      <c r="E75" s="297">
        <f>D75+F75-1</f>
        <v>9</v>
      </c>
      <c r="F75" s="297">
        <v>8</v>
      </c>
      <c r="G75" s="447" t="s">
        <v>1101</v>
      </c>
      <c r="H75" s="301"/>
      <c r="I75" s="301"/>
      <c r="J75" s="297"/>
      <c r="K75" s="297"/>
      <c r="L75" s="297"/>
      <c r="M75" s="293"/>
    </row>
    <row r="76" spans="1:13" ht="12.5" hidden="1">
      <c r="A76" s="295" t="s">
        <v>215</v>
      </c>
      <c r="B76" s="296" t="s">
        <v>216</v>
      </c>
      <c r="C76" s="297">
        <v>4</v>
      </c>
      <c r="D76" s="297">
        <f>E75+1</f>
        <v>10</v>
      </c>
      <c r="E76" s="297">
        <f>D76+F76-1</f>
        <v>17</v>
      </c>
      <c r="F76" s="297">
        <v>8</v>
      </c>
      <c r="G76" s="447" t="s">
        <v>1003</v>
      </c>
      <c r="H76" s="301"/>
      <c r="I76" s="301"/>
      <c r="J76" s="297"/>
      <c r="K76" s="297"/>
      <c r="L76" s="297"/>
      <c r="M76" s="293"/>
    </row>
    <row r="77" spans="1:13" hidden="1">
      <c r="A77" s="317" t="s">
        <v>217</v>
      </c>
      <c r="B77" s="314" t="s">
        <v>250</v>
      </c>
      <c r="C77" s="297">
        <v>5</v>
      </c>
      <c r="D77" s="297">
        <f>E76+1</f>
        <v>18</v>
      </c>
      <c r="E77" s="297">
        <f>D77+F77-1</f>
        <v>33</v>
      </c>
      <c r="F77" s="297">
        <v>16</v>
      </c>
      <c r="G77" s="446" t="s">
        <v>219</v>
      </c>
      <c r="H77" s="298"/>
      <c r="I77" s="298"/>
      <c r="J77" s="297"/>
      <c r="K77" s="297"/>
      <c r="L77" s="297"/>
      <c r="M77" s="293"/>
    </row>
    <row r="78" spans="1:13" ht="10.5" hidden="1">
      <c r="A78" s="290" t="s">
        <v>1137</v>
      </c>
      <c r="B78" s="291" t="s">
        <v>14</v>
      </c>
      <c r="C78" s="302">
        <v>6</v>
      </c>
      <c r="D78" s="291">
        <v>1</v>
      </c>
      <c r="E78" s="291">
        <v>33</v>
      </c>
      <c r="F78" s="291">
        <v>33</v>
      </c>
      <c r="G78" s="448"/>
      <c r="H78" s="303"/>
      <c r="I78" s="303"/>
      <c r="J78" s="291"/>
      <c r="K78" s="291"/>
      <c r="L78" s="291"/>
      <c r="M78" s="293"/>
    </row>
    <row r="79" spans="1:13" ht="21" hidden="1">
      <c r="A79" s="304" t="s">
        <v>723</v>
      </c>
      <c r="B79" s="296" t="s">
        <v>18</v>
      </c>
      <c r="C79" s="297">
        <v>7</v>
      </c>
      <c r="D79" s="305">
        <v>1</v>
      </c>
      <c r="E79" s="297">
        <f>D79+F79-1</f>
        <v>1</v>
      </c>
      <c r="F79" s="305">
        <v>1</v>
      </c>
      <c r="G79" s="446" t="s">
        <v>38</v>
      </c>
      <c r="H79" s="298"/>
      <c r="I79" s="298"/>
      <c r="J79" s="305"/>
      <c r="K79" s="305"/>
      <c r="L79" s="305"/>
      <c r="M79" s="293"/>
    </row>
    <row r="80" spans="1:13" ht="24" hidden="1" customHeight="1">
      <c r="A80" s="312" t="s">
        <v>265</v>
      </c>
      <c r="B80" s="296" t="s">
        <v>1128</v>
      </c>
      <c r="C80" s="297">
        <v>8</v>
      </c>
      <c r="D80" s="297">
        <f>E79+1</f>
        <v>2</v>
      </c>
      <c r="E80" s="297">
        <f>D80+F80-1</f>
        <v>3</v>
      </c>
      <c r="F80" s="297">
        <v>2</v>
      </c>
      <c r="G80" s="323" t="s">
        <v>1138</v>
      </c>
      <c r="H80" s="298" t="s">
        <v>20</v>
      </c>
      <c r="I80" s="298" t="s">
        <v>1139</v>
      </c>
      <c r="J80" s="324" t="s">
        <v>1140</v>
      </c>
      <c r="K80" s="314" t="s">
        <v>1107</v>
      </c>
      <c r="L80" s="325">
        <v>611</v>
      </c>
      <c r="M80" s="293"/>
    </row>
    <row r="81" spans="1:13" ht="24" hidden="1" customHeight="1">
      <c r="A81" s="312" t="s">
        <v>269</v>
      </c>
      <c r="B81" s="296" t="s">
        <v>1128</v>
      </c>
      <c r="C81" s="297">
        <v>8</v>
      </c>
      <c r="D81" s="297">
        <f>E80+1</f>
        <v>4</v>
      </c>
      <c r="E81" s="297">
        <f>D81+F81-1</f>
        <v>33</v>
      </c>
      <c r="F81" s="297">
        <v>30</v>
      </c>
      <c r="G81" s="323" t="s">
        <v>1141</v>
      </c>
      <c r="H81" s="298" t="s">
        <v>20</v>
      </c>
      <c r="I81" s="298" t="s">
        <v>271</v>
      </c>
      <c r="J81" s="324" t="s">
        <v>1142</v>
      </c>
      <c r="K81" s="314" t="s">
        <v>1107</v>
      </c>
      <c r="L81" s="325">
        <v>611</v>
      </c>
      <c r="M81" s="293"/>
    </row>
    <row r="82" spans="1:13" ht="31.5" hidden="1">
      <c r="A82" s="290" t="s">
        <v>1143</v>
      </c>
      <c r="B82" s="291" t="s">
        <v>14</v>
      </c>
      <c r="C82" s="302">
        <v>35</v>
      </c>
      <c r="D82" s="291">
        <v>1</v>
      </c>
      <c r="E82" s="291">
        <v>33</v>
      </c>
      <c r="F82" s="291">
        <v>33</v>
      </c>
      <c r="G82" s="448"/>
      <c r="H82" s="303"/>
      <c r="I82" s="303"/>
      <c r="J82" s="291"/>
      <c r="K82" s="316" t="s">
        <v>204</v>
      </c>
      <c r="L82" s="316"/>
      <c r="M82" s="316"/>
    </row>
    <row r="83" spans="1:13" ht="21" hidden="1">
      <c r="A83" s="304" t="s">
        <v>723</v>
      </c>
      <c r="B83" s="296" t="s">
        <v>18</v>
      </c>
      <c r="C83" s="297">
        <v>36</v>
      </c>
      <c r="D83" s="297">
        <v>1</v>
      </c>
      <c r="E83" s="297">
        <v>1</v>
      </c>
      <c r="F83" s="297">
        <v>1</v>
      </c>
      <c r="G83" s="446" t="s">
        <v>205</v>
      </c>
      <c r="H83" s="298"/>
      <c r="I83" s="298"/>
      <c r="J83" s="297"/>
      <c r="K83" s="297"/>
      <c r="L83" s="297"/>
      <c r="M83" s="293"/>
    </row>
    <row r="84" spans="1:13" ht="12.5" hidden="1">
      <c r="A84" s="317" t="s">
        <v>206</v>
      </c>
      <c r="B84" s="296" t="s">
        <v>207</v>
      </c>
      <c r="C84" s="297">
        <v>37</v>
      </c>
      <c r="D84" s="297">
        <v>2</v>
      </c>
      <c r="E84" s="297">
        <f>D84+F84-1</f>
        <v>10</v>
      </c>
      <c r="F84" s="297">
        <v>9</v>
      </c>
      <c r="G84" s="446" t="s">
        <v>233</v>
      </c>
      <c r="H84" s="298"/>
      <c r="I84" s="298"/>
      <c r="J84" s="297"/>
      <c r="K84" s="297"/>
      <c r="L84" s="297"/>
      <c r="M84" s="293"/>
    </row>
    <row r="85" spans="1:13" ht="13" hidden="1" thickBot="1">
      <c r="A85" s="326" t="s">
        <v>217</v>
      </c>
      <c r="B85" s="327" t="s">
        <v>1134</v>
      </c>
      <c r="C85" s="328">
        <v>38</v>
      </c>
      <c r="D85" s="328">
        <v>11</v>
      </c>
      <c r="E85" s="328">
        <f>D85+F85-1</f>
        <v>33</v>
      </c>
      <c r="F85" s="328">
        <v>23</v>
      </c>
      <c r="G85" s="459" t="s">
        <v>219</v>
      </c>
      <c r="H85" s="329"/>
      <c r="I85" s="329"/>
      <c r="J85" s="328"/>
      <c r="K85" s="328"/>
      <c r="L85" s="328"/>
      <c r="M85" s="293"/>
    </row>
    <row r="86" spans="1:13" hidden="1"/>
    <row r="87" spans="1:13" hidden="1"/>
    <row r="88" spans="1:13" s="289" customFormat="1" ht="57.75" hidden="1" customHeight="1">
      <c r="A88" s="286" t="s">
        <v>0</v>
      </c>
      <c r="B88" s="287" t="s">
        <v>1</v>
      </c>
      <c r="C88" s="287" t="s">
        <v>2</v>
      </c>
      <c r="D88" s="287" t="s">
        <v>3</v>
      </c>
      <c r="E88" s="287" t="s">
        <v>4</v>
      </c>
      <c r="F88" s="287" t="s">
        <v>5</v>
      </c>
      <c r="G88" s="444" t="s">
        <v>6</v>
      </c>
      <c r="H88" s="287" t="s">
        <v>703</v>
      </c>
      <c r="I88" s="287" t="s">
        <v>704</v>
      </c>
      <c r="J88" s="287" t="s">
        <v>705</v>
      </c>
      <c r="K88" s="287" t="s">
        <v>10</v>
      </c>
      <c r="L88" s="287" t="s">
        <v>706</v>
      </c>
      <c r="M88" s="288"/>
    </row>
    <row r="89" spans="1:13" ht="11.5" hidden="1">
      <c r="A89" s="322" t="s">
        <v>1144</v>
      </c>
      <c r="B89" s="297"/>
      <c r="C89" s="297"/>
      <c r="D89" s="297">
        <v>1</v>
      </c>
      <c r="E89" s="297">
        <v>24</v>
      </c>
      <c r="F89" s="297">
        <v>24</v>
      </c>
      <c r="G89" s="446" t="s">
        <v>210</v>
      </c>
      <c r="H89" s="298"/>
      <c r="I89" s="298"/>
      <c r="J89" s="297"/>
      <c r="K89" s="297"/>
      <c r="L89" s="297"/>
      <c r="M89" s="293"/>
    </row>
    <row r="90" spans="1:13" ht="10.5" hidden="1">
      <c r="A90" s="290" t="s">
        <v>1145</v>
      </c>
      <c r="B90" s="291" t="s">
        <v>14</v>
      </c>
      <c r="C90" s="291">
        <v>1</v>
      </c>
      <c r="D90" s="291">
        <v>1</v>
      </c>
      <c r="E90" s="291">
        <v>24</v>
      </c>
      <c r="F90" s="291">
        <v>24</v>
      </c>
      <c r="G90" s="445"/>
      <c r="H90" s="292"/>
      <c r="I90" s="292"/>
      <c r="J90" s="291"/>
      <c r="K90" s="291"/>
      <c r="L90" s="291"/>
      <c r="M90" s="293"/>
    </row>
    <row r="91" spans="1:13" ht="21" hidden="1">
      <c r="A91" s="295" t="s">
        <v>17</v>
      </c>
      <c r="B91" s="296" t="s">
        <v>18</v>
      </c>
      <c r="C91" s="297">
        <v>2</v>
      </c>
      <c r="D91" s="297">
        <v>1</v>
      </c>
      <c r="E91" s="297">
        <f>D91+F91-1</f>
        <v>1</v>
      </c>
      <c r="F91" s="297">
        <v>1</v>
      </c>
      <c r="G91" s="446" t="s">
        <v>19</v>
      </c>
      <c r="H91" s="298"/>
      <c r="I91" s="298"/>
      <c r="J91" s="297"/>
      <c r="K91" s="297"/>
      <c r="L91" s="297"/>
      <c r="M91" s="293"/>
    </row>
    <row r="92" spans="1:13" ht="12.5" hidden="1">
      <c r="A92" s="295" t="s">
        <v>212</v>
      </c>
      <c r="B92" s="296" t="s">
        <v>213</v>
      </c>
      <c r="C92" s="297">
        <v>3</v>
      </c>
      <c r="D92" s="297">
        <f>E91+1</f>
        <v>2</v>
      </c>
      <c r="E92" s="297">
        <f>D92+F92-1</f>
        <v>9</v>
      </c>
      <c r="F92" s="297">
        <v>8</v>
      </c>
      <c r="G92" s="447" t="s">
        <v>1101</v>
      </c>
      <c r="H92" s="301"/>
      <c r="I92" s="301"/>
      <c r="J92" s="297"/>
      <c r="K92" s="297"/>
      <c r="L92" s="297"/>
      <c r="M92" s="293"/>
    </row>
    <row r="93" spans="1:13" ht="12.5" hidden="1">
      <c r="A93" s="295" t="s">
        <v>215</v>
      </c>
      <c r="B93" s="296" t="s">
        <v>216</v>
      </c>
      <c r="C93" s="297">
        <v>4</v>
      </c>
      <c r="D93" s="297">
        <f>E92+1</f>
        <v>10</v>
      </c>
      <c r="E93" s="297">
        <f>D93+F93-1</f>
        <v>17</v>
      </c>
      <c r="F93" s="297">
        <v>8</v>
      </c>
      <c r="G93" s="447" t="s">
        <v>1003</v>
      </c>
      <c r="H93" s="301"/>
      <c r="I93" s="301"/>
      <c r="J93" s="297"/>
      <c r="K93" s="297"/>
      <c r="L93" s="297"/>
      <c r="M93" s="293"/>
    </row>
    <row r="94" spans="1:13" hidden="1">
      <c r="A94" s="317" t="s">
        <v>217</v>
      </c>
      <c r="B94" s="314" t="s">
        <v>236</v>
      </c>
      <c r="C94" s="297">
        <v>5</v>
      </c>
      <c r="D94" s="297">
        <f>E93+1</f>
        <v>18</v>
      </c>
      <c r="E94" s="297">
        <f>D94+F94-1</f>
        <v>24</v>
      </c>
      <c r="F94" s="297">
        <v>7</v>
      </c>
      <c r="G94" s="446" t="s">
        <v>219</v>
      </c>
      <c r="H94" s="298"/>
      <c r="I94" s="298"/>
      <c r="J94" s="297"/>
      <c r="K94" s="297"/>
      <c r="L94" s="297"/>
      <c r="M94" s="293"/>
    </row>
    <row r="95" spans="1:13" ht="10.5" hidden="1">
      <c r="A95" s="290" t="s">
        <v>1146</v>
      </c>
      <c r="B95" s="291" t="s">
        <v>14</v>
      </c>
      <c r="C95" s="302">
        <v>6</v>
      </c>
      <c r="D95" s="291">
        <v>1</v>
      </c>
      <c r="E95" s="291">
        <v>24</v>
      </c>
      <c r="F95" s="291">
        <v>24</v>
      </c>
      <c r="G95" s="448"/>
      <c r="H95" s="303"/>
      <c r="I95" s="303"/>
      <c r="J95" s="291"/>
      <c r="K95" s="291"/>
      <c r="L95" s="291"/>
      <c r="M95" s="293"/>
    </row>
    <row r="96" spans="1:13" ht="21" hidden="1">
      <c r="A96" s="304" t="s">
        <v>723</v>
      </c>
      <c r="B96" s="296" t="s">
        <v>18</v>
      </c>
      <c r="C96" s="297">
        <v>7</v>
      </c>
      <c r="D96" s="305">
        <v>1</v>
      </c>
      <c r="E96" s="297">
        <f>D96+F96-1</f>
        <v>1</v>
      </c>
      <c r="F96" s="305">
        <v>1</v>
      </c>
      <c r="G96" s="446" t="s">
        <v>38</v>
      </c>
      <c r="H96" s="298"/>
      <c r="I96" s="298"/>
      <c r="J96" s="305"/>
      <c r="K96" s="305"/>
      <c r="L96" s="305"/>
      <c r="M96" s="293"/>
    </row>
    <row r="97" spans="1:13" ht="24" hidden="1" customHeight="1">
      <c r="A97" s="312" t="s">
        <v>277</v>
      </c>
      <c r="B97" s="296" t="s">
        <v>1111</v>
      </c>
      <c r="C97" s="297">
        <v>8</v>
      </c>
      <c r="D97" s="297">
        <f>E96+1</f>
        <v>2</v>
      </c>
      <c r="E97" s="297">
        <f>D97+F97-1</f>
        <v>4</v>
      </c>
      <c r="F97" s="297">
        <v>3</v>
      </c>
      <c r="G97" s="323" t="s">
        <v>1147</v>
      </c>
      <c r="H97" s="298" t="s">
        <v>20</v>
      </c>
      <c r="I97" s="298" t="s">
        <v>1148</v>
      </c>
      <c r="J97" s="324" t="s">
        <v>1149</v>
      </c>
      <c r="K97" s="314" t="s">
        <v>1107</v>
      </c>
      <c r="L97" s="325">
        <v>611</v>
      </c>
      <c r="M97" s="293"/>
    </row>
    <row r="98" spans="1:13" ht="24" hidden="1" customHeight="1">
      <c r="A98" s="312" t="s">
        <v>281</v>
      </c>
      <c r="B98" s="296" t="s">
        <v>1014</v>
      </c>
      <c r="C98" s="297">
        <v>8</v>
      </c>
      <c r="D98" s="297">
        <f>E97+1</f>
        <v>5</v>
      </c>
      <c r="E98" s="297">
        <f>D98+F98-1</f>
        <v>24</v>
      </c>
      <c r="F98" s="297">
        <v>20</v>
      </c>
      <c r="G98" s="323" t="s">
        <v>1150</v>
      </c>
      <c r="H98" s="298" t="s">
        <v>20</v>
      </c>
      <c r="I98" s="298" t="s">
        <v>283</v>
      </c>
      <c r="J98" s="324" t="s">
        <v>1151</v>
      </c>
      <c r="K98" s="314" t="s">
        <v>1107</v>
      </c>
      <c r="L98" s="325">
        <v>611</v>
      </c>
      <c r="M98" s="293"/>
    </row>
    <row r="99" spans="1:13" ht="31.5" hidden="1">
      <c r="A99" s="290" t="s">
        <v>1152</v>
      </c>
      <c r="B99" s="291" t="s">
        <v>14</v>
      </c>
      <c r="C99" s="302">
        <v>35</v>
      </c>
      <c r="D99" s="291">
        <v>1</v>
      </c>
      <c r="E99" s="291">
        <v>24</v>
      </c>
      <c r="F99" s="291">
        <v>24</v>
      </c>
      <c r="G99" s="448"/>
      <c r="H99" s="303"/>
      <c r="I99" s="303"/>
      <c r="J99" s="291"/>
      <c r="K99" s="316" t="s">
        <v>204</v>
      </c>
      <c r="L99" s="316"/>
      <c r="M99" s="316"/>
    </row>
    <row r="100" spans="1:13" ht="21" hidden="1">
      <c r="A100" s="304" t="s">
        <v>723</v>
      </c>
      <c r="B100" s="296" t="s">
        <v>18</v>
      </c>
      <c r="C100" s="297">
        <v>36</v>
      </c>
      <c r="D100" s="297">
        <v>1</v>
      </c>
      <c r="E100" s="297">
        <v>1</v>
      </c>
      <c r="F100" s="297">
        <v>1</v>
      </c>
      <c r="G100" s="446" t="s">
        <v>205</v>
      </c>
      <c r="H100" s="298"/>
      <c r="I100" s="298"/>
      <c r="J100" s="297"/>
      <c r="K100" s="297"/>
      <c r="L100" s="297"/>
      <c r="M100" s="293"/>
    </row>
    <row r="101" spans="1:13" ht="12.5" hidden="1">
      <c r="A101" s="317" t="s">
        <v>206</v>
      </c>
      <c r="B101" s="296" t="s">
        <v>207</v>
      </c>
      <c r="C101" s="297">
        <v>37</v>
      </c>
      <c r="D101" s="297">
        <v>2</v>
      </c>
      <c r="E101" s="297">
        <f>D101+F101-1</f>
        <v>10</v>
      </c>
      <c r="F101" s="297">
        <v>9</v>
      </c>
      <c r="G101" s="446" t="s">
        <v>233</v>
      </c>
      <c r="H101" s="298"/>
      <c r="I101" s="298"/>
      <c r="J101" s="297"/>
      <c r="K101" s="297"/>
      <c r="L101" s="297"/>
      <c r="M101" s="293"/>
    </row>
    <row r="102" spans="1:13" ht="13" hidden="1" thickBot="1">
      <c r="A102" s="326" t="s">
        <v>217</v>
      </c>
      <c r="B102" s="327" t="s">
        <v>1124</v>
      </c>
      <c r="C102" s="328">
        <v>38</v>
      </c>
      <c r="D102" s="328">
        <v>11</v>
      </c>
      <c r="E102" s="328">
        <f>D102+F102-1</f>
        <v>24</v>
      </c>
      <c r="F102" s="328">
        <v>14</v>
      </c>
      <c r="G102" s="459" t="s">
        <v>219</v>
      </c>
      <c r="H102" s="329"/>
      <c r="I102" s="329"/>
      <c r="J102" s="328"/>
      <c r="K102" s="328"/>
      <c r="L102" s="328"/>
      <c r="M102" s="293"/>
    </row>
    <row r="103" spans="1:13" hidden="1"/>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1486-C9EE-4C78-964B-9B054E8E1EAE}">
  <sheetPr codeName="Sheet7"/>
  <dimension ref="A1:N138"/>
  <sheetViews>
    <sheetView topLeftCell="A21" workbookViewId="0">
      <selection activeCell="A33" sqref="A33"/>
    </sheetView>
  </sheetViews>
  <sheetFormatPr defaultColWidth="9.1796875" defaultRowHeight="10"/>
  <cols>
    <col min="1" max="1" width="24.7265625" style="43" bestFit="1" customWidth="1"/>
    <col min="2" max="2" width="18.7265625" style="44" bestFit="1" customWidth="1"/>
    <col min="3" max="3" width="8.1796875" style="44" bestFit="1" customWidth="1"/>
    <col min="4" max="5" width="8.26953125" style="44" bestFit="1" customWidth="1"/>
    <col min="6" max="6" width="7.26953125" style="44" bestFit="1" customWidth="1"/>
    <col min="7" max="7" width="30.81640625" style="45" customWidth="1"/>
    <col min="8" max="8" width="17.1796875" style="46" bestFit="1" customWidth="1"/>
    <col min="9" max="9" width="23.26953125" style="46" customWidth="1"/>
    <col min="10" max="10" width="28.7265625" style="44" bestFit="1" customWidth="1"/>
    <col min="11" max="12" width="9.1796875" style="44"/>
    <col min="13" max="13" width="13.26953125" style="11" customWidth="1"/>
    <col min="14" max="256" width="9.1796875" style="11"/>
    <col min="257" max="257" width="24.7265625" style="11" bestFit="1" customWidth="1"/>
    <col min="258" max="258" width="18.7265625" style="11" bestFit="1" customWidth="1"/>
    <col min="259" max="259" width="8.1796875" style="11" bestFit="1" customWidth="1"/>
    <col min="260" max="261" width="8.26953125" style="11" bestFit="1" customWidth="1"/>
    <col min="262" max="262" width="7.26953125" style="11" bestFit="1" customWidth="1"/>
    <col min="263" max="263" width="30.81640625" style="11" customWidth="1"/>
    <col min="264" max="264" width="17.1796875" style="11" bestFit="1" customWidth="1"/>
    <col min="265" max="265" width="23.26953125" style="11" customWidth="1"/>
    <col min="266" max="266" width="28.7265625" style="11" bestFit="1" customWidth="1"/>
    <col min="267" max="268" width="9.1796875" style="11"/>
    <col min="269" max="269" width="13.26953125" style="11" customWidth="1"/>
    <col min="270" max="512" width="9.1796875" style="11"/>
    <col min="513" max="513" width="24.7265625" style="11" bestFit="1" customWidth="1"/>
    <col min="514" max="514" width="18.7265625" style="11" bestFit="1" customWidth="1"/>
    <col min="515" max="515" width="8.1796875" style="11" bestFit="1" customWidth="1"/>
    <col min="516" max="517" width="8.26953125" style="11" bestFit="1" customWidth="1"/>
    <col min="518" max="518" width="7.26953125" style="11" bestFit="1" customWidth="1"/>
    <col min="519" max="519" width="30.81640625" style="11" customWidth="1"/>
    <col min="520" max="520" width="17.1796875" style="11" bestFit="1" customWidth="1"/>
    <col min="521" max="521" width="23.26953125" style="11" customWidth="1"/>
    <col min="522" max="522" width="28.7265625" style="11" bestFit="1" customWidth="1"/>
    <col min="523" max="524" width="9.1796875" style="11"/>
    <col min="525" max="525" width="13.26953125" style="11" customWidth="1"/>
    <col min="526" max="768" width="9.1796875" style="11"/>
    <col min="769" max="769" width="24.7265625" style="11" bestFit="1" customWidth="1"/>
    <col min="770" max="770" width="18.7265625" style="11" bestFit="1" customWidth="1"/>
    <col min="771" max="771" width="8.1796875" style="11" bestFit="1" customWidth="1"/>
    <col min="772" max="773" width="8.26953125" style="11" bestFit="1" customWidth="1"/>
    <col min="774" max="774" width="7.26953125" style="11" bestFit="1" customWidth="1"/>
    <col min="775" max="775" width="30.81640625" style="11" customWidth="1"/>
    <col min="776" max="776" width="17.1796875" style="11" bestFit="1" customWidth="1"/>
    <col min="777" max="777" width="23.26953125" style="11" customWidth="1"/>
    <col min="778" max="778" width="28.7265625" style="11" bestFit="1" customWidth="1"/>
    <col min="779" max="780" width="9.1796875" style="11"/>
    <col min="781" max="781" width="13.26953125" style="11" customWidth="1"/>
    <col min="782" max="1024" width="9.1796875" style="11"/>
    <col min="1025" max="1025" width="24.7265625" style="11" bestFit="1" customWidth="1"/>
    <col min="1026" max="1026" width="18.7265625" style="11" bestFit="1" customWidth="1"/>
    <col min="1027" max="1027" width="8.1796875" style="11" bestFit="1" customWidth="1"/>
    <col min="1028" max="1029" width="8.26953125" style="11" bestFit="1" customWidth="1"/>
    <col min="1030" max="1030" width="7.26953125" style="11" bestFit="1" customWidth="1"/>
    <col min="1031" max="1031" width="30.81640625" style="11" customWidth="1"/>
    <col min="1032" max="1032" width="17.1796875" style="11" bestFit="1" customWidth="1"/>
    <col min="1033" max="1033" width="23.26953125" style="11" customWidth="1"/>
    <col min="1034" max="1034" width="28.7265625" style="11" bestFit="1" customWidth="1"/>
    <col min="1035" max="1036" width="9.1796875" style="11"/>
    <col min="1037" max="1037" width="13.26953125" style="11" customWidth="1"/>
    <col min="1038" max="1280" width="9.1796875" style="11"/>
    <col min="1281" max="1281" width="24.7265625" style="11" bestFit="1" customWidth="1"/>
    <col min="1282" max="1282" width="18.7265625" style="11" bestFit="1" customWidth="1"/>
    <col min="1283" max="1283" width="8.1796875" style="11" bestFit="1" customWidth="1"/>
    <col min="1284" max="1285" width="8.26953125" style="11" bestFit="1" customWidth="1"/>
    <col min="1286" max="1286" width="7.26953125" style="11" bestFit="1" customWidth="1"/>
    <col min="1287" max="1287" width="30.81640625" style="11" customWidth="1"/>
    <col min="1288" max="1288" width="17.1796875" style="11" bestFit="1" customWidth="1"/>
    <col min="1289" max="1289" width="23.26953125" style="11" customWidth="1"/>
    <col min="1290" max="1290" width="28.7265625" style="11" bestFit="1" customWidth="1"/>
    <col min="1291" max="1292" width="9.1796875" style="11"/>
    <col min="1293" max="1293" width="13.26953125" style="11" customWidth="1"/>
    <col min="1294" max="1536" width="9.1796875" style="11"/>
    <col min="1537" max="1537" width="24.7265625" style="11" bestFit="1" customWidth="1"/>
    <col min="1538" max="1538" width="18.7265625" style="11" bestFit="1" customWidth="1"/>
    <col min="1539" max="1539" width="8.1796875" style="11" bestFit="1" customWidth="1"/>
    <col min="1540" max="1541" width="8.26953125" style="11" bestFit="1" customWidth="1"/>
    <col min="1542" max="1542" width="7.26953125" style="11" bestFit="1" customWidth="1"/>
    <col min="1543" max="1543" width="30.81640625" style="11" customWidth="1"/>
    <col min="1544" max="1544" width="17.1796875" style="11" bestFit="1" customWidth="1"/>
    <col min="1545" max="1545" width="23.26953125" style="11" customWidth="1"/>
    <col min="1546" max="1546" width="28.7265625" style="11" bestFit="1" customWidth="1"/>
    <col min="1547" max="1548" width="9.1796875" style="11"/>
    <col min="1549" max="1549" width="13.26953125" style="11" customWidth="1"/>
    <col min="1550" max="1792" width="9.1796875" style="11"/>
    <col min="1793" max="1793" width="24.7265625" style="11" bestFit="1" customWidth="1"/>
    <col min="1794" max="1794" width="18.7265625" style="11" bestFit="1" customWidth="1"/>
    <col min="1795" max="1795" width="8.1796875" style="11" bestFit="1" customWidth="1"/>
    <col min="1796" max="1797" width="8.26953125" style="11" bestFit="1" customWidth="1"/>
    <col min="1798" max="1798" width="7.26953125" style="11" bestFit="1" customWidth="1"/>
    <col min="1799" max="1799" width="30.81640625" style="11" customWidth="1"/>
    <col min="1800" max="1800" width="17.1796875" style="11" bestFit="1" customWidth="1"/>
    <col min="1801" max="1801" width="23.26953125" style="11" customWidth="1"/>
    <col min="1802" max="1802" width="28.7265625" style="11" bestFit="1" customWidth="1"/>
    <col min="1803" max="1804" width="9.1796875" style="11"/>
    <col min="1805" max="1805" width="13.26953125" style="11" customWidth="1"/>
    <col min="1806" max="2048" width="9.1796875" style="11"/>
    <col min="2049" max="2049" width="24.7265625" style="11" bestFit="1" customWidth="1"/>
    <col min="2050" max="2050" width="18.7265625" style="11" bestFit="1" customWidth="1"/>
    <col min="2051" max="2051" width="8.1796875" style="11" bestFit="1" customWidth="1"/>
    <col min="2052" max="2053" width="8.26953125" style="11" bestFit="1" customWidth="1"/>
    <col min="2054" max="2054" width="7.26953125" style="11" bestFit="1" customWidth="1"/>
    <col min="2055" max="2055" width="30.81640625" style="11" customWidth="1"/>
    <col min="2056" max="2056" width="17.1796875" style="11" bestFit="1" customWidth="1"/>
    <col min="2057" max="2057" width="23.26953125" style="11" customWidth="1"/>
    <col min="2058" max="2058" width="28.7265625" style="11" bestFit="1" customWidth="1"/>
    <col min="2059" max="2060" width="9.1796875" style="11"/>
    <col min="2061" max="2061" width="13.26953125" style="11" customWidth="1"/>
    <col min="2062" max="2304" width="9.1796875" style="11"/>
    <col min="2305" max="2305" width="24.7265625" style="11" bestFit="1" customWidth="1"/>
    <col min="2306" max="2306" width="18.7265625" style="11" bestFit="1" customWidth="1"/>
    <col min="2307" max="2307" width="8.1796875" style="11" bestFit="1" customWidth="1"/>
    <col min="2308" max="2309" width="8.26953125" style="11" bestFit="1" customWidth="1"/>
    <col min="2310" max="2310" width="7.26953125" style="11" bestFit="1" customWidth="1"/>
    <col min="2311" max="2311" width="30.81640625" style="11" customWidth="1"/>
    <col min="2312" max="2312" width="17.1796875" style="11" bestFit="1" customWidth="1"/>
    <col min="2313" max="2313" width="23.26953125" style="11" customWidth="1"/>
    <col min="2314" max="2314" width="28.7265625" style="11" bestFit="1" customWidth="1"/>
    <col min="2315" max="2316" width="9.1796875" style="11"/>
    <col min="2317" max="2317" width="13.26953125" style="11" customWidth="1"/>
    <col min="2318" max="2560" width="9.1796875" style="11"/>
    <col min="2561" max="2561" width="24.7265625" style="11" bestFit="1" customWidth="1"/>
    <col min="2562" max="2562" width="18.7265625" style="11" bestFit="1" customWidth="1"/>
    <col min="2563" max="2563" width="8.1796875" style="11" bestFit="1" customWidth="1"/>
    <col min="2564" max="2565" width="8.26953125" style="11" bestFit="1" customWidth="1"/>
    <col min="2566" max="2566" width="7.26953125" style="11" bestFit="1" customWidth="1"/>
    <col min="2567" max="2567" width="30.81640625" style="11" customWidth="1"/>
    <col min="2568" max="2568" width="17.1796875" style="11" bestFit="1" customWidth="1"/>
    <col min="2569" max="2569" width="23.26953125" style="11" customWidth="1"/>
    <col min="2570" max="2570" width="28.7265625" style="11" bestFit="1" customWidth="1"/>
    <col min="2571" max="2572" width="9.1796875" style="11"/>
    <col min="2573" max="2573" width="13.26953125" style="11" customWidth="1"/>
    <col min="2574" max="2816" width="9.1796875" style="11"/>
    <col min="2817" max="2817" width="24.7265625" style="11" bestFit="1" customWidth="1"/>
    <col min="2818" max="2818" width="18.7265625" style="11" bestFit="1" customWidth="1"/>
    <col min="2819" max="2819" width="8.1796875" style="11" bestFit="1" customWidth="1"/>
    <col min="2820" max="2821" width="8.26953125" style="11" bestFit="1" customWidth="1"/>
    <col min="2822" max="2822" width="7.26953125" style="11" bestFit="1" customWidth="1"/>
    <col min="2823" max="2823" width="30.81640625" style="11" customWidth="1"/>
    <col min="2824" max="2824" width="17.1796875" style="11" bestFit="1" customWidth="1"/>
    <col min="2825" max="2825" width="23.26953125" style="11" customWidth="1"/>
    <col min="2826" max="2826" width="28.7265625" style="11" bestFit="1" customWidth="1"/>
    <col min="2827" max="2828" width="9.1796875" style="11"/>
    <col min="2829" max="2829" width="13.26953125" style="11" customWidth="1"/>
    <col min="2830" max="3072" width="9.1796875" style="11"/>
    <col min="3073" max="3073" width="24.7265625" style="11" bestFit="1" customWidth="1"/>
    <col min="3074" max="3074" width="18.7265625" style="11" bestFit="1" customWidth="1"/>
    <col min="3075" max="3075" width="8.1796875" style="11" bestFit="1" customWidth="1"/>
    <col min="3076" max="3077" width="8.26953125" style="11" bestFit="1" customWidth="1"/>
    <col min="3078" max="3078" width="7.26953125" style="11" bestFit="1" customWidth="1"/>
    <col min="3079" max="3079" width="30.81640625" style="11" customWidth="1"/>
    <col min="3080" max="3080" width="17.1796875" style="11" bestFit="1" customWidth="1"/>
    <col min="3081" max="3081" width="23.26953125" style="11" customWidth="1"/>
    <col min="3082" max="3082" width="28.7265625" style="11" bestFit="1" customWidth="1"/>
    <col min="3083" max="3084" width="9.1796875" style="11"/>
    <col min="3085" max="3085" width="13.26953125" style="11" customWidth="1"/>
    <col min="3086" max="3328" width="9.1796875" style="11"/>
    <col min="3329" max="3329" width="24.7265625" style="11" bestFit="1" customWidth="1"/>
    <col min="3330" max="3330" width="18.7265625" style="11" bestFit="1" customWidth="1"/>
    <col min="3331" max="3331" width="8.1796875" style="11" bestFit="1" customWidth="1"/>
    <col min="3332" max="3333" width="8.26953125" style="11" bestFit="1" customWidth="1"/>
    <col min="3334" max="3334" width="7.26953125" style="11" bestFit="1" customWidth="1"/>
    <col min="3335" max="3335" width="30.81640625" style="11" customWidth="1"/>
    <col min="3336" max="3336" width="17.1796875" style="11" bestFit="1" customWidth="1"/>
    <col min="3337" max="3337" width="23.26953125" style="11" customWidth="1"/>
    <col min="3338" max="3338" width="28.7265625" style="11" bestFit="1" customWidth="1"/>
    <col min="3339" max="3340" width="9.1796875" style="11"/>
    <col min="3341" max="3341" width="13.26953125" style="11" customWidth="1"/>
    <col min="3342" max="3584" width="9.1796875" style="11"/>
    <col min="3585" max="3585" width="24.7265625" style="11" bestFit="1" customWidth="1"/>
    <col min="3586" max="3586" width="18.7265625" style="11" bestFit="1" customWidth="1"/>
    <col min="3587" max="3587" width="8.1796875" style="11" bestFit="1" customWidth="1"/>
    <col min="3588" max="3589" width="8.26953125" style="11" bestFit="1" customWidth="1"/>
    <col min="3590" max="3590" width="7.26953125" style="11" bestFit="1" customWidth="1"/>
    <col min="3591" max="3591" width="30.81640625" style="11" customWidth="1"/>
    <col min="3592" max="3592" width="17.1796875" style="11" bestFit="1" customWidth="1"/>
    <col min="3593" max="3593" width="23.26953125" style="11" customWidth="1"/>
    <col min="3594" max="3594" width="28.7265625" style="11" bestFit="1" customWidth="1"/>
    <col min="3595" max="3596" width="9.1796875" style="11"/>
    <col min="3597" max="3597" width="13.26953125" style="11" customWidth="1"/>
    <col min="3598" max="3840" width="9.1796875" style="11"/>
    <col min="3841" max="3841" width="24.7265625" style="11" bestFit="1" customWidth="1"/>
    <col min="3842" max="3842" width="18.7265625" style="11" bestFit="1" customWidth="1"/>
    <col min="3843" max="3843" width="8.1796875" style="11" bestFit="1" customWidth="1"/>
    <col min="3844" max="3845" width="8.26953125" style="11" bestFit="1" customWidth="1"/>
    <col min="3846" max="3846" width="7.26953125" style="11" bestFit="1" customWidth="1"/>
    <col min="3847" max="3847" width="30.81640625" style="11" customWidth="1"/>
    <col min="3848" max="3848" width="17.1796875" style="11" bestFit="1" customWidth="1"/>
    <col min="3849" max="3849" width="23.26953125" style="11" customWidth="1"/>
    <col min="3850" max="3850" width="28.7265625" style="11" bestFit="1" customWidth="1"/>
    <col min="3851" max="3852" width="9.1796875" style="11"/>
    <col min="3853" max="3853" width="13.26953125" style="11" customWidth="1"/>
    <col min="3854" max="4096" width="9.1796875" style="11"/>
    <col min="4097" max="4097" width="24.7265625" style="11" bestFit="1" customWidth="1"/>
    <col min="4098" max="4098" width="18.7265625" style="11" bestFit="1" customWidth="1"/>
    <col min="4099" max="4099" width="8.1796875" style="11" bestFit="1" customWidth="1"/>
    <col min="4100" max="4101" width="8.26953125" style="11" bestFit="1" customWidth="1"/>
    <col min="4102" max="4102" width="7.26953125" style="11" bestFit="1" customWidth="1"/>
    <col min="4103" max="4103" width="30.81640625" style="11" customWidth="1"/>
    <col min="4104" max="4104" width="17.1796875" style="11" bestFit="1" customWidth="1"/>
    <col min="4105" max="4105" width="23.26953125" style="11" customWidth="1"/>
    <col min="4106" max="4106" width="28.7265625" style="11" bestFit="1" customWidth="1"/>
    <col min="4107" max="4108" width="9.1796875" style="11"/>
    <col min="4109" max="4109" width="13.26953125" style="11" customWidth="1"/>
    <col min="4110" max="4352" width="9.1796875" style="11"/>
    <col min="4353" max="4353" width="24.7265625" style="11" bestFit="1" customWidth="1"/>
    <col min="4354" max="4354" width="18.7265625" style="11" bestFit="1" customWidth="1"/>
    <col min="4355" max="4355" width="8.1796875" style="11" bestFit="1" customWidth="1"/>
    <col min="4356" max="4357" width="8.26953125" style="11" bestFit="1" customWidth="1"/>
    <col min="4358" max="4358" width="7.26953125" style="11" bestFit="1" customWidth="1"/>
    <col min="4359" max="4359" width="30.81640625" style="11" customWidth="1"/>
    <col min="4360" max="4360" width="17.1796875" style="11" bestFit="1" customWidth="1"/>
    <col min="4361" max="4361" width="23.26953125" style="11" customWidth="1"/>
    <col min="4362" max="4362" width="28.7265625" style="11" bestFit="1" customWidth="1"/>
    <col min="4363" max="4364" width="9.1796875" style="11"/>
    <col min="4365" max="4365" width="13.26953125" style="11" customWidth="1"/>
    <col min="4366" max="4608" width="9.1796875" style="11"/>
    <col min="4609" max="4609" width="24.7265625" style="11" bestFit="1" customWidth="1"/>
    <col min="4610" max="4610" width="18.7265625" style="11" bestFit="1" customWidth="1"/>
    <col min="4611" max="4611" width="8.1796875" style="11" bestFit="1" customWidth="1"/>
    <col min="4612" max="4613" width="8.26953125" style="11" bestFit="1" customWidth="1"/>
    <col min="4614" max="4614" width="7.26953125" style="11" bestFit="1" customWidth="1"/>
    <col min="4615" max="4615" width="30.81640625" style="11" customWidth="1"/>
    <col min="4616" max="4616" width="17.1796875" style="11" bestFit="1" customWidth="1"/>
    <col min="4617" max="4617" width="23.26953125" style="11" customWidth="1"/>
    <col min="4618" max="4618" width="28.7265625" style="11" bestFit="1" customWidth="1"/>
    <col min="4619" max="4620" width="9.1796875" style="11"/>
    <col min="4621" max="4621" width="13.26953125" style="11" customWidth="1"/>
    <col min="4622" max="4864" width="9.1796875" style="11"/>
    <col min="4865" max="4865" width="24.7265625" style="11" bestFit="1" customWidth="1"/>
    <col min="4866" max="4866" width="18.7265625" style="11" bestFit="1" customWidth="1"/>
    <col min="4867" max="4867" width="8.1796875" style="11" bestFit="1" customWidth="1"/>
    <col min="4868" max="4869" width="8.26953125" style="11" bestFit="1" customWidth="1"/>
    <col min="4870" max="4870" width="7.26953125" style="11" bestFit="1" customWidth="1"/>
    <col min="4871" max="4871" width="30.81640625" style="11" customWidth="1"/>
    <col min="4872" max="4872" width="17.1796875" style="11" bestFit="1" customWidth="1"/>
    <col min="4873" max="4873" width="23.26953125" style="11" customWidth="1"/>
    <col min="4874" max="4874" width="28.7265625" style="11" bestFit="1" customWidth="1"/>
    <col min="4875" max="4876" width="9.1796875" style="11"/>
    <col min="4877" max="4877" width="13.26953125" style="11" customWidth="1"/>
    <col min="4878" max="5120" width="9.1796875" style="11"/>
    <col min="5121" max="5121" width="24.7265625" style="11" bestFit="1" customWidth="1"/>
    <col min="5122" max="5122" width="18.7265625" style="11" bestFit="1" customWidth="1"/>
    <col min="5123" max="5123" width="8.1796875" style="11" bestFit="1" customWidth="1"/>
    <col min="5124" max="5125" width="8.26953125" style="11" bestFit="1" customWidth="1"/>
    <col min="5126" max="5126" width="7.26953125" style="11" bestFit="1" customWidth="1"/>
    <col min="5127" max="5127" width="30.81640625" style="11" customWidth="1"/>
    <col min="5128" max="5128" width="17.1796875" style="11" bestFit="1" customWidth="1"/>
    <col min="5129" max="5129" width="23.26953125" style="11" customWidth="1"/>
    <col min="5130" max="5130" width="28.7265625" style="11" bestFit="1" customWidth="1"/>
    <col min="5131" max="5132" width="9.1796875" style="11"/>
    <col min="5133" max="5133" width="13.26953125" style="11" customWidth="1"/>
    <col min="5134" max="5376" width="9.1796875" style="11"/>
    <col min="5377" max="5377" width="24.7265625" style="11" bestFit="1" customWidth="1"/>
    <col min="5378" max="5378" width="18.7265625" style="11" bestFit="1" customWidth="1"/>
    <col min="5379" max="5379" width="8.1796875" style="11" bestFit="1" customWidth="1"/>
    <col min="5380" max="5381" width="8.26953125" style="11" bestFit="1" customWidth="1"/>
    <col min="5382" max="5382" width="7.26953125" style="11" bestFit="1" customWidth="1"/>
    <col min="5383" max="5383" width="30.81640625" style="11" customWidth="1"/>
    <col min="5384" max="5384" width="17.1796875" style="11" bestFit="1" customWidth="1"/>
    <col min="5385" max="5385" width="23.26953125" style="11" customWidth="1"/>
    <col min="5386" max="5386" width="28.7265625" style="11" bestFit="1" customWidth="1"/>
    <col min="5387" max="5388" width="9.1796875" style="11"/>
    <col min="5389" max="5389" width="13.26953125" style="11" customWidth="1"/>
    <col min="5390" max="5632" width="9.1796875" style="11"/>
    <col min="5633" max="5633" width="24.7265625" style="11" bestFit="1" customWidth="1"/>
    <col min="5634" max="5634" width="18.7265625" style="11" bestFit="1" customWidth="1"/>
    <col min="5635" max="5635" width="8.1796875" style="11" bestFit="1" customWidth="1"/>
    <col min="5636" max="5637" width="8.26953125" style="11" bestFit="1" customWidth="1"/>
    <col min="5638" max="5638" width="7.26953125" style="11" bestFit="1" customWidth="1"/>
    <col min="5639" max="5639" width="30.81640625" style="11" customWidth="1"/>
    <col min="5640" max="5640" width="17.1796875" style="11" bestFit="1" customWidth="1"/>
    <col min="5641" max="5641" width="23.26953125" style="11" customWidth="1"/>
    <col min="5642" max="5642" width="28.7265625" style="11" bestFit="1" customWidth="1"/>
    <col min="5643" max="5644" width="9.1796875" style="11"/>
    <col min="5645" max="5645" width="13.26953125" style="11" customWidth="1"/>
    <col min="5646" max="5888" width="9.1796875" style="11"/>
    <col min="5889" max="5889" width="24.7265625" style="11" bestFit="1" customWidth="1"/>
    <col min="5890" max="5890" width="18.7265625" style="11" bestFit="1" customWidth="1"/>
    <col min="5891" max="5891" width="8.1796875" style="11" bestFit="1" customWidth="1"/>
    <col min="5892" max="5893" width="8.26953125" style="11" bestFit="1" customWidth="1"/>
    <col min="5894" max="5894" width="7.26953125" style="11" bestFit="1" customWidth="1"/>
    <col min="5895" max="5895" width="30.81640625" style="11" customWidth="1"/>
    <col min="5896" max="5896" width="17.1796875" style="11" bestFit="1" customWidth="1"/>
    <col min="5897" max="5897" width="23.26953125" style="11" customWidth="1"/>
    <col min="5898" max="5898" width="28.7265625" style="11" bestFit="1" customWidth="1"/>
    <col min="5899" max="5900" width="9.1796875" style="11"/>
    <col min="5901" max="5901" width="13.26953125" style="11" customWidth="1"/>
    <col min="5902" max="6144" width="9.1796875" style="11"/>
    <col min="6145" max="6145" width="24.7265625" style="11" bestFit="1" customWidth="1"/>
    <col min="6146" max="6146" width="18.7265625" style="11" bestFit="1" customWidth="1"/>
    <col min="6147" max="6147" width="8.1796875" style="11" bestFit="1" customWidth="1"/>
    <col min="6148" max="6149" width="8.26953125" style="11" bestFit="1" customWidth="1"/>
    <col min="6150" max="6150" width="7.26953125" style="11" bestFit="1" customWidth="1"/>
    <col min="6151" max="6151" width="30.81640625" style="11" customWidth="1"/>
    <col min="6152" max="6152" width="17.1796875" style="11" bestFit="1" customWidth="1"/>
    <col min="6153" max="6153" width="23.26953125" style="11" customWidth="1"/>
    <col min="6154" max="6154" width="28.7265625" style="11" bestFit="1" customWidth="1"/>
    <col min="6155" max="6156" width="9.1796875" style="11"/>
    <col min="6157" max="6157" width="13.26953125" style="11" customWidth="1"/>
    <col min="6158" max="6400" width="9.1796875" style="11"/>
    <col min="6401" max="6401" width="24.7265625" style="11" bestFit="1" customWidth="1"/>
    <col min="6402" max="6402" width="18.7265625" style="11" bestFit="1" customWidth="1"/>
    <col min="6403" max="6403" width="8.1796875" style="11" bestFit="1" customWidth="1"/>
    <col min="6404" max="6405" width="8.26953125" style="11" bestFit="1" customWidth="1"/>
    <col min="6406" max="6406" width="7.26953125" style="11" bestFit="1" customWidth="1"/>
    <col min="6407" max="6407" width="30.81640625" style="11" customWidth="1"/>
    <col min="6408" max="6408" width="17.1796875" style="11" bestFit="1" customWidth="1"/>
    <col min="6409" max="6409" width="23.26953125" style="11" customWidth="1"/>
    <col min="6410" max="6410" width="28.7265625" style="11" bestFit="1" customWidth="1"/>
    <col min="6411" max="6412" width="9.1796875" style="11"/>
    <col min="6413" max="6413" width="13.26953125" style="11" customWidth="1"/>
    <col min="6414" max="6656" width="9.1796875" style="11"/>
    <col min="6657" max="6657" width="24.7265625" style="11" bestFit="1" customWidth="1"/>
    <col min="6658" max="6658" width="18.7265625" style="11" bestFit="1" customWidth="1"/>
    <col min="6659" max="6659" width="8.1796875" style="11" bestFit="1" customWidth="1"/>
    <col min="6660" max="6661" width="8.26953125" style="11" bestFit="1" customWidth="1"/>
    <col min="6662" max="6662" width="7.26953125" style="11" bestFit="1" customWidth="1"/>
    <col min="6663" max="6663" width="30.81640625" style="11" customWidth="1"/>
    <col min="6664" max="6664" width="17.1796875" style="11" bestFit="1" customWidth="1"/>
    <col min="6665" max="6665" width="23.26953125" style="11" customWidth="1"/>
    <col min="6666" max="6666" width="28.7265625" style="11" bestFit="1" customWidth="1"/>
    <col min="6667" max="6668" width="9.1796875" style="11"/>
    <col min="6669" max="6669" width="13.26953125" style="11" customWidth="1"/>
    <col min="6670" max="6912" width="9.1796875" style="11"/>
    <col min="6913" max="6913" width="24.7265625" style="11" bestFit="1" customWidth="1"/>
    <col min="6914" max="6914" width="18.7265625" style="11" bestFit="1" customWidth="1"/>
    <col min="6915" max="6915" width="8.1796875" style="11" bestFit="1" customWidth="1"/>
    <col min="6916" max="6917" width="8.26953125" style="11" bestFit="1" customWidth="1"/>
    <col min="6918" max="6918" width="7.26953125" style="11" bestFit="1" customWidth="1"/>
    <col min="6919" max="6919" width="30.81640625" style="11" customWidth="1"/>
    <col min="6920" max="6920" width="17.1796875" style="11" bestFit="1" customWidth="1"/>
    <col min="6921" max="6921" width="23.26953125" style="11" customWidth="1"/>
    <col min="6922" max="6922" width="28.7265625" style="11" bestFit="1" customWidth="1"/>
    <col min="6923" max="6924" width="9.1796875" style="11"/>
    <col min="6925" max="6925" width="13.26953125" style="11" customWidth="1"/>
    <col min="6926" max="7168" width="9.1796875" style="11"/>
    <col min="7169" max="7169" width="24.7265625" style="11" bestFit="1" customWidth="1"/>
    <col min="7170" max="7170" width="18.7265625" style="11" bestFit="1" customWidth="1"/>
    <col min="7171" max="7171" width="8.1796875" style="11" bestFit="1" customWidth="1"/>
    <col min="7172" max="7173" width="8.26953125" style="11" bestFit="1" customWidth="1"/>
    <col min="7174" max="7174" width="7.26953125" style="11" bestFit="1" customWidth="1"/>
    <col min="7175" max="7175" width="30.81640625" style="11" customWidth="1"/>
    <col min="7176" max="7176" width="17.1796875" style="11" bestFit="1" customWidth="1"/>
    <col min="7177" max="7177" width="23.26953125" style="11" customWidth="1"/>
    <col min="7178" max="7178" width="28.7265625" style="11" bestFit="1" customWidth="1"/>
    <col min="7179" max="7180" width="9.1796875" style="11"/>
    <col min="7181" max="7181" width="13.26953125" style="11" customWidth="1"/>
    <col min="7182" max="7424" width="9.1796875" style="11"/>
    <col min="7425" max="7425" width="24.7265625" style="11" bestFit="1" customWidth="1"/>
    <col min="7426" max="7426" width="18.7265625" style="11" bestFit="1" customWidth="1"/>
    <col min="7427" max="7427" width="8.1796875" style="11" bestFit="1" customWidth="1"/>
    <col min="7428" max="7429" width="8.26953125" style="11" bestFit="1" customWidth="1"/>
    <col min="7430" max="7430" width="7.26953125" style="11" bestFit="1" customWidth="1"/>
    <col min="7431" max="7431" width="30.81640625" style="11" customWidth="1"/>
    <col min="7432" max="7432" width="17.1796875" style="11" bestFit="1" customWidth="1"/>
    <col min="7433" max="7433" width="23.26953125" style="11" customWidth="1"/>
    <col min="7434" max="7434" width="28.7265625" style="11" bestFit="1" customWidth="1"/>
    <col min="7435" max="7436" width="9.1796875" style="11"/>
    <col min="7437" max="7437" width="13.26953125" style="11" customWidth="1"/>
    <col min="7438" max="7680" width="9.1796875" style="11"/>
    <col min="7681" max="7681" width="24.7265625" style="11" bestFit="1" customWidth="1"/>
    <col min="7682" max="7682" width="18.7265625" style="11" bestFit="1" customWidth="1"/>
    <col min="7683" max="7683" width="8.1796875" style="11" bestFit="1" customWidth="1"/>
    <col min="7684" max="7685" width="8.26953125" style="11" bestFit="1" customWidth="1"/>
    <col min="7686" max="7686" width="7.26953125" style="11" bestFit="1" customWidth="1"/>
    <col min="7687" max="7687" width="30.81640625" style="11" customWidth="1"/>
    <col min="7688" max="7688" width="17.1796875" style="11" bestFit="1" customWidth="1"/>
    <col min="7689" max="7689" width="23.26953125" style="11" customWidth="1"/>
    <col min="7690" max="7690" width="28.7265625" style="11" bestFit="1" customWidth="1"/>
    <col min="7691" max="7692" width="9.1796875" style="11"/>
    <col min="7693" max="7693" width="13.26953125" style="11" customWidth="1"/>
    <col min="7694" max="7936" width="9.1796875" style="11"/>
    <col min="7937" max="7937" width="24.7265625" style="11" bestFit="1" customWidth="1"/>
    <col min="7938" max="7938" width="18.7265625" style="11" bestFit="1" customWidth="1"/>
    <col min="7939" max="7939" width="8.1796875" style="11" bestFit="1" customWidth="1"/>
    <col min="7940" max="7941" width="8.26953125" style="11" bestFit="1" customWidth="1"/>
    <col min="7942" max="7942" width="7.26953125" style="11" bestFit="1" customWidth="1"/>
    <col min="7943" max="7943" width="30.81640625" style="11" customWidth="1"/>
    <col min="7944" max="7944" width="17.1796875" style="11" bestFit="1" customWidth="1"/>
    <col min="7945" max="7945" width="23.26953125" style="11" customWidth="1"/>
    <col min="7946" max="7946" width="28.7265625" style="11" bestFit="1" customWidth="1"/>
    <col min="7947" max="7948" width="9.1796875" style="11"/>
    <col min="7949" max="7949" width="13.26953125" style="11" customWidth="1"/>
    <col min="7950" max="8192" width="9.1796875" style="11"/>
    <col min="8193" max="8193" width="24.7265625" style="11" bestFit="1" customWidth="1"/>
    <col min="8194" max="8194" width="18.7265625" style="11" bestFit="1" customWidth="1"/>
    <col min="8195" max="8195" width="8.1796875" style="11" bestFit="1" customWidth="1"/>
    <col min="8196" max="8197" width="8.26953125" style="11" bestFit="1" customWidth="1"/>
    <col min="8198" max="8198" width="7.26953125" style="11" bestFit="1" customWidth="1"/>
    <col min="8199" max="8199" width="30.81640625" style="11" customWidth="1"/>
    <col min="8200" max="8200" width="17.1796875" style="11" bestFit="1" customWidth="1"/>
    <col min="8201" max="8201" width="23.26953125" style="11" customWidth="1"/>
    <col min="8202" max="8202" width="28.7265625" style="11" bestFit="1" customWidth="1"/>
    <col min="8203" max="8204" width="9.1796875" style="11"/>
    <col min="8205" max="8205" width="13.26953125" style="11" customWidth="1"/>
    <col min="8206" max="8448" width="9.1796875" style="11"/>
    <col min="8449" max="8449" width="24.7265625" style="11" bestFit="1" customWidth="1"/>
    <col min="8450" max="8450" width="18.7265625" style="11" bestFit="1" customWidth="1"/>
    <col min="8451" max="8451" width="8.1796875" style="11" bestFit="1" customWidth="1"/>
    <col min="8452" max="8453" width="8.26953125" style="11" bestFit="1" customWidth="1"/>
    <col min="8454" max="8454" width="7.26953125" style="11" bestFit="1" customWidth="1"/>
    <col min="8455" max="8455" width="30.81640625" style="11" customWidth="1"/>
    <col min="8456" max="8456" width="17.1796875" style="11" bestFit="1" customWidth="1"/>
    <col min="8457" max="8457" width="23.26953125" style="11" customWidth="1"/>
    <col min="8458" max="8458" width="28.7265625" style="11" bestFit="1" customWidth="1"/>
    <col min="8459" max="8460" width="9.1796875" style="11"/>
    <col min="8461" max="8461" width="13.26953125" style="11" customWidth="1"/>
    <col min="8462" max="8704" width="9.1796875" style="11"/>
    <col min="8705" max="8705" width="24.7265625" style="11" bestFit="1" customWidth="1"/>
    <col min="8706" max="8706" width="18.7265625" style="11" bestFit="1" customWidth="1"/>
    <col min="8707" max="8707" width="8.1796875" style="11" bestFit="1" customWidth="1"/>
    <col min="8708" max="8709" width="8.26953125" style="11" bestFit="1" customWidth="1"/>
    <col min="8710" max="8710" width="7.26953125" style="11" bestFit="1" customWidth="1"/>
    <col min="8711" max="8711" width="30.81640625" style="11" customWidth="1"/>
    <col min="8712" max="8712" width="17.1796875" style="11" bestFit="1" customWidth="1"/>
    <col min="8713" max="8713" width="23.26953125" style="11" customWidth="1"/>
    <col min="8714" max="8714" width="28.7265625" style="11" bestFit="1" customWidth="1"/>
    <col min="8715" max="8716" width="9.1796875" style="11"/>
    <col min="8717" max="8717" width="13.26953125" style="11" customWidth="1"/>
    <col min="8718" max="8960" width="9.1796875" style="11"/>
    <col min="8961" max="8961" width="24.7265625" style="11" bestFit="1" customWidth="1"/>
    <col min="8962" max="8962" width="18.7265625" style="11" bestFit="1" customWidth="1"/>
    <col min="8963" max="8963" width="8.1796875" style="11" bestFit="1" customWidth="1"/>
    <col min="8964" max="8965" width="8.26953125" style="11" bestFit="1" customWidth="1"/>
    <col min="8966" max="8966" width="7.26953125" style="11" bestFit="1" customWidth="1"/>
    <col min="8967" max="8967" width="30.81640625" style="11" customWidth="1"/>
    <col min="8968" max="8968" width="17.1796875" style="11" bestFit="1" customWidth="1"/>
    <col min="8969" max="8969" width="23.26953125" style="11" customWidth="1"/>
    <col min="8970" max="8970" width="28.7265625" style="11" bestFit="1" customWidth="1"/>
    <col min="8971" max="8972" width="9.1796875" style="11"/>
    <col min="8973" max="8973" width="13.26953125" style="11" customWidth="1"/>
    <col min="8974" max="9216" width="9.1796875" style="11"/>
    <col min="9217" max="9217" width="24.7265625" style="11" bestFit="1" customWidth="1"/>
    <col min="9218" max="9218" width="18.7265625" style="11" bestFit="1" customWidth="1"/>
    <col min="9219" max="9219" width="8.1796875" style="11" bestFit="1" customWidth="1"/>
    <col min="9220" max="9221" width="8.26953125" style="11" bestFit="1" customWidth="1"/>
    <col min="9222" max="9222" width="7.26953125" style="11" bestFit="1" customWidth="1"/>
    <col min="9223" max="9223" width="30.81640625" style="11" customWidth="1"/>
    <col min="9224" max="9224" width="17.1796875" style="11" bestFit="1" customWidth="1"/>
    <col min="9225" max="9225" width="23.26953125" style="11" customWidth="1"/>
    <col min="9226" max="9226" width="28.7265625" style="11" bestFit="1" customWidth="1"/>
    <col min="9227" max="9228" width="9.1796875" style="11"/>
    <col min="9229" max="9229" width="13.26953125" style="11" customWidth="1"/>
    <col min="9230" max="9472" width="9.1796875" style="11"/>
    <col min="9473" max="9473" width="24.7265625" style="11" bestFit="1" customWidth="1"/>
    <col min="9474" max="9474" width="18.7265625" style="11" bestFit="1" customWidth="1"/>
    <col min="9475" max="9475" width="8.1796875" style="11" bestFit="1" customWidth="1"/>
    <col min="9476" max="9477" width="8.26953125" style="11" bestFit="1" customWidth="1"/>
    <col min="9478" max="9478" width="7.26953125" style="11" bestFit="1" customWidth="1"/>
    <col min="9479" max="9479" width="30.81640625" style="11" customWidth="1"/>
    <col min="9480" max="9480" width="17.1796875" style="11" bestFit="1" customWidth="1"/>
    <col min="9481" max="9481" width="23.26953125" style="11" customWidth="1"/>
    <col min="9482" max="9482" width="28.7265625" style="11" bestFit="1" customWidth="1"/>
    <col min="9483" max="9484" width="9.1796875" style="11"/>
    <col min="9485" max="9485" width="13.26953125" style="11" customWidth="1"/>
    <col min="9486" max="9728" width="9.1796875" style="11"/>
    <col min="9729" max="9729" width="24.7265625" style="11" bestFit="1" customWidth="1"/>
    <col min="9730" max="9730" width="18.7265625" style="11" bestFit="1" customWidth="1"/>
    <col min="9731" max="9731" width="8.1796875" style="11" bestFit="1" customWidth="1"/>
    <col min="9732" max="9733" width="8.26953125" style="11" bestFit="1" customWidth="1"/>
    <col min="9734" max="9734" width="7.26953125" style="11" bestFit="1" customWidth="1"/>
    <col min="9735" max="9735" width="30.81640625" style="11" customWidth="1"/>
    <col min="9736" max="9736" width="17.1796875" style="11" bestFit="1" customWidth="1"/>
    <col min="9737" max="9737" width="23.26953125" style="11" customWidth="1"/>
    <col min="9738" max="9738" width="28.7265625" style="11" bestFit="1" customWidth="1"/>
    <col min="9739" max="9740" width="9.1796875" style="11"/>
    <col min="9741" max="9741" width="13.26953125" style="11" customWidth="1"/>
    <col min="9742" max="9984" width="9.1796875" style="11"/>
    <col min="9985" max="9985" width="24.7265625" style="11" bestFit="1" customWidth="1"/>
    <col min="9986" max="9986" width="18.7265625" style="11" bestFit="1" customWidth="1"/>
    <col min="9987" max="9987" width="8.1796875" style="11" bestFit="1" customWidth="1"/>
    <col min="9988" max="9989" width="8.26953125" style="11" bestFit="1" customWidth="1"/>
    <col min="9990" max="9990" width="7.26953125" style="11" bestFit="1" customWidth="1"/>
    <col min="9991" max="9991" width="30.81640625" style="11" customWidth="1"/>
    <col min="9992" max="9992" width="17.1796875" style="11" bestFit="1" customWidth="1"/>
    <col min="9993" max="9993" width="23.26953125" style="11" customWidth="1"/>
    <col min="9994" max="9994" width="28.7265625" style="11" bestFit="1" customWidth="1"/>
    <col min="9995" max="9996" width="9.1796875" style="11"/>
    <col min="9997" max="9997" width="13.26953125" style="11" customWidth="1"/>
    <col min="9998" max="10240" width="9.1796875" style="11"/>
    <col min="10241" max="10241" width="24.7265625" style="11" bestFit="1" customWidth="1"/>
    <col min="10242" max="10242" width="18.7265625" style="11" bestFit="1" customWidth="1"/>
    <col min="10243" max="10243" width="8.1796875" style="11" bestFit="1" customWidth="1"/>
    <col min="10244" max="10245" width="8.26953125" style="11" bestFit="1" customWidth="1"/>
    <col min="10246" max="10246" width="7.26953125" style="11" bestFit="1" customWidth="1"/>
    <col min="10247" max="10247" width="30.81640625" style="11" customWidth="1"/>
    <col min="10248" max="10248" width="17.1796875" style="11" bestFit="1" customWidth="1"/>
    <col min="10249" max="10249" width="23.26953125" style="11" customWidth="1"/>
    <col min="10250" max="10250" width="28.7265625" style="11" bestFit="1" customWidth="1"/>
    <col min="10251" max="10252" width="9.1796875" style="11"/>
    <col min="10253" max="10253" width="13.26953125" style="11" customWidth="1"/>
    <col min="10254" max="10496" width="9.1796875" style="11"/>
    <col min="10497" max="10497" width="24.7265625" style="11" bestFit="1" customWidth="1"/>
    <col min="10498" max="10498" width="18.7265625" style="11" bestFit="1" customWidth="1"/>
    <col min="10499" max="10499" width="8.1796875" style="11" bestFit="1" customWidth="1"/>
    <col min="10500" max="10501" width="8.26953125" style="11" bestFit="1" customWidth="1"/>
    <col min="10502" max="10502" width="7.26953125" style="11" bestFit="1" customWidth="1"/>
    <col min="10503" max="10503" width="30.81640625" style="11" customWidth="1"/>
    <col min="10504" max="10504" width="17.1796875" style="11" bestFit="1" customWidth="1"/>
    <col min="10505" max="10505" width="23.26953125" style="11" customWidth="1"/>
    <col min="10506" max="10506" width="28.7265625" style="11" bestFit="1" customWidth="1"/>
    <col min="10507" max="10508" width="9.1796875" style="11"/>
    <col min="10509" max="10509" width="13.26953125" style="11" customWidth="1"/>
    <col min="10510" max="10752" width="9.1796875" style="11"/>
    <col min="10753" max="10753" width="24.7265625" style="11" bestFit="1" customWidth="1"/>
    <col min="10754" max="10754" width="18.7265625" style="11" bestFit="1" customWidth="1"/>
    <col min="10755" max="10755" width="8.1796875" style="11" bestFit="1" customWidth="1"/>
    <col min="10756" max="10757" width="8.26953125" style="11" bestFit="1" customWidth="1"/>
    <col min="10758" max="10758" width="7.26953125" style="11" bestFit="1" customWidth="1"/>
    <col min="10759" max="10759" width="30.81640625" style="11" customWidth="1"/>
    <col min="10760" max="10760" width="17.1796875" style="11" bestFit="1" customWidth="1"/>
    <col min="10761" max="10761" width="23.26953125" style="11" customWidth="1"/>
    <col min="10762" max="10762" width="28.7265625" style="11" bestFit="1" customWidth="1"/>
    <col min="10763" max="10764" width="9.1796875" style="11"/>
    <col min="10765" max="10765" width="13.26953125" style="11" customWidth="1"/>
    <col min="10766" max="11008" width="9.1796875" style="11"/>
    <col min="11009" max="11009" width="24.7265625" style="11" bestFit="1" customWidth="1"/>
    <col min="11010" max="11010" width="18.7265625" style="11" bestFit="1" customWidth="1"/>
    <col min="11011" max="11011" width="8.1796875" style="11" bestFit="1" customWidth="1"/>
    <col min="11012" max="11013" width="8.26953125" style="11" bestFit="1" customWidth="1"/>
    <col min="11014" max="11014" width="7.26953125" style="11" bestFit="1" customWidth="1"/>
    <col min="11015" max="11015" width="30.81640625" style="11" customWidth="1"/>
    <col min="11016" max="11016" width="17.1796875" style="11" bestFit="1" customWidth="1"/>
    <col min="11017" max="11017" width="23.26953125" style="11" customWidth="1"/>
    <col min="11018" max="11018" width="28.7265625" style="11" bestFit="1" customWidth="1"/>
    <col min="11019" max="11020" width="9.1796875" style="11"/>
    <col min="11021" max="11021" width="13.26953125" style="11" customWidth="1"/>
    <col min="11022" max="11264" width="9.1796875" style="11"/>
    <col min="11265" max="11265" width="24.7265625" style="11" bestFit="1" customWidth="1"/>
    <col min="11266" max="11266" width="18.7265625" style="11" bestFit="1" customWidth="1"/>
    <col min="11267" max="11267" width="8.1796875" style="11" bestFit="1" customWidth="1"/>
    <col min="11268" max="11269" width="8.26953125" style="11" bestFit="1" customWidth="1"/>
    <col min="11270" max="11270" width="7.26953125" style="11" bestFit="1" customWidth="1"/>
    <col min="11271" max="11271" width="30.81640625" style="11" customWidth="1"/>
    <col min="11272" max="11272" width="17.1796875" style="11" bestFit="1" customWidth="1"/>
    <col min="11273" max="11273" width="23.26953125" style="11" customWidth="1"/>
    <col min="11274" max="11274" width="28.7265625" style="11" bestFit="1" customWidth="1"/>
    <col min="11275" max="11276" width="9.1796875" style="11"/>
    <col min="11277" max="11277" width="13.26953125" style="11" customWidth="1"/>
    <col min="11278" max="11520" width="9.1796875" style="11"/>
    <col min="11521" max="11521" width="24.7265625" style="11" bestFit="1" customWidth="1"/>
    <col min="11522" max="11522" width="18.7265625" style="11" bestFit="1" customWidth="1"/>
    <col min="11523" max="11523" width="8.1796875" style="11" bestFit="1" customWidth="1"/>
    <col min="11524" max="11525" width="8.26953125" style="11" bestFit="1" customWidth="1"/>
    <col min="11526" max="11526" width="7.26953125" style="11" bestFit="1" customWidth="1"/>
    <col min="11527" max="11527" width="30.81640625" style="11" customWidth="1"/>
    <col min="11528" max="11528" width="17.1796875" style="11" bestFit="1" customWidth="1"/>
    <col min="11529" max="11529" width="23.26953125" style="11" customWidth="1"/>
    <col min="11530" max="11530" width="28.7265625" style="11" bestFit="1" customWidth="1"/>
    <col min="11531" max="11532" width="9.1796875" style="11"/>
    <col min="11533" max="11533" width="13.26953125" style="11" customWidth="1"/>
    <col min="11534" max="11776" width="9.1796875" style="11"/>
    <col min="11777" max="11777" width="24.7265625" style="11" bestFit="1" customWidth="1"/>
    <col min="11778" max="11778" width="18.7265625" style="11" bestFit="1" customWidth="1"/>
    <col min="11779" max="11779" width="8.1796875" style="11" bestFit="1" customWidth="1"/>
    <col min="11780" max="11781" width="8.26953125" style="11" bestFit="1" customWidth="1"/>
    <col min="11782" max="11782" width="7.26953125" style="11" bestFit="1" customWidth="1"/>
    <col min="11783" max="11783" width="30.81640625" style="11" customWidth="1"/>
    <col min="11784" max="11784" width="17.1796875" style="11" bestFit="1" customWidth="1"/>
    <col min="11785" max="11785" width="23.26953125" style="11" customWidth="1"/>
    <col min="11786" max="11786" width="28.7265625" style="11" bestFit="1" customWidth="1"/>
    <col min="11787" max="11788" width="9.1796875" style="11"/>
    <col min="11789" max="11789" width="13.26953125" style="11" customWidth="1"/>
    <col min="11790" max="12032" width="9.1796875" style="11"/>
    <col min="12033" max="12033" width="24.7265625" style="11" bestFit="1" customWidth="1"/>
    <col min="12034" max="12034" width="18.7265625" style="11" bestFit="1" customWidth="1"/>
    <col min="12035" max="12035" width="8.1796875" style="11" bestFit="1" customWidth="1"/>
    <col min="12036" max="12037" width="8.26953125" style="11" bestFit="1" customWidth="1"/>
    <col min="12038" max="12038" width="7.26953125" style="11" bestFit="1" customWidth="1"/>
    <col min="12039" max="12039" width="30.81640625" style="11" customWidth="1"/>
    <col min="12040" max="12040" width="17.1796875" style="11" bestFit="1" customWidth="1"/>
    <col min="12041" max="12041" width="23.26953125" style="11" customWidth="1"/>
    <col min="12042" max="12042" width="28.7265625" style="11" bestFit="1" customWidth="1"/>
    <col min="12043" max="12044" width="9.1796875" style="11"/>
    <col min="12045" max="12045" width="13.26953125" style="11" customWidth="1"/>
    <col min="12046" max="12288" width="9.1796875" style="11"/>
    <col min="12289" max="12289" width="24.7265625" style="11" bestFit="1" customWidth="1"/>
    <col min="12290" max="12290" width="18.7265625" style="11" bestFit="1" customWidth="1"/>
    <col min="12291" max="12291" width="8.1796875" style="11" bestFit="1" customWidth="1"/>
    <col min="12292" max="12293" width="8.26953125" style="11" bestFit="1" customWidth="1"/>
    <col min="12294" max="12294" width="7.26953125" style="11" bestFit="1" customWidth="1"/>
    <col min="12295" max="12295" width="30.81640625" style="11" customWidth="1"/>
    <col min="12296" max="12296" width="17.1796875" style="11" bestFit="1" customWidth="1"/>
    <col min="12297" max="12297" width="23.26953125" style="11" customWidth="1"/>
    <col min="12298" max="12298" width="28.7265625" style="11" bestFit="1" customWidth="1"/>
    <col min="12299" max="12300" width="9.1796875" style="11"/>
    <col min="12301" max="12301" width="13.26953125" style="11" customWidth="1"/>
    <col min="12302" max="12544" width="9.1796875" style="11"/>
    <col min="12545" max="12545" width="24.7265625" style="11" bestFit="1" customWidth="1"/>
    <col min="12546" max="12546" width="18.7265625" style="11" bestFit="1" customWidth="1"/>
    <col min="12547" max="12547" width="8.1796875" style="11" bestFit="1" customWidth="1"/>
    <col min="12548" max="12549" width="8.26953125" style="11" bestFit="1" customWidth="1"/>
    <col min="12550" max="12550" width="7.26953125" style="11" bestFit="1" customWidth="1"/>
    <col min="12551" max="12551" width="30.81640625" style="11" customWidth="1"/>
    <col min="12552" max="12552" width="17.1796875" style="11" bestFit="1" customWidth="1"/>
    <col min="12553" max="12553" width="23.26953125" style="11" customWidth="1"/>
    <col min="12554" max="12554" width="28.7265625" style="11" bestFit="1" customWidth="1"/>
    <col min="12555" max="12556" width="9.1796875" style="11"/>
    <col min="12557" max="12557" width="13.26953125" style="11" customWidth="1"/>
    <col min="12558" max="12800" width="9.1796875" style="11"/>
    <col min="12801" max="12801" width="24.7265625" style="11" bestFit="1" customWidth="1"/>
    <col min="12802" max="12802" width="18.7265625" style="11" bestFit="1" customWidth="1"/>
    <col min="12803" max="12803" width="8.1796875" style="11" bestFit="1" customWidth="1"/>
    <col min="12804" max="12805" width="8.26953125" style="11" bestFit="1" customWidth="1"/>
    <col min="12806" max="12806" width="7.26953125" style="11" bestFit="1" customWidth="1"/>
    <col min="12807" max="12807" width="30.81640625" style="11" customWidth="1"/>
    <col min="12808" max="12808" width="17.1796875" style="11" bestFit="1" customWidth="1"/>
    <col min="12809" max="12809" width="23.26953125" style="11" customWidth="1"/>
    <col min="12810" max="12810" width="28.7265625" style="11" bestFit="1" customWidth="1"/>
    <col min="12811" max="12812" width="9.1796875" style="11"/>
    <col min="12813" max="12813" width="13.26953125" style="11" customWidth="1"/>
    <col min="12814" max="13056" width="9.1796875" style="11"/>
    <col min="13057" max="13057" width="24.7265625" style="11" bestFit="1" customWidth="1"/>
    <col min="13058" max="13058" width="18.7265625" style="11" bestFit="1" customWidth="1"/>
    <col min="13059" max="13059" width="8.1796875" style="11" bestFit="1" customWidth="1"/>
    <col min="13060" max="13061" width="8.26953125" style="11" bestFit="1" customWidth="1"/>
    <col min="13062" max="13062" width="7.26953125" style="11" bestFit="1" customWidth="1"/>
    <col min="13063" max="13063" width="30.81640625" style="11" customWidth="1"/>
    <col min="13064" max="13064" width="17.1796875" style="11" bestFit="1" customWidth="1"/>
    <col min="13065" max="13065" width="23.26953125" style="11" customWidth="1"/>
    <col min="13066" max="13066" width="28.7265625" style="11" bestFit="1" customWidth="1"/>
    <col min="13067" max="13068" width="9.1796875" style="11"/>
    <col min="13069" max="13069" width="13.26953125" style="11" customWidth="1"/>
    <col min="13070" max="13312" width="9.1796875" style="11"/>
    <col min="13313" max="13313" width="24.7265625" style="11" bestFit="1" customWidth="1"/>
    <col min="13314" max="13314" width="18.7265625" style="11" bestFit="1" customWidth="1"/>
    <col min="13315" max="13315" width="8.1796875" style="11" bestFit="1" customWidth="1"/>
    <col min="13316" max="13317" width="8.26953125" style="11" bestFit="1" customWidth="1"/>
    <col min="13318" max="13318" width="7.26953125" style="11" bestFit="1" customWidth="1"/>
    <col min="13319" max="13319" width="30.81640625" style="11" customWidth="1"/>
    <col min="13320" max="13320" width="17.1796875" style="11" bestFit="1" customWidth="1"/>
    <col min="13321" max="13321" width="23.26953125" style="11" customWidth="1"/>
    <col min="13322" max="13322" width="28.7265625" style="11" bestFit="1" customWidth="1"/>
    <col min="13323" max="13324" width="9.1796875" style="11"/>
    <col min="13325" max="13325" width="13.26953125" style="11" customWidth="1"/>
    <col min="13326" max="13568" width="9.1796875" style="11"/>
    <col min="13569" max="13569" width="24.7265625" style="11" bestFit="1" customWidth="1"/>
    <col min="13570" max="13570" width="18.7265625" style="11" bestFit="1" customWidth="1"/>
    <col min="13571" max="13571" width="8.1796875" style="11" bestFit="1" customWidth="1"/>
    <col min="13572" max="13573" width="8.26953125" style="11" bestFit="1" customWidth="1"/>
    <col min="13574" max="13574" width="7.26953125" style="11" bestFit="1" customWidth="1"/>
    <col min="13575" max="13575" width="30.81640625" style="11" customWidth="1"/>
    <col min="13576" max="13576" width="17.1796875" style="11" bestFit="1" customWidth="1"/>
    <col min="13577" max="13577" width="23.26953125" style="11" customWidth="1"/>
    <col min="13578" max="13578" width="28.7265625" style="11" bestFit="1" customWidth="1"/>
    <col min="13579" max="13580" width="9.1796875" style="11"/>
    <col min="13581" max="13581" width="13.26953125" style="11" customWidth="1"/>
    <col min="13582" max="13824" width="9.1796875" style="11"/>
    <col min="13825" max="13825" width="24.7265625" style="11" bestFit="1" customWidth="1"/>
    <col min="13826" max="13826" width="18.7265625" style="11" bestFit="1" customWidth="1"/>
    <col min="13827" max="13827" width="8.1796875" style="11" bestFit="1" customWidth="1"/>
    <col min="13828" max="13829" width="8.26953125" style="11" bestFit="1" customWidth="1"/>
    <col min="13830" max="13830" width="7.26953125" style="11" bestFit="1" customWidth="1"/>
    <col min="13831" max="13831" width="30.81640625" style="11" customWidth="1"/>
    <col min="13832" max="13832" width="17.1796875" style="11" bestFit="1" customWidth="1"/>
    <col min="13833" max="13833" width="23.26953125" style="11" customWidth="1"/>
    <col min="13834" max="13834" width="28.7265625" style="11" bestFit="1" customWidth="1"/>
    <col min="13835" max="13836" width="9.1796875" style="11"/>
    <col min="13837" max="13837" width="13.26953125" style="11" customWidth="1"/>
    <col min="13838" max="14080" width="9.1796875" style="11"/>
    <col min="14081" max="14081" width="24.7265625" style="11" bestFit="1" customWidth="1"/>
    <col min="14082" max="14082" width="18.7265625" style="11" bestFit="1" customWidth="1"/>
    <col min="14083" max="14083" width="8.1796875" style="11" bestFit="1" customWidth="1"/>
    <col min="14084" max="14085" width="8.26953125" style="11" bestFit="1" customWidth="1"/>
    <col min="14086" max="14086" width="7.26953125" style="11" bestFit="1" customWidth="1"/>
    <col min="14087" max="14087" width="30.81640625" style="11" customWidth="1"/>
    <col min="14088" max="14088" width="17.1796875" style="11" bestFit="1" customWidth="1"/>
    <col min="14089" max="14089" width="23.26953125" style="11" customWidth="1"/>
    <col min="14090" max="14090" width="28.7265625" style="11" bestFit="1" customWidth="1"/>
    <col min="14091" max="14092" width="9.1796875" style="11"/>
    <col min="14093" max="14093" width="13.26953125" style="11" customWidth="1"/>
    <col min="14094" max="14336" width="9.1796875" style="11"/>
    <col min="14337" max="14337" width="24.7265625" style="11" bestFit="1" customWidth="1"/>
    <col min="14338" max="14338" width="18.7265625" style="11" bestFit="1" customWidth="1"/>
    <col min="14339" max="14339" width="8.1796875" style="11" bestFit="1" customWidth="1"/>
    <col min="14340" max="14341" width="8.26953125" style="11" bestFit="1" customWidth="1"/>
    <col min="14342" max="14342" width="7.26953125" style="11" bestFit="1" customWidth="1"/>
    <col min="14343" max="14343" width="30.81640625" style="11" customWidth="1"/>
    <col min="14344" max="14344" width="17.1796875" style="11" bestFit="1" customWidth="1"/>
    <col min="14345" max="14345" width="23.26953125" style="11" customWidth="1"/>
    <col min="14346" max="14346" width="28.7265625" style="11" bestFit="1" customWidth="1"/>
    <col min="14347" max="14348" width="9.1796875" style="11"/>
    <col min="14349" max="14349" width="13.26953125" style="11" customWidth="1"/>
    <col min="14350" max="14592" width="9.1796875" style="11"/>
    <col min="14593" max="14593" width="24.7265625" style="11" bestFit="1" customWidth="1"/>
    <col min="14594" max="14594" width="18.7265625" style="11" bestFit="1" customWidth="1"/>
    <col min="14595" max="14595" width="8.1796875" style="11" bestFit="1" customWidth="1"/>
    <col min="14596" max="14597" width="8.26953125" style="11" bestFit="1" customWidth="1"/>
    <col min="14598" max="14598" width="7.26953125" style="11" bestFit="1" customWidth="1"/>
    <col min="14599" max="14599" width="30.81640625" style="11" customWidth="1"/>
    <col min="14600" max="14600" width="17.1796875" style="11" bestFit="1" customWidth="1"/>
    <col min="14601" max="14601" width="23.26953125" style="11" customWidth="1"/>
    <col min="14602" max="14602" width="28.7265625" style="11" bestFit="1" customWidth="1"/>
    <col min="14603" max="14604" width="9.1796875" style="11"/>
    <col min="14605" max="14605" width="13.26953125" style="11" customWidth="1"/>
    <col min="14606" max="14848" width="9.1796875" style="11"/>
    <col min="14849" max="14849" width="24.7265625" style="11" bestFit="1" customWidth="1"/>
    <col min="14850" max="14850" width="18.7265625" style="11" bestFit="1" customWidth="1"/>
    <col min="14851" max="14851" width="8.1796875" style="11" bestFit="1" customWidth="1"/>
    <col min="14852" max="14853" width="8.26953125" style="11" bestFit="1" customWidth="1"/>
    <col min="14854" max="14854" width="7.26953125" style="11" bestFit="1" customWidth="1"/>
    <col min="14855" max="14855" width="30.81640625" style="11" customWidth="1"/>
    <col min="14856" max="14856" width="17.1796875" style="11" bestFit="1" customWidth="1"/>
    <col min="14857" max="14857" width="23.26953125" style="11" customWidth="1"/>
    <col min="14858" max="14858" width="28.7265625" style="11" bestFit="1" customWidth="1"/>
    <col min="14859" max="14860" width="9.1796875" style="11"/>
    <col min="14861" max="14861" width="13.26953125" style="11" customWidth="1"/>
    <col min="14862" max="15104" width="9.1796875" style="11"/>
    <col min="15105" max="15105" width="24.7265625" style="11" bestFit="1" customWidth="1"/>
    <col min="15106" max="15106" width="18.7265625" style="11" bestFit="1" customWidth="1"/>
    <col min="15107" max="15107" width="8.1796875" style="11" bestFit="1" customWidth="1"/>
    <col min="15108" max="15109" width="8.26953125" style="11" bestFit="1" customWidth="1"/>
    <col min="15110" max="15110" width="7.26953125" style="11" bestFit="1" customWidth="1"/>
    <col min="15111" max="15111" width="30.81640625" style="11" customWidth="1"/>
    <col min="15112" max="15112" width="17.1796875" style="11" bestFit="1" customWidth="1"/>
    <col min="15113" max="15113" width="23.26953125" style="11" customWidth="1"/>
    <col min="15114" max="15114" width="28.7265625" style="11" bestFit="1" customWidth="1"/>
    <col min="15115" max="15116" width="9.1796875" style="11"/>
    <col min="15117" max="15117" width="13.26953125" style="11" customWidth="1"/>
    <col min="15118" max="15360" width="9.1796875" style="11"/>
    <col min="15361" max="15361" width="24.7265625" style="11" bestFit="1" customWidth="1"/>
    <col min="15362" max="15362" width="18.7265625" style="11" bestFit="1" customWidth="1"/>
    <col min="15363" max="15363" width="8.1796875" style="11" bestFit="1" customWidth="1"/>
    <col min="15364" max="15365" width="8.26953125" style="11" bestFit="1" customWidth="1"/>
    <col min="15366" max="15366" width="7.26953125" style="11" bestFit="1" customWidth="1"/>
    <col min="15367" max="15367" width="30.81640625" style="11" customWidth="1"/>
    <col min="15368" max="15368" width="17.1796875" style="11" bestFit="1" customWidth="1"/>
    <col min="15369" max="15369" width="23.26953125" style="11" customWidth="1"/>
    <col min="15370" max="15370" width="28.7265625" style="11" bestFit="1" customWidth="1"/>
    <col min="15371" max="15372" width="9.1796875" style="11"/>
    <col min="15373" max="15373" width="13.26953125" style="11" customWidth="1"/>
    <col min="15374" max="15616" width="9.1796875" style="11"/>
    <col min="15617" max="15617" width="24.7265625" style="11" bestFit="1" customWidth="1"/>
    <col min="15618" max="15618" width="18.7265625" style="11" bestFit="1" customWidth="1"/>
    <col min="15619" max="15619" width="8.1796875" style="11" bestFit="1" customWidth="1"/>
    <col min="15620" max="15621" width="8.26953125" style="11" bestFit="1" customWidth="1"/>
    <col min="15622" max="15622" width="7.26953125" style="11" bestFit="1" customWidth="1"/>
    <col min="15623" max="15623" width="30.81640625" style="11" customWidth="1"/>
    <col min="15624" max="15624" width="17.1796875" style="11" bestFit="1" customWidth="1"/>
    <col min="15625" max="15625" width="23.26953125" style="11" customWidth="1"/>
    <col min="15626" max="15626" width="28.7265625" style="11" bestFit="1" customWidth="1"/>
    <col min="15627" max="15628" width="9.1796875" style="11"/>
    <col min="15629" max="15629" width="13.26953125" style="11" customWidth="1"/>
    <col min="15630" max="15872" width="9.1796875" style="11"/>
    <col min="15873" max="15873" width="24.7265625" style="11" bestFit="1" customWidth="1"/>
    <col min="15874" max="15874" width="18.7265625" style="11" bestFit="1" customWidth="1"/>
    <col min="15875" max="15875" width="8.1796875" style="11" bestFit="1" customWidth="1"/>
    <col min="15876" max="15877" width="8.26953125" style="11" bestFit="1" customWidth="1"/>
    <col min="15878" max="15878" width="7.26953125" style="11" bestFit="1" customWidth="1"/>
    <col min="15879" max="15879" width="30.81640625" style="11" customWidth="1"/>
    <col min="15880" max="15880" width="17.1796875" style="11" bestFit="1" customWidth="1"/>
    <col min="15881" max="15881" width="23.26953125" style="11" customWidth="1"/>
    <col min="15882" max="15882" width="28.7265625" style="11" bestFit="1" customWidth="1"/>
    <col min="15883" max="15884" width="9.1796875" style="11"/>
    <col min="15885" max="15885" width="13.26953125" style="11" customWidth="1"/>
    <col min="15886" max="16128" width="9.1796875" style="11"/>
    <col min="16129" max="16129" width="24.7265625" style="11" bestFit="1" customWidth="1"/>
    <col min="16130" max="16130" width="18.7265625" style="11" bestFit="1" customWidth="1"/>
    <col min="16131" max="16131" width="8.1796875" style="11" bestFit="1" customWidth="1"/>
    <col min="16132" max="16133" width="8.26953125" style="11" bestFit="1" customWidth="1"/>
    <col min="16134" max="16134" width="7.26953125" style="11" bestFit="1" customWidth="1"/>
    <col min="16135" max="16135" width="30.81640625" style="11" customWidth="1"/>
    <col min="16136" max="16136" width="17.1796875" style="11" bestFit="1" customWidth="1"/>
    <col min="16137" max="16137" width="23.26953125" style="11" customWidth="1"/>
    <col min="16138" max="16138" width="28.7265625" style="11" bestFit="1" customWidth="1"/>
    <col min="16139" max="16140" width="9.1796875" style="11"/>
    <col min="16141" max="16141" width="13.26953125" style="11" customWidth="1"/>
    <col min="16142" max="16384" width="9.1796875" style="11"/>
  </cols>
  <sheetData>
    <row r="1" spans="1:14" s="5" customFormat="1" ht="57.75" customHeight="1">
      <c r="A1" s="1" t="s">
        <v>0</v>
      </c>
      <c r="B1" s="2" t="s">
        <v>1</v>
      </c>
      <c r="C1" s="2" t="s">
        <v>2</v>
      </c>
      <c r="D1" s="2" t="s">
        <v>3</v>
      </c>
      <c r="E1" s="2" t="s">
        <v>4</v>
      </c>
      <c r="F1" s="2" t="s">
        <v>5</v>
      </c>
      <c r="G1" s="3" t="s">
        <v>6</v>
      </c>
      <c r="H1" s="2" t="s">
        <v>7</v>
      </c>
      <c r="I1" s="2" t="s">
        <v>8</v>
      </c>
      <c r="J1" s="2" t="s">
        <v>9</v>
      </c>
      <c r="K1" s="2" t="s">
        <v>10</v>
      </c>
      <c r="L1" s="2" t="s">
        <v>11</v>
      </c>
      <c r="M1" s="4" t="s">
        <v>12</v>
      </c>
    </row>
    <row r="2" spans="1:14" ht="10.5">
      <c r="A2" s="6" t="s">
        <v>13</v>
      </c>
      <c r="B2" s="7" t="s">
        <v>14</v>
      </c>
      <c r="C2" s="7" t="s">
        <v>15</v>
      </c>
      <c r="D2" s="7">
        <v>1</v>
      </c>
      <c r="E2" s="7">
        <f>E8</f>
        <v>50</v>
      </c>
      <c r="F2" s="7">
        <f>SUM(F3:F8)</f>
        <v>50</v>
      </c>
      <c r="G2" s="8"/>
      <c r="H2" s="9"/>
      <c r="I2" s="9"/>
      <c r="J2" s="7"/>
      <c r="K2" s="7"/>
      <c r="L2" s="7"/>
      <c r="M2" s="10" t="s">
        <v>16</v>
      </c>
    </row>
    <row r="3" spans="1:14" ht="16.5" customHeight="1">
      <c r="A3" s="12" t="s">
        <v>17</v>
      </c>
      <c r="B3" s="13" t="s">
        <v>18</v>
      </c>
      <c r="C3" s="14">
        <v>1</v>
      </c>
      <c r="D3" s="14">
        <v>1</v>
      </c>
      <c r="E3" s="14">
        <f t="shared" ref="E3:E8" si="0">D3+F3-1</f>
        <v>1</v>
      </c>
      <c r="F3" s="14">
        <v>1</v>
      </c>
      <c r="G3" s="15" t="s">
        <v>19</v>
      </c>
      <c r="H3" s="16" t="s">
        <v>20</v>
      </c>
      <c r="I3" s="16"/>
      <c r="J3" s="14"/>
      <c r="K3" s="14"/>
      <c r="L3" s="14"/>
      <c r="M3" s="17" t="s">
        <v>16</v>
      </c>
    </row>
    <row r="4" spans="1:14" s="23" customFormat="1">
      <c r="A4" s="18" t="s">
        <v>21</v>
      </c>
      <c r="B4" s="18" t="s">
        <v>22</v>
      </c>
      <c r="C4" s="19">
        <v>2</v>
      </c>
      <c r="D4" s="19">
        <f>E3+1</f>
        <v>2</v>
      </c>
      <c r="E4" s="19">
        <f t="shared" si="0"/>
        <v>16</v>
      </c>
      <c r="F4" s="19">
        <v>15</v>
      </c>
      <c r="G4" s="18" t="s">
        <v>23</v>
      </c>
      <c r="H4" s="20"/>
      <c r="I4" s="20"/>
      <c r="J4" s="18"/>
      <c r="K4" s="19"/>
      <c r="L4" s="19"/>
      <c r="M4" s="21"/>
      <c r="N4" s="22"/>
    </row>
    <row r="5" spans="1:14" s="23" customFormat="1">
      <c r="A5" s="18" t="s">
        <v>24</v>
      </c>
      <c r="B5" s="18" t="s">
        <v>25</v>
      </c>
      <c r="C5" s="19">
        <v>3</v>
      </c>
      <c r="D5" s="19">
        <f>E4+1</f>
        <v>17</v>
      </c>
      <c r="E5" s="19">
        <f t="shared" si="0"/>
        <v>26</v>
      </c>
      <c r="F5" s="19">
        <v>10</v>
      </c>
      <c r="G5" s="18" t="s">
        <v>26</v>
      </c>
      <c r="H5" s="20"/>
      <c r="I5" s="20"/>
      <c r="J5" s="18"/>
      <c r="K5" s="19"/>
      <c r="L5" s="19"/>
      <c r="M5" s="21"/>
      <c r="N5" s="22"/>
    </row>
    <row r="6" spans="1:14" s="23" customFormat="1" ht="10.5">
      <c r="A6" s="18" t="s">
        <v>27</v>
      </c>
      <c r="B6" s="18" t="s">
        <v>28</v>
      </c>
      <c r="C6" s="19">
        <v>4</v>
      </c>
      <c r="D6" s="19">
        <f>E5+1</f>
        <v>27</v>
      </c>
      <c r="E6" s="19">
        <f t="shared" si="0"/>
        <v>34</v>
      </c>
      <c r="F6" s="19">
        <v>8</v>
      </c>
      <c r="G6" s="18" t="s">
        <v>29</v>
      </c>
      <c r="H6" s="24"/>
      <c r="I6" s="24"/>
      <c r="J6" s="18"/>
      <c r="K6" s="19"/>
      <c r="L6" s="19"/>
      <c r="M6" s="21"/>
      <c r="N6" s="22"/>
    </row>
    <row r="7" spans="1:14" ht="12.5">
      <c r="A7" s="12" t="s">
        <v>30</v>
      </c>
      <c r="B7" s="13" t="s">
        <v>31</v>
      </c>
      <c r="C7" s="14">
        <v>5</v>
      </c>
      <c r="D7" s="19">
        <f>E6+1</f>
        <v>35</v>
      </c>
      <c r="E7" s="14">
        <f t="shared" si="0"/>
        <v>49</v>
      </c>
      <c r="F7" s="14">
        <v>15</v>
      </c>
      <c r="G7" s="25" t="s">
        <v>32</v>
      </c>
      <c r="H7" s="16" t="s">
        <v>20</v>
      </c>
      <c r="I7" s="26"/>
      <c r="J7" s="14"/>
      <c r="K7" s="14"/>
      <c r="L7" s="14"/>
      <c r="M7" s="17" t="s">
        <v>16</v>
      </c>
    </row>
    <row r="8" spans="1:14" s="23" customFormat="1">
      <c r="A8" s="18" t="s">
        <v>33</v>
      </c>
      <c r="B8" s="18" t="s">
        <v>34</v>
      </c>
      <c r="C8" s="19">
        <v>6</v>
      </c>
      <c r="D8" s="19">
        <f>E7+1</f>
        <v>50</v>
      </c>
      <c r="E8" s="14">
        <f t="shared" si="0"/>
        <v>50</v>
      </c>
      <c r="F8" s="19">
        <v>1</v>
      </c>
      <c r="G8" s="18" t="s">
        <v>35</v>
      </c>
      <c r="H8" s="20"/>
      <c r="I8" s="20"/>
      <c r="J8" s="18"/>
      <c r="K8" s="19"/>
      <c r="L8" s="19"/>
      <c r="M8" s="21"/>
      <c r="N8" s="22"/>
    </row>
    <row r="9" spans="1:14" ht="10.5">
      <c r="A9" s="6" t="s">
        <v>36</v>
      </c>
      <c r="B9" s="7" t="s">
        <v>14</v>
      </c>
      <c r="C9" s="27" t="s">
        <v>15</v>
      </c>
      <c r="D9" s="7">
        <v>1</v>
      </c>
      <c r="E9" s="7">
        <f>E48</f>
        <v>3958</v>
      </c>
      <c r="F9" s="7">
        <f>SUM(F10:F48)</f>
        <v>3958</v>
      </c>
      <c r="G9" s="28"/>
      <c r="H9" s="29"/>
      <c r="I9" s="29"/>
      <c r="J9" s="7"/>
      <c r="K9" s="7"/>
      <c r="L9" s="7"/>
      <c r="M9" s="10" t="s">
        <v>16</v>
      </c>
    </row>
    <row r="10" spans="1:14" ht="21">
      <c r="A10" s="30" t="s">
        <v>37</v>
      </c>
      <c r="B10" s="13" t="s">
        <v>18</v>
      </c>
      <c r="C10" s="14">
        <v>7</v>
      </c>
      <c r="D10" s="31">
        <v>1</v>
      </c>
      <c r="E10" s="14">
        <f>D10+F10-1</f>
        <v>1</v>
      </c>
      <c r="F10" s="31">
        <v>1</v>
      </c>
      <c r="G10" s="15" t="s">
        <v>38</v>
      </c>
      <c r="H10" s="16" t="s">
        <v>20</v>
      </c>
      <c r="I10" s="16"/>
      <c r="J10" s="31"/>
      <c r="K10" s="32" t="s">
        <v>39</v>
      </c>
      <c r="L10" s="31"/>
      <c r="M10" s="17" t="s">
        <v>16</v>
      </c>
    </row>
    <row r="11" spans="1:14" ht="12.5">
      <c r="A11" s="33" t="s">
        <v>40</v>
      </c>
      <c r="B11" s="13" t="s">
        <v>41</v>
      </c>
      <c r="C11" s="14">
        <v>8</v>
      </c>
      <c r="D11" s="14">
        <f>E10+1</f>
        <v>2</v>
      </c>
      <c r="E11" s="14">
        <f t="shared" ref="E11:E48" si="1">D11+F11-1</f>
        <v>9</v>
      </c>
      <c r="F11" s="14">
        <v>8</v>
      </c>
      <c r="G11" s="34" t="s">
        <v>42</v>
      </c>
      <c r="H11" s="16" t="s">
        <v>20</v>
      </c>
      <c r="I11" s="26" t="s">
        <v>43</v>
      </c>
      <c r="J11" s="35" t="s">
        <v>44</v>
      </c>
      <c r="K11" s="32" t="s">
        <v>39</v>
      </c>
      <c r="L11" s="36" t="s">
        <v>45</v>
      </c>
      <c r="M11" s="17" t="s">
        <v>16</v>
      </c>
    </row>
    <row r="12" spans="1:14" ht="12.5">
      <c r="A12" s="33" t="s">
        <v>46</v>
      </c>
      <c r="B12" s="13" t="s">
        <v>47</v>
      </c>
      <c r="C12" s="14">
        <v>9</v>
      </c>
      <c r="D12" s="14">
        <f t="shared" ref="D12:D48" si="2">E11+1</f>
        <v>10</v>
      </c>
      <c r="E12" s="14">
        <f t="shared" si="1"/>
        <v>13</v>
      </c>
      <c r="F12" s="14">
        <v>4</v>
      </c>
      <c r="G12" s="34" t="s">
        <v>48</v>
      </c>
      <c r="H12" s="16" t="s">
        <v>20</v>
      </c>
      <c r="I12" s="26" t="s">
        <v>43</v>
      </c>
      <c r="J12" s="35" t="s">
        <v>49</v>
      </c>
      <c r="K12" s="32" t="s">
        <v>39</v>
      </c>
      <c r="L12" s="36" t="s">
        <v>45</v>
      </c>
      <c r="M12" s="17" t="s">
        <v>16</v>
      </c>
    </row>
    <row r="13" spans="1:14" ht="12.5">
      <c r="A13" s="33" t="s">
        <v>50</v>
      </c>
      <c r="B13" s="13" t="s">
        <v>22</v>
      </c>
      <c r="C13" s="14">
        <v>10</v>
      </c>
      <c r="D13" s="14">
        <f t="shared" si="2"/>
        <v>14</v>
      </c>
      <c r="E13" s="14">
        <f t="shared" si="1"/>
        <v>28</v>
      </c>
      <c r="F13" s="14">
        <v>15</v>
      </c>
      <c r="G13" s="34" t="s">
        <v>51</v>
      </c>
      <c r="H13" s="16" t="s">
        <v>20</v>
      </c>
      <c r="I13" s="26" t="s">
        <v>43</v>
      </c>
      <c r="J13" s="13" t="s">
        <v>52</v>
      </c>
      <c r="K13" s="32" t="s">
        <v>39</v>
      </c>
      <c r="L13" s="36" t="s">
        <v>53</v>
      </c>
      <c r="M13" s="17" t="s">
        <v>16</v>
      </c>
    </row>
    <row r="14" spans="1:14" ht="12.5">
      <c r="A14" s="33" t="s">
        <v>54</v>
      </c>
      <c r="B14" s="13" t="s">
        <v>55</v>
      </c>
      <c r="C14" s="14">
        <v>11</v>
      </c>
      <c r="D14" s="14">
        <f t="shared" si="2"/>
        <v>29</v>
      </c>
      <c r="E14" s="14">
        <f t="shared" si="1"/>
        <v>88</v>
      </c>
      <c r="F14" s="14">
        <v>60</v>
      </c>
      <c r="G14" s="32" t="s">
        <v>56</v>
      </c>
      <c r="H14" s="16" t="s">
        <v>20</v>
      </c>
      <c r="I14" s="26" t="s">
        <v>43</v>
      </c>
      <c r="J14" s="13" t="s">
        <v>57</v>
      </c>
      <c r="K14" s="32" t="s">
        <v>39</v>
      </c>
      <c r="L14" s="36" t="s">
        <v>58</v>
      </c>
      <c r="M14" s="17" t="s">
        <v>16</v>
      </c>
    </row>
    <row r="15" spans="1:14" ht="12.5">
      <c r="A15" s="33" t="s">
        <v>59</v>
      </c>
      <c r="B15" s="13" t="s">
        <v>55</v>
      </c>
      <c r="C15" s="14">
        <v>12</v>
      </c>
      <c r="D15" s="14">
        <f t="shared" si="2"/>
        <v>89</v>
      </c>
      <c r="E15" s="14">
        <f t="shared" si="1"/>
        <v>148</v>
      </c>
      <c r="F15" s="14">
        <v>60</v>
      </c>
      <c r="G15" s="34" t="s">
        <v>60</v>
      </c>
      <c r="H15" s="16" t="s">
        <v>20</v>
      </c>
      <c r="I15" s="26" t="s">
        <v>43</v>
      </c>
      <c r="J15" s="13" t="s">
        <v>61</v>
      </c>
      <c r="K15" s="32" t="s">
        <v>39</v>
      </c>
      <c r="L15" s="36" t="s">
        <v>62</v>
      </c>
      <c r="M15" s="17" t="s">
        <v>16</v>
      </c>
    </row>
    <row r="16" spans="1:14" ht="30.5">
      <c r="A16" s="33" t="s">
        <v>63</v>
      </c>
      <c r="B16" s="13" t="s">
        <v>34</v>
      </c>
      <c r="C16" s="14">
        <v>13</v>
      </c>
      <c r="D16" s="14">
        <f t="shared" si="2"/>
        <v>149</v>
      </c>
      <c r="E16" s="14">
        <f t="shared" si="1"/>
        <v>149</v>
      </c>
      <c r="F16" s="14">
        <v>1</v>
      </c>
      <c r="G16" s="37" t="s">
        <v>64</v>
      </c>
      <c r="H16" s="16" t="s">
        <v>20</v>
      </c>
      <c r="I16" s="26" t="s">
        <v>43</v>
      </c>
      <c r="J16" s="38" t="s">
        <v>65</v>
      </c>
      <c r="K16" s="32" t="s">
        <v>39</v>
      </c>
      <c r="L16" s="36" t="s">
        <v>66</v>
      </c>
      <c r="M16" s="17" t="s">
        <v>16</v>
      </c>
    </row>
    <row r="17" spans="1:13" ht="12.5">
      <c r="A17" s="33" t="s">
        <v>67</v>
      </c>
      <c r="B17" s="13" t="s">
        <v>68</v>
      </c>
      <c r="C17" s="14">
        <v>14</v>
      </c>
      <c r="D17" s="14">
        <f t="shared" si="2"/>
        <v>150</v>
      </c>
      <c r="E17" s="14">
        <f t="shared" si="1"/>
        <v>161</v>
      </c>
      <c r="F17" s="14">
        <v>12</v>
      </c>
      <c r="G17" s="37" t="s">
        <v>69</v>
      </c>
      <c r="H17" s="16" t="s">
        <v>20</v>
      </c>
      <c r="I17" s="26" t="s">
        <v>43</v>
      </c>
      <c r="J17" s="13" t="s">
        <v>70</v>
      </c>
      <c r="K17" s="32" t="s">
        <v>39</v>
      </c>
      <c r="L17" s="36" t="s">
        <v>71</v>
      </c>
      <c r="M17" s="17" t="s">
        <v>16</v>
      </c>
    </row>
    <row r="18" spans="1:13" ht="12.5">
      <c r="A18" s="33" t="s">
        <v>72</v>
      </c>
      <c r="B18" s="13" t="s">
        <v>73</v>
      </c>
      <c r="C18" s="14">
        <v>15</v>
      </c>
      <c r="D18" s="14">
        <f t="shared" si="2"/>
        <v>162</v>
      </c>
      <c r="E18" s="14">
        <f t="shared" si="1"/>
        <v>261</v>
      </c>
      <c r="F18" s="14">
        <v>100</v>
      </c>
      <c r="G18" s="37" t="s">
        <v>74</v>
      </c>
      <c r="H18" s="16" t="s">
        <v>20</v>
      </c>
      <c r="I18" s="26" t="s">
        <v>43</v>
      </c>
      <c r="J18" s="13" t="s">
        <v>75</v>
      </c>
      <c r="K18" s="32" t="s">
        <v>39</v>
      </c>
      <c r="L18" s="36" t="s">
        <v>76</v>
      </c>
      <c r="M18" s="17" t="s">
        <v>16</v>
      </c>
    </row>
    <row r="19" spans="1:13" ht="12.5">
      <c r="A19" s="33" t="s">
        <v>77</v>
      </c>
      <c r="B19" s="13" t="s">
        <v>78</v>
      </c>
      <c r="C19" s="14">
        <v>16</v>
      </c>
      <c r="D19" s="14">
        <f t="shared" si="2"/>
        <v>262</v>
      </c>
      <c r="E19" s="14">
        <f t="shared" si="1"/>
        <v>291</v>
      </c>
      <c r="F19" s="14">
        <v>30</v>
      </c>
      <c r="G19" s="37" t="s">
        <v>79</v>
      </c>
      <c r="H19" s="16" t="s">
        <v>20</v>
      </c>
      <c r="I19" s="26" t="s">
        <v>43</v>
      </c>
      <c r="J19" s="13" t="s">
        <v>80</v>
      </c>
      <c r="K19" s="32" t="s">
        <v>39</v>
      </c>
      <c r="L19" s="36" t="s">
        <v>81</v>
      </c>
      <c r="M19" s="17" t="s">
        <v>16</v>
      </c>
    </row>
    <row r="20" spans="1:13" ht="12.5">
      <c r="A20" s="33" t="s">
        <v>82</v>
      </c>
      <c r="B20" s="13" t="s">
        <v>83</v>
      </c>
      <c r="C20" s="14">
        <v>17</v>
      </c>
      <c r="D20" s="14">
        <f t="shared" si="2"/>
        <v>292</v>
      </c>
      <c r="E20" s="14">
        <f t="shared" si="1"/>
        <v>294</v>
      </c>
      <c r="F20" s="14">
        <v>3</v>
      </c>
      <c r="G20" s="34" t="s">
        <v>84</v>
      </c>
      <c r="H20" s="16" t="s">
        <v>20</v>
      </c>
      <c r="I20" s="26" t="s">
        <v>43</v>
      </c>
      <c r="J20" s="13" t="s">
        <v>85</v>
      </c>
      <c r="K20" s="32" t="s">
        <v>39</v>
      </c>
      <c r="L20" s="36" t="s">
        <v>86</v>
      </c>
      <c r="M20" s="17" t="s">
        <v>16</v>
      </c>
    </row>
    <row r="21" spans="1:13" ht="12.5">
      <c r="A21" s="33" t="s">
        <v>87</v>
      </c>
      <c r="B21" s="13" t="s">
        <v>88</v>
      </c>
      <c r="C21" s="14">
        <v>18</v>
      </c>
      <c r="D21" s="14">
        <f t="shared" si="2"/>
        <v>295</v>
      </c>
      <c r="E21" s="14">
        <f t="shared" si="1"/>
        <v>314</v>
      </c>
      <c r="F21" s="14">
        <v>20</v>
      </c>
      <c r="G21" s="37" t="s">
        <v>89</v>
      </c>
      <c r="H21" s="16" t="s">
        <v>20</v>
      </c>
      <c r="I21" s="26" t="s">
        <v>43</v>
      </c>
      <c r="J21" s="13" t="s">
        <v>90</v>
      </c>
      <c r="K21" s="32" t="s">
        <v>39</v>
      </c>
      <c r="L21" s="36" t="s">
        <v>91</v>
      </c>
      <c r="M21" s="17" t="s">
        <v>16</v>
      </c>
    </row>
    <row r="22" spans="1:13" ht="12.5">
      <c r="A22" s="33" t="s">
        <v>92</v>
      </c>
      <c r="B22" s="13" t="s">
        <v>88</v>
      </c>
      <c r="C22" s="14">
        <v>19</v>
      </c>
      <c r="D22" s="14">
        <f t="shared" si="2"/>
        <v>315</v>
      </c>
      <c r="E22" s="14">
        <f t="shared" si="1"/>
        <v>334</v>
      </c>
      <c r="F22" s="14">
        <v>20</v>
      </c>
      <c r="G22" s="37" t="s">
        <v>93</v>
      </c>
      <c r="H22" s="16" t="s">
        <v>20</v>
      </c>
      <c r="I22" s="26" t="s">
        <v>43</v>
      </c>
      <c r="J22" s="13" t="s">
        <v>94</v>
      </c>
      <c r="K22" s="32" t="s">
        <v>39</v>
      </c>
      <c r="L22" s="36" t="s">
        <v>95</v>
      </c>
      <c r="M22" s="17" t="s">
        <v>16</v>
      </c>
    </row>
    <row r="23" spans="1:13" ht="60.5">
      <c r="A23" s="33" t="s">
        <v>96</v>
      </c>
      <c r="B23" s="13" t="s">
        <v>78</v>
      </c>
      <c r="C23" s="14">
        <v>20</v>
      </c>
      <c r="D23" s="14">
        <f t="shared" si="2"/>
        <v>335</v>
      </c>
      <c r="E23" s="14">
        <f t="shared" si="1"/>
        <v>364</v>
      </c>
      <c r="F23" s="14">
        <v>30</v>
      </c>
      <c r="G23" s="37" t="s">
        <v>97</v>
      </c>
      <c r="H23" s="16" t="s">
        <v>20</v>
      </c>
      <c r="I23" s="26" t="s">
        <v>43</v>
      </c>
      <c r="J23" s="13" t="s">
        <v>98</v>
      </c>
      <c r="K23" s="32" t="s">
        <v>39</v>
      </c>
      <c r="L23" s="36" t="s">
        <v>99</v>
      </c>
      <c r="M23" s="17" t="s">
        <v>16</v>
      </c>
    </row>
    <row r="24" spans="1:13" ht="60.5">
      <c r="A24" s="33" t="s">
        <v>100</v>
      </c>
      <c r="B24" s="13" t="s">
        <v>78</v>
      </c>
      <c r="C24" s="14">
        <v>21</v>
      </c>
      <c r="D24" s="14">
        <f t="shared" si="2"/>
        <v>365</v>
      </c>
      <c r="E24" s="14">
        <f t="shared" si="1"/>
        <v>394</v>
      </c>
      <c r="F24" s="14">
        <v>30</v>
      </c>
      <c r="G24" s="37" t="s">
        <v>101</v>
      </c>
      <c r="H24" s="16" t="s">
        <v>20</v>
      </c>
      <c r="I24" s="26" t="s">
        <v>43</v>
      </c>
      <c r="J24" s="13" t="s">
        <v>102</v>
      </c>
      <c r="K24" s="32" t="s">
        <v>39</v>
      </c>
      <c r="L24" s="36" t="s">
        <v>103</v>
      </c>
      <c r="M24" s="17" t="s">
        <v>16</v>
      </c>
    </row>
    <row r="25" spans="1:13" ht="60.5">
      <c r="A25" s="33" t="s">
        <v>104</v>
      </c>
      <c r="B25" s="13" t="s">
        <v>78</v>
      </c>
      <c r="C25" s="14">
        <v>22</v>
      </c>
      <c r="D25" s="14">
        <f t="shared" si="2"/>
        <v>395</v>
      </c>
      <c r="E25" s="14">
        <f t="shared" si="1"/>
        <v>424</v>
      </c>
      <c r="F25" s="14">
        <v>30</v>
      </c>
      <c r="G25" s="37" t="s">
        <v>105</v>
      </c>
      <c r="H25" s="16" t="s">
        <v>20</v>
      </c>
      <c r="I25" s="26" t="s">
        <v>43</v>
      </c>
      <c r="J25" s="13" t="s">
        <v>106</v>
      </c>
      <c r="K25" s="32" t="s">
        <v>39</v>
      </c>
      <c r="L25" s="36" t="s">
        <v>107</v>
      </c>
      <c r="M25" s="17" t="s">
        <v>16</v>
      </c>
    </row>
    <row r="26" spans="1:13" ht="60.5">
      <c r="A26" s="33" t="s">
        <v>108</v>
      </c>
      <c r="B26" s="13" t="s">
        <v>78</v>
      </c>
      <c r="C26" s="14">
        <v>23</v>
      </c>
      <c r="D26" s="14">
        <f t="shared" si="2"/>
        <v>425</v>
      </c>
      <c r="E26" s="14">
        <f t="shared" si="1"/>
        <v>454</v>
      </c>
      <c r="F26" s="14">
        <v>30</v>
      </c>
      <c r="G26" s="37" t="s">
        <v>109</v>
      </c>
      <c r="H26" s="16" t="s">
        <v>20</v>
      </c>
      <c r="I26" s="26" t="s">
        <v>43</v>
      </c>
      <c r="J26" s="13" t="s">
        <v>110</v>
      </c>
      <c r="K26" s="32" t="s">
        <v>39</v>
      </c>
      <c r="L26" s="36" t="s">
        <v>111</v>
      </c>
      <c r="M26" s="17" t="s">
        <v>16</v>
      </c>
    </row>
    <row r="27" spans="1:13" ht="12.5">
      <c r="A27" s="33" t="s">
        <v>112</v>
      </c>
      <c r="B27" s="13" t="s">
        <v>113</v>
      </c>
      <c r="C27" s="14">
        <v>24</v>
      </c>
      <c r="D27" s="14">
        <f t="shared" si="2"/>
        <v>455</v>
      </c>
      <c r="E27" s="14">
        <f t="shared" si="1"/>
        <v>604</v>
      </c>
      <c r="F27" s="14">
        <v>150</v>
      </c>
      <c r="G27" s="34" t="s">
        <v>114</v>
      </c>
      <c r="H27" s="16" t="s">
        <v>20</v>
      </c>
      <c r="I27" s="26" t="s">
        <v>43</v>
      </c>
      <c r="J27" s="13" t="s">
        <v>115</v>
      </c>
      <c r="K27" s="32" t="s">
        <v>39</v>
      </c>
      <c r="L27" s="36" t="s">
        <v>116</v>
      </c>
      <c r="M27" s="17" t="s">
        <v>16</v>
      </c>
    </row>
    <row r="28" spans="1:13" ht="10.5">
      <c r="A28" s="33" t="s">
        <v>117</v>
      </c>
      <c r="B28" s="32" t="s">
        <v>118</v>
      </c>
      <c r="C28" s="14">
        <v>25</v>
      </c>
      <c r="D28" s="14">
        <f t="shared" si="2"/>
        <v>605</v>
      </c>
      <c r="E28" s="14">
        <f t="shared" si="1"/>
        <v>614</v>
      </c>
      <c r="F28" s="14">
        <v>10</v>
      </c>
      <c r="G28" s="34" t="s">
        <v>119</v>
      </c>
      <c r="H28" s="16" t="s">
        <v>20</v>
      </c>
      <c r="I28" s="26" t="s">
        <v>43</v>
      </c>
      <c r="J28" s="39" t="s">
        <v>120</v>
      </c>
      <c r="K28" s="32" t="s">
        <v>39</v>
      </c>
      <c r="L28" s="36" t="s">
        <v>121</v>
      </c>
      <c r="M28" s="17" t="s">
        <v>16</v>
      </c>
    </row>
    <row r="29" spans="1:13" ht="10.5">
      <c r="A29" s="33" t="s">
        <v>122</v>
      </c>
      <c r="B29" s="32" t="s">
        <v>118</v>
      </c>
      <c r="C29" s="14">
        <v>26</v>
      </c>
      <c r="D29" s="14">
        <f t="shared" si="2"/>
        <v>615</v>
      </c>
      <c r="E29" s="14">
        <f t="shared" si="1"/>
        <v>624</v>
      </c>
      <c r="F29" s="14">
        <v>10</v>
      </c>
      <c r="G29" s="32" t="s">
        <v>123</v>
      </c>
      <c r="H29" s="16" t="s">
        <v>20</v>
      </c>
      <c r="I29" s="26" t="s">
        <v>43</v>
      </c>
      <c r="J29" s="39" t="s">
        <v>124</v>
      </c>
      <c r="K29" s="32" t="s">
        <v>39</v>
      </c>
      <c r="L29" s="36" t="s">
        <v>125</v>
      </c>
      <c r="M29" s="17" t="s">
        <v>16</v>
      </c>
    </row>
    <row r="30" spans="1:13" ht="10.5">
      <c r="A30" s="33" t="s">
        <v>126</v>
      </c>
      <c r="B30" s="32" t="s">
        <v>118</v>
      </c>
      <c r="C30" s="14">
        <v>27</v>
      </c>
      <c r="D30" s="14">
        <f t="shared" si="2"/>
        <v>625</v>
      </c>
      <c r="E30" s="14">
        <f t="shared" si="1"/>
        <v>634</v>
      </c>
      <c r="F30" s="14">
        <v>10</v>
      </c>
      <c r="G30" s="32" t="s">
        <v>127</v>
      </c>
      <c r="H30" s="16" t="s">
        <v>20</v>
      </c>
      <c r="I30" s="26" t="s">
        <v>43</v>
      </c>
      <c r="J30" s="39" t="s">
        <v>128</v>
      </c>
      <c r="K30" s="32" t="s">
        <v>39</v>
      </c>
      <c r="L30" s="36" t="s">
        <v>129</v>
      </c>
      <c r="M30" s="17" t="s">
        <v>16</v>
      </c>
    </row>
    <row r="31" spans="1:13" ht="10.5">
      <c r="A31" s="33" t="s">
        <v>130</v>
      </c>
      <c r="B31" s="32" t="s">
        <v>118</v>
      </c>
      <c r="C31" s="14">
        <v>28</v>
      </c>
      <c r="D31" s="14">
        <f t="shared" si="2"/>
        <v>635</v>
      </c>
      <c r="E31" s="14">
        <f t="shared" si="1"/>
        <v>644</v>
      </c>
      <c r="F31" s="14">
        <v>10</v>
      </c>
      <c r="G31" s="32" t="s">
        <v>131</v>
      </c>
      <c r="H31" s="16" t="s">
        <v>20</v>
      </c>
      <c r="I31" s="26" t="s">
        <v>43</v>
      </c>
      <c r="J31" s="39" t="s">
        <v>132</v>
      </c>
      <c r="K31" s="32" t="s">
        <v>39</v>
      </c>
      <c r="L31" s="36" t="s">
        <v>133</v>
      </c>
      <c r="M31" s="17" t="s">
        <v>16</v>
      </c>
    </row>
    <row r="32" spans="1:13" ht="10.5">
      <c r="A32" s="33" t="s">
        <v>134</v>
      </c>
      <c r="B32" s="32" t="s">
        <v>135</v>
      </c>
      <c r="C32" s="14">
        <v>29</v>
      </c>
      <c r="D32" s="14">
        <f t="shared" si="2"/>
        <v>645</v>
      </c>
      <c r="E32" s="14">
        <f t="shared" si="1"/>
        <v>1644</v>
      </c>
      <c r="F32" s="14">
        <v>1000</v>
      </c>
      <c r="G32" s="34" t="s">
        <v>136</v>
      </c>
      <c r="H32" s="16" t="s">
        <v>20</v>
      </c>
      <c r="I32" s="26" t="s">
        <v>43</v>
      </c>
      <c r="J32" s="39" t="s">
        <v>137</v>
      </c>
      <c r="K32" s="32" t="s">
        <v>39</v>
      </c>
      <c r="L32" s="36" t="s">
        <v>138</v>
      </c>
      <c r="M32" s="17" t="s">
        <v>16</v>
      </c>
    </row>
    <row r="33" spans="1:14" ht="10.5">
      <c r="A33" s="33" t="s">
        <v>139</v>
      </c>
      <c r="B33" s="32" t="s">
        <v>135</v>
      </c>
      <c r="C33" s="14">
        <v>30</v>
      </c>
      <c r="D33" s="14">
        <f t="shared" si="2"/>
        <v>1645</v>
      </c>
      <c r="E33" s="14">
        <f t="shared" si="1"/>
        <v>2644</v>
      </c>
      <c r="F33" s="14">
        <v>1000</v>
      </c>
      <c r="G33" s="34" t="s">
        <v>140</v>
      </c>
      <c r="H33" s="16" t="s">
        <v>20</v>
      </c>
      <c r="I33" s="26" t="s">
        <v>43</v>
      </c>
      <c r="J33" s="39" t="s">
        <v>141</v>
      </c>
      <c r="K33" s="32" t="s">
        <v>39</v>
      </c>
      <c r="L33" s="36" t="s">
        <v>142</v>
      </c>
      <c r="M33" s="17" t="s">
        <v>16</v>
      </c>
    </row>
    <row r="34" spans="1:14" ht="10.5">
      <c r="A34" s="33" t="s">
        <v>143</v>
      </c>
      <c r="B34" s="32" t="s">
        <v>144</v>
      </c>
      <c r="C34" s="14">
        <v>31</v>
      </c>
      <c r="D34" s="14">
        <f t="shared" si="2"/>
        <v>2645</v>
      </c>
      <c r="E34" s="14">
        <f t="shared" si="1"/>
        <v>2664</v>
      </c>
      <c r="F34" s="14">
        <v>20</v>
      </c>
      <c r="G34" s="34" t="s">
        <v>145</v>
      </c>
      <c r="H34" s="16" t="s">
        <v>20</v>
      </c>
      <c r="I34" s="26" t="s">
        <v>43</v>
      </c>
      <c r="J34" s="39" t="s">
        <v>146</v>
      </c>
      <c r="K34" s="32" t="s">
        <v>39</v>
      </c>
      <c r="L34" s="36" t="s">
        <v>147</v>
      </c>
      <c r="M34" s="17" t="s">
        <v>16</v>
      </c>
    </row>
    <row r="35" spans="1:14" ht="10.5">
      <c r="A35" s="33" t="s">
        <v>148</v>
      </c>
      <c r="B35" s="32" t="s">
        <v>149</v>
      </c>
      <c r="C35" s="14">
        <v>32</v>
      </c>
      <c r="D35" s="14">
        <f t="shared" si="2"/>
        <v>2665</v>
      </c>
      <c r="E35" s="14">
        <f t="shared" si="1"/>
        <v>2764</v>
      </c>
      <c r="F35" s="14">
        <v>100</v>
      </c>
      <c r="G35" s="34" t="s">
        <v>150</v>
      </c>
      <c r="H35" s="16" t="s">
        <v>20</v>
      </c>
      <c r="I35" s="26" t="s">
        <v>43</v>
      </c>
      <c r="J35" s="39" t="s">
        <v>151</v>
      </c>
      <c r="K35" s="32" t="s">
        <v>39</v>
      </c>
      <c r="L35" s="36" t="s">
        <v>152</v>
      </c>
      <c r="M35" s="17" t="s">
        <v>16</v>
      </c>
    </row>
    <row r="36" spans="1:14" ht="10.5">
      <c r="A36" s="33" t="s">
        <v>153</v>
      </c>
      <c r="B36" s="32" t="s">
        <v>135</v>
      </c>
      <c r="C36" s="14">
        <v>33</v>
      </c>
      <c r="D36" s="14">
        <f t="shared" si="2"/>
        <v>2765</v>
      </c>
      <c r="E36" s="14">
        <f t="shared" si="1"/>
        <v>3764</v>
      </c>
      <c r="F36" s="14">
        <v>1000</v>
      </c>
      <c r="G36" s="32" t="s">
        <v>154</v>
      </c>
      <c r="H36" s="16" t="s">
        <v>20</v>
      </c>
      <c r="I36" s="26" t="s">
        <v>43</v>
      </c>
      <c r="J36" s="39" t="s">
        <v>155</v>
      </c>
      <c r="K36" s="32" t="s">
        <v>39</v>
      </c>
      <c r="L36" s="36" t="s">
        <v>156</v>
      </c>
      <c r="M36" s="17" t="s">
        <v>16</v>
      </c>
    </row>
    <row r="37" spans="1:14" ht="10.5">
      <c r="A37" s="33" t="s">
        <v>157</v>
      </c>
      <c r="B37" s="32" t="s">
        <v>158</v>
      </c>
      <c r="C37" s="14">
        <v>34</v>
      </c>
      <c r="D37" s="14">
        <f t="shared" si="2"/>
        <v>3765</v>
      </c>
      <c r="E37" s="14">
        <f t="shared" si="1"/>
        <v>3772</v>
      </c>
      <c r="F37" s="14">
        <v>8</v>
      </c>
      <c r="G37" s="34" t="s">
        <v>159</v>
      </c>
      <c r="H37" s="16" t="s">
        <v>20</v>
      </c>
      <c r="I37" s="26" t="s">
        <v>43</v>
      </c>
      <c r="J37" s="39" t="s">
        <v>160</v>
      </c>
      <c r="K37" s="32" t="s">
        <v>39</v>
      </c>
      <c r="L37" s="36" t="s">
        <v>161</v>
      </c>
      <c r="M37" s="17" t="s">
        <v>16</v>
      </c>
    </row>
    <row r="38" spans="1:14" ht="10.5">
      <c r="A38" s="33" t="s">
        <v>162</v>
      </c>
      <c r="B38" s="32" t="s">
        <v>163</v>
      </c>
      <c r="C38" s="14">
        <v>35</v>
      </c>
      <c r="D38" s="14">
        <f t="shared" si="2"/>
        <v>3773</v>
      </c>
      <c r="E38" s="14">
        <f t="shared" si="1"/>
        <v>3792</v>
      </c>
      <c r="F38" s="14">
        <v>20</v>
      </c>
      <c r="G38" s="34" t="s">
        <v>164</v>
      </c>
      <c r="H38" s="16" t="s">
        <v>20</v>
      </c>
      <c r="I38" s="26" t="s">
        <v>43</v>
      </c>
      <c r="J38" s="39" t="s">
        <v>165</v>
      </c>
      <c r="K38" s="32" t="s">
        <v>39</v>
      </c>
      <c r="L38" s="36" t="s">
        <v>166</v>
      </c>
      <c r="M38" s="17" t="s">
        <v>16</v>
      </c>
    </row>
    <row r="39" spans="1:14" ht="10.5">
      <c r="A39" s="33" t="s">
        <v>167</v>
      </c>
      <c r="B39" s="32" t="s">
        <v>163</v>
      </c>
      <c r="C39" s="14">
        <v>36</v>
      </c>
      <c r="D39" s="14">
        <f t="shared" si="2"/>
        <v>3793</v>
      </c>
      <c r="E39" s="14">
        <f t="shared" si="1"/>
        <v>3812</v>
      </c>
      <c r="F39" s="14">
        <v>20</v>
      </c>
      <c r="G39" s="34" t="s">
        <v>168</v>
      </c>
      <c r="H39" s="16" t="s">
        <v>20</v>
      </c>
      <c r="I39" s="26" t="s">
        <v>43</v>
      </c>
      <c r="J39" s="39" t="s">
        <v>169</v>
      </c>
      <c r="K39" s="32" t="s">
        <v>39</v>
      </c>
      <c r="L39" s="36" t="s">
        <v>170</v>
      </c>
      <c r="M39" s="17" t="s">
        <v>16</v>
      </c>
    </row>
    <row r="40" spans="1:14" ht="10.5">
      <c r="A40" s="33" t="s">
        <v>171</v>
      </c>
      <c r="B40" s="32" t="s">
        <v>163</v>
      </c>
      <c r="C40" s="14">
        <v>37</v>
      </c>
      <c r="D40" s="14">
        <f t="shared" si="2"/>
        <v>3813</v>
      </c>
      <c r="E40" s="14">
        <f t="shared" si="1"/>
        <v>3832</v>
      </c>
      <c r="F40" s="14">
        <v>20</v>
      </c>
      <c r="G40" s="34" t="s">
        <v>172</v>
      </c>
      <c r="H40" s="16" t="s">
        <v>20</v>
      </c>
      <c r="I40" s="26" t="s">
        <v>43</v>
      </c>
      <c r="J40" s="39" t="s">
        <v>173</v>
      </c>
      <c r="K40" s="32" t="s">
        <v>39</v>
      </c>
      <c r="L40" s="36" t="s">
        <v>174</v>
      </c>
      <c r="M40" s="17" t="s">
        <v>16</v>
      </c>
    </row>
    <row r="41" spans="1:14" ht="10.5">
      <c r="A41" s="33" t="s">
        <v>175</v>
      </c>
      <c r="B41" s="32" t="s">
        <v>144</v>
      </c>
      <c r="C41" s="14">
        <v>38</v>
      </c>
      <c r="D41" s="14">
        <f t="shared" si="2"/>
        <v>3833</v>
      </c>
      <c r="E41" s="14">
        <f t="shared" si="1"/>
        <v>3852</v>
      </c>
      <c r="F41" s="14">
        <v>20</v>
      </c>
      <c r="G41" s="34" t="s">
        <v>176</v>
      </c>
      <c r="H41" s="16" t="s">
        <v>20</v>
      </c>
      <c r="I41" s="26" t="s">
        <v>43</v>
      </c>
      <c r="J41" s="39" t="s">
        <v>177</v>
      </c>
      <c r="K41" s="32" t="s">
        <v>39</v>
      </c>
      <c r="L41" s="36" t="s">
        <v>178</v>
      </c>
      <c r="M41" s="17" t="s">
        <v>16</v>
      </c>
    </row>
    <row r="42" spans="1:14" ht="10.5">
      <c r="A42" s="33" t="s">
        <v>179</v>
      </c>
      <c r="B42" s="32" t="s">
        <v>144</v>
      </c>
      <c r="C42" s="14">
        <v>39</v>
      </c>
      <c r="D42" s="14">
        <f t="shared" si="2"/>
        <v>3853</v>
      </c>
      <c r="E42" s="14">
        <f t="shared" si="1"/>
        <v>3872</v>
      </c>
      <c r="F42" s="14">
        <v>20</v>
      </c>
      <c r="G42" s="34" t="s">
        <v>180</v>
      </c>
      <c r="H42" s="16" t="s">
        <v>20</v>
      </c>
      <c r="I42" s="26" t="s">
        <v>43</v>
      </c>
      <c r="J42" s="39" t="s">
        <v>181</v>
      </c>
      <c r="K42" s="32" t="s">
        <v>39</v>
      </c>
      <c r="L42" s="36" t="s">
        <v>182</v>
      </c>
      <c r="M42" s="17" t="s">
        <v>16</v>
      </c>
    </row>
    <row r="43" spans="1:14" ht="10.5">
      <c r="A43" s="33" t="s">
        <v>183</v>
      </c>
      <c r="B43" s="32" t="s">
        <v>144</v>
      </c>
      <c r="C43" s="14">
        <v>40</v>
      </c>
      <c r="D43" s="14">
        <f t="shared" si="2"/>
        <v>3873</v>
      </c>
      <c r="E43" s="14">
        <f t="shared" si="1"/>
        <v>3892</v>
      </c>
      <c r="F43" s="14">
        <v>20</v>
      </c>
      <c r="G43" s="34" t="s">
        <v>184</v>
      </c>
      <c r="H43" s="16" t="s">
        <v>20</v>
      </c>
      <c r="I43" s="26" t="s">
        <v>43</v>
      </c>
      <c r="J43" s="39" t="s">
        <v>185</v>
      </c>
      <c r="K43" s="32" t="s">
        <v>39</v>
      </c>
      <c r="L43" s="36" t="s">
        <v>186</v>
      </c>
      <c r="M43" s="17" t="s">
        <v>16</v>
      </c>
    </row>
    <row r="44" spans="1:14" ht="10.5">
      <c r="A44" s="33" t="s">
        <v>187</v>
      </c>
      <c r="B44" s="32" t="s">
        <v>144</v>
      </c>
      <c r="C44" s="14">
        <v>41</v>
      </c>
      <c r="D44" s="14">
        <f t="shared" si="2"/>
        <v>3893</v>
      </c>
      <c r="E44" s="14">
        <f t="shared" si="1"/>
        <v>3912</v>
      </c>
      <c r="F44" s="14">
        <v>20</v>
      </c>
      <c r="G44" s="34" t="s">
        <v>188</v>
      </c>
      <c r="H44" s="16" t="s">
        <v>20</v>
      </c>
      <c r="I44" s="26" t="s">
        <v>43</v>
      </c>
      <c r="J44" s="39" t="s">
        <v>189</v>
      </c>
      <c r="K44" s="32" t="s">
        <v>39</v>
      </c>
      <c r="L44" s="36" t="s">
        <v>190</v>
      </c>
      <c r="M44" s="17" t="s">
        <v>16</v>
      </c>
    </row>
    <row r="45" spans="1:14" ht="10.5">
      <c r="A45" s="33" t="s">
        <v>191</v>
      </c>
      <c r="B45" s="32" t="s">
        <v>144</v>
      </c>
      <c r="C45" s="14">
        <v>42</v>
      </c>
      <c r="D45" s="14">
        <f t="shared" si="2"/>
        <v>3913</v>
      </c>
      <c r="E45" s="14">
        <f t="shared" si="1"/>
        <v>3932</v>
      </c>
      <c r="F45" s="14">
        <v>20</v>
      </c>
      <c r="G45" s="34" t="s">
        <v>192</v>
      </c>
      <c r="H45" s="16" t="s">
        <v>20</v>
      </c>
      <c r="I45" s="26" t="s">
        <v>43</v>
      </c>
      <c r="J45" s="39" t="s">
        <v>193</v>
      </c>
      <c r="K45" s="32" t="s">
        <v>39</v>
      </c>
      <c r="L45" s="36" t="s">
        <v>194</v>
      </c>
      <c r="M45" s="17" t="s">
        <v>16</v>
      </c>
    </row>
    <row r="46" spans="1:14" ht="10.5">
      <c r="A46" s="33" t="s">
        <v>195</v>
      </c>
      <c r="B46" s="32" t="s">
        <v>144</v>
      </c>
      <c r="C46" s="14">
        <v>43</v>
      </c>
      <c r="D46" s="14">
        <f t="shared" si="2"/>
        <v>3933</v>
      </c>
      <c r="E46" s="14">
        <f t="shared" si="1"/>
        <v>3952</v>
      </c>
      <c r="F46" s="14">
        <v>20</v>
      </c>
      <c r="G46" s="34" t="s">
        <v>196</v>
      </c>
      <c r="H46" s="16" t="s">
        <v>20</v>
      </c>
      <c r="I46" s="26" t="s">
        <v>43</v>
      </c>
      <c r="J46" s="39" t="s">
        <v>197</v>
      </c>
      <c r="K46" s="32" t="s">
        <v>39</v>
      </c>
      <c r="L46" s="36" t="s">
        <v>198</v>
      </c>
      <c r="M46" s="17" t="s">
        <v>16</v>
      </c>
    </row>
    <row r="47" spans="1:14" ht="10.5">
      <c r="A47" s="33" t="s">
        <v>199</v>
      </c>
      <c r="B47" s="32" t="s">
        <v>200</v>
      </c>
      <c r="C47" s="14">
        <v>44</v>
      </c>
      <c r="D47" s="14">
        <f t="shared" si="2"/>
        <v>3953</v>
      </c>
      <c r="E47" s="14">
        <f t="shared" si="1"/>
        <v>3957</v>
      </c>
      <c r="F47" s="14">
        <v>5</v>
      </c>
      <c r="G47" s="34" t="s">
        <v>201</v>
      </c>
      <c r="H47" s="16" t="s">
        <v>20</v>
      </c>
      <c r="I47" s="26" t="s">
        <v>43</v>
      </c>
      <c r="J47" s="39" t="s">
        <v>202</v>
      </c>
      <c r="K47" s="32" t="s">
        <v>39</v>
      </c>
      <c r="L47" s="36"/>
      <c r="M47" s="40" t="s">
        <v>16</v>
      </c>
    </row>
    <row r="48" spans="1:14" s="23" customFormat="1">
      <c r="A48" s="18" t="s">
        <v>33</v>
      </c>
      <c r="B48" s="18" t="s">
        <v>34</v>
      </c>
      <c r="C48" s="14">
        <v>45</v>
      </c>
      <c r="D48" s="14">
        <f t="shared" si="2"/>
        <v>3958</v>
      </c>
      <c r="E48" s="14">
        <f t="shared" si="1"/>
        <v>3958</v>
      </c>
      <c r="F48" s="19">
        <v>1</v>
      </c>
      <c r="G48" s="18" t="s">
        <v>35</v>
      </c>
      <c r="H48" s="20"/>
      <c r="I48" s="20"/>
      <c r="J48" s="18"/>
      <c r="K48" s="19"/>
      <c r="L48" s="19"/>
      <c r="M48" s="21"/>
      <c r="N48" s="22"/>
    </row>
    <row r="49" spans="1:14" ht="10.5">
      <c r="A49" s="6" t="s">
        <v>203</v>
      </c>
      <c r="B49" s="7" t="s">
        <v>14</v>
      </c>
      <c r="C49" s="27" t="s">
        <v>15</v>
      </c>
      <c r="D49" s="7">
        <v>1</v>
      </c>
      <c r="E49" s="7">
        <f>E52</f>
        <v>11</v>
      </c>
      <c r="F49" s="7">
        <f>SUM(F50:F52)</f>
        <v>11</v>
      </c>
      <c r="G49" s="28"/>
      <c r="H49" s="29"/>
      <c r="I49" s="29"/>
      <c r="J49" s="7"/>
      <c r="K49" s="41" t="s">
        <v>204</v>
      </c>
      <c r="L49" s="41"/>
      <c r="M49" s="41"/>
    </row>
    <row r="50" spans="1:14" ht="21">
      <c r="A50" s="30" t="s">
        <v>37</v>
      </c>
      <c r="B50" s="13" t="s">
        <v>18</v>
      </c>
      <c r="C50" s="14">
        <v>46</v>
      </c>
      <c r="D50" s="14">
        <v>1</v>
      </c>
      <c r="E50" s="14">
        <v>1</v>
      </c>
      <c r="F50" s="14">
        <v>1</v>
      </c>
      <c r="G50" s="15" t="s">
        <v>205</v>
      </c>
      <c r="H50" s="16" t="s">
        <v>20</v>
      </c>
      <c r="I50" s="16"/>
      <c r="J50" s="14"/>
      <c r="K50" s="14"/>
      <c r="L50" s="14"/>
      <c r="M50" s="17"/>
    </row>
    <row r="51" spans="1:14" ht="12.5">
      <c r="A51" s="42" t="s">
        <v>206</v>
      </c>
      <c r="B51" s="13" t="s">
        <v>207</v>
      </c>
      <c r="C51" s="14">
        <v>47</v>
      </c>
      <c r="D51" s="14">
        <v>2</v>
      </c>
      <c r="E51" s="14">
        <f>D51+F51-1</f>
        <v>10</v>
      </c>
      <c r="F51" s="14">
        <v>9</v>
      </c>
      <c r="G51" s="15" t="s">
        <v>208</v>
      </c>
      <c r="H51" s="16" t="s">
        <v>20</v>
      </c>
      <c r="I51" s="16"/>
      <c r="J51" s="14"/>
      <c r="K51" s="14"/>
      <c r="L51" s="14"/>
      <c r="M51" s="17"/>
    </row>
    <row r="52" spans="1:14" s="23" customFormat="1">
      <c r="A52" s="18" t="s">
        <v>33</v>
      </c>
      <c r="B52" s="18" t="s">
        <v>34</v>
      </c>
      <c r="C52" s="19">
        <v>48</v>
      </c>
      <c r="D52" s="19">
        <f>E51+1</f>
        <v>11</v>
      </c>
      <c r="E52" s="14">
        <f>D52+F52-1</f>
        <v>11</v>
      </c>
      <c r="F52" s="19">
        <v>1</v>
      </c>
      <c r="G52" s="18" t="s">
        <v>35</v>
      </c>
      <c r="H52" s="20"/>
      <c r="I52" s="20"/>
      <c r="J52" s="18"/>
      <c r="K52" s="19"/>
      <c r="L52" s="19"/>
      <c r="M52" s="21"/>
      <c r="N52" s="22"/>
    </row>
    <row r="53" spans="1:14">
      <c r="M53" s="47"/>
    </row>
    <row r="54" spans="1:14">
      <c r="M54" s="47"/>
    </row>
    <row r="55" spans="1:14" s="5" customFormat="1" ht="57.75" hidden="1" customHeight="1">
      <c r="A55" s="1" t="s">
        <v>0</v>
      </c>
      <c r="B55" s="2" t="s">
        <v>1</v>
      </c>
      <c r="C55" s="2" t="s">
        <v>2</v>
      </c>
      <c r="D55" s="2" t="s">
        <v>3</v>
      </c>
      <c r="E55" s="2" t="s">
        <v>4</v>
      </c>
      <c r="F55" s="2" t="s">
        <v>5</v>
      </c>
      <c r="G55" s="3" t="s">
        <v>6</v>
      </c>
      <c r="H55" s="2" t="s">
        <v>7</v>
      </c>
      <c r="I55" s="2" t="s">
        <v>8</v>
      </c>
      <c r="J55" s="2" t="s">
        <v>9</v>
      </c>
      <c r="K55" s="2" t="s">
        <v>10</v>
      </c>
      <c r="L55" s="2" t="s">
        <v>11</v>
      </c>
      <c r="M55" s="4" t="s">
        <v>12</v>
      </c>
    </row>
    <row r="56" spans="1:14" ht="11.5" hidden="1">
      <c r="A56" s="48" t="s">
        <v>209</v>
      </c>
      <c r="B56" s="14"/>
      <c r="C56" s="14"/>
      <c r="D56" s="14">
        <v>1</v>
      </c>
      <c r="E56" s="14">
        <v>20</v>
      </c>
      <c r="F56" s="14">
        <v>20</v>
      </c>
      <c r="G56" s="15" t="s">
        <v>210</v>
      </c>
      <c r="H56" s="16"/>
      <c r="I56" s="16"/>
      <c r="J56" s="14"/>
      <c r="K56" s="14"/>
      <c r="L56" s="14"/>
      <c r="M56" s="17" t="s">
        <v>16</v>
      </c>
    </row>
    <row r="57" spans="1:14" ht="10.5" hidden="1">
      <c r="A57" s="6" t="s">
        <v>211</v>
      </c>
      <c r="B57" s="7" t="s">
        <v>14</v>
      </c>
      <c r="C57" s="7">
        <v>1</v>
      </c>
      <c r="D57" s="7">
        <v>1</v>
      </c>
      <c r="E57" s="7">
        <v>20</v>
      </c>
      <c r="F57" s="7">
        <v>20</v>
      </c>
      <c r="G57" s="8"/>
      <c r="H57" s="9"/>
      <c r="I57" s="9"/>
      <c r="J57" s="7"/>
      <c r="K57" s="7"/>
      <c r="L57" s="7"/>
      <c r="M57" s="17" t="s">
        <v>16</v>
      </c>
    </row>
    <row r="58" spans="1:14" ht="21" hidden="1">
      <c r="A58" s="12" t="s">
        <v>17</v>
      </c>
      <c r="B58" s="13" t="s">
        <v>18</v>
      </c>
      <c r="C58" s="14">
        <v>2</v>
      </c>
      <c r="D58" s="14">
        <v>1</v>
      </c>
      <c r="E58" s="14">
        <f>D58+F58-1</f>
        <v>1</v>
      </c>
      <c r="F58" s="14">
        <v>1</v>
      </c>
      <c r="G58" s="15" t="s">
        <v>19</v>
      </c>
      <c r="H58" s="16"/>
      <c r="I58" s="16"/>
      <c r="J58" s="14"/>
      <c r="K58" s="14"/>
      <c r="L58" s="14"/>
      <c r="M58" s="17" t="s">
        <v>16</v>
      </c>
    </row>
    <row r="59" spans="1:14" ht="12.5" hidden="1">
      <c r="A59" s="12" t="s">
        <v>212</v>
      </c>
      <c r="B59" s="13" t="s">
        <v>213</v>
      </c>
      <c r="C59" s="14">
        <v>3</v>
      </c>
      <c r="D59" s="14">
        <f>E58+1</f>
        <v>2</v>
      </c>
      <c r="E59" s="14">
        <f>D59+F59-1</f>
        <v>9</v>
      </c>
      <c r="F59" s="14">
        <v>8</v>
      </c>
      <c r="G59" s="25" t="s">
        <v>214</v>
      </c>
      <c r="H59" s="26"/>
      <c r="I59" s="26"/>
      <c r="J59" s="14"/>
      <c r="K59" s="14"/>
      <c r="L59" s="14"/>
      <c r="M59" s="17" t="s">
        <v>16</v>
      </c>
    </row>
    <row r="60" spans="1:14" ht="12.5" hidden="1">
      <c r="A60" s="12" t="s">
        <v>215</v>
      </c>
      <c r="B60" s="13" t="s">
        <v>216</v>
      </c>
      <c r="C60" s="14">
        <v>4</v>
      </c>
      <c r="D60" s="14">
        <f>E59+1</f>
        <v>10</v>
      </c>
      <c r="E60" s="14">
        <f>D60+F60-1</f>
        <v>17</v>
      </c>
      <c r="F60" s="14">
        <v>8</v>
      </c>
      <c r="G60" s="25" t="s">
        <v>29</v>
      </c>
      <c r="H60" s="26"/>
      <c r="I60" s="26"/>
      <c r="J60" s="14"/>
      <c r="K60" s="14"/>
      <c r="L60" s="14"/>
      <c r="M60" s="17" t="s">
        <v>16</v>
      </c>
    </row>
    <row r="61" spans="1:14" hidden="1">
      <c r="A61" s="42" t="s">
        <v>217</v>
      </c>
      <c r="B61" s="32" t="s">
        <v>218</v>
      </c>
      <c r="C61" s="14">
        <v>5</v>
      </c>
      <c r="D61" s="14">
        <f>E60+1</f>
        <v>18</v>
      </c>
      <c r="E61" s="14">
        <f>D61+F61-1</f>
        <v>20</v>
      </c>
      <c r="F61" s="14">
        <v>3</v>
      </c>
      <c r="G61" s="15" t="s">
        <v>219</v>
      </c>
      <c r="H61" s="16"/>
      <c r="I61" s="16"/>
      <c r="J61" s="14"/>
      <c r="K61" s="14"/>
      <c r="L61" s="14"/>
      <c r="M61" s="17" t="s">
        <v>16</v>
      </c>
    </row>
    <row r="62" spans="1:14" ht="10.5" hidden="1">
      <c r="A62" s="6" t="s">
        <v>220</v>
      </c>
      <c r="B62" s="7" t="s">
        <v>14</v>
      </c>
      <c r="C62" s="27">
        <v>6</v>
      </c>
      <c r="D62" s="7">
        <v>1</v>
      </c>
      <c r="E62" s="7">
        <v>20</v>
      </c>
      <c r="F62" s="7">
        <v>20</v>
      </c>
      <c r="G62" s="28"/>
      <c r="H62" s="29"/>
      <c r="I62" s="29"/>
      <c r="J62" s="7"/>
      <c r="K62" s="7"/>
      <c r="L62" s="7"/>
      <c r="M62" s="17" t="s">
        <v>16</v>
      </c>
    </row>
    <row r="63" spans="1:14" ht="21" hidden="1">
      <c r="A63" s="30" t="s">
        <v>37</v>
      </c>
      <c r="B63" s="13" t="s">
        <v>18</v>
      </c>
      <c r="C63" s="14">
        <v>7</v>
      </c>
      <c r="D63" s="31">
        <v>1</v>
      </c>
      <c r="E63" s="14">
        <f>D63+F63-1</f>
        <v>1</v>
      </c>
      <c r="F63" s="31">
        <v>1</v>
      </c>
      <c r="G63" s="15" t="s">
        <v>38</v>
      </c>
      <c r="H63" s="16"/>
      <c r="I63" s="16"/>
      <c r="J63" s="31"/>
      <c r="K63" s="31"/>
      <c r="L63" s="31"/>
      <c r="M63" s="17" t="s">
        <v>16</v>
      </c>
    </row>
    <row r="64" spans="1:14" ht="24" hidden="1" customHeight="1">
      <c r="A64" s="49" t="s">
        <v>221</v>
      </c>
      <c r="B64" s="13" t="s">
        <v>222</v>
      </c>
      <c r="C64" s="14">
        <v>8</v>
      </c>
      <c r="D64" s="14">
        <f>E63+1</f>
        <v>2</v>
      </c>
      <c r="E64" s="14">
        <f>D64+F64-1</f>
        <v>5</v>
      </c>
      <c r="F64" s="14">
        <v>4</v>
      </c>
      <c r="G64" s="34" t="s">
        <v>223</v>
      </c>
      <c r="H64" s="16" t="s">
        <v>20</v>
      </c>
      <c r="I64" s="16" t="s">
        <v>224</v>
      </c>
      <c r="J64" s="33" t="s">
        <v>225</v>
      </c>
      <c r="K64" s="32" t="s">
        <v>39</v>
      </c>
      <c r="L64" s="36">
        <v>611</v>
      </c>
      <c r="M64" s="17" t="s">
        <v>16</v>
      </c>
    </row>
    <row r="65" spans="1:13" ht="24" hidden="1" customHeight="1">
      <c r="A65" s="49" t="s">
        <v>226</v>
      </c>
      <c r="B65" s="13" t="s">
        <v>68</v>
      </c>
      <c r="C65" s="14">
        <v>8</v>
      </c>
      <c r="D65" s="14">
        <f>E64+1</f>
        <v>6</v>
      </c>
      <c r="E65" s="14">
        <f>D65+F65-1</f>
        <v>17</v>
      </c>
      <c r="F65" s="14">
        <v>12</v>
      </c>
      <c r="G65" s="34" t="s">
        <v>227</v>
      </c>
      <c r="H65" s="16" t="s">
        <v>20</v>
      </c>
      <c r="I65" s="16" t="s">
        <v>224</v>
      </c>
      <c r="J65" s="33" t="s">
        <v>228</v>
      </c>
      <c r="K65" s="32" t="s">
        <v>39</v>
      </c>
      <c r="L65" s="36">
        <v>611</v>
      </c>
      <c r="M65" s="17" t="s">
        <v>16</v>
      </c>
    </row>
    <row r="66" spans="1:13" ht="12.5" hidden="1">
      <c r="A66" s="12" t="s">
        <v>229</v>
      </c>
      <c r="B66" s="13" t="s">
        <v>83</v>
      </c>
      <c r="C66" s="14">
        <v>9</v>
      </c>
      <c r="D66" s="14">
        <f>E65+1</f>
        <v>18</v>
      </c>
      <c r="E66" s="14">
        <f>D66+F66-1</f>
        <v>20</v>
      </c>
      <c r="F66" s="14">
        <v>3</v>
      </c>
      <c r="G66" s="34" t="s">
        <v>230</v>
      </c>
      <c r="H66" s="16" t="s">
        <v>20</v>
      </c>
      <c r="I66" s="16" t="s">
        <v>224</v>
      </c>
      <c r="J66" s="33" t="s">
        <v>231</v>
      </c>
      <c r="K66" s="32" t="s">
        <v>39</v>
      </c>
      <c r="L66" s="36"/>
      <c r="M66" s="17" t="s">
        <v>16</v>
      </c>
    </row>
    <row r="67" spans="1:13" ht="31.5" hidden="1">
      <c r="A67" s="6" t="s">
        <v>232</v>
      </c>
      <c r="B67" s="7" t="s">
        <v>14</v>
      </c>
      <c r="C67" s="27">
        <v>35</v>
      </c>
      <c r="D67" s="7">
        <v>1</v>
      </c>
      <c r="E67" s="7">
        <v>20</v>
      </c>
      <c r="F67" s="7">
        <v>20</v>
      </c>
      <c r="G67" s="28"/>
      <c r="H67" s="29"/>
      <c r="I67" s="29"/>
      <c r="J67" s="7"/>
      <c r="K67" s="41" t="s">
        <v>204</v>
      </c>
      <c r="L67" s="41"/>
      <c r="M67" s="41"/>
    </row>
    <row r="68" spans="1:13" ht="21" hidden="1">
      <c r="A68" s="30" t="s">
        <v>37</v>
      </c>
      <c r="B68" s="13" t="s">
        <v>18</v>
      </c>
      <c r="C68" s="14">
        <v>36</v>
      </c>
      <c r="D68" s="14">
        <v>1</v>
      </c>
      <c r="E68" s="14">
        <v>1</v>
      </c>
      <c r="F68" s="14">
        <v>1</v>
      </c>
      <c r="G68" s="15" t="s">
        <v>205</v>
      </c>
      <c r="H68" s="16"/>
      <c r="I68" s="16"/>
      <c r="J68" s="14"/>
      <c r="K68" s="14"/>
      <c r="L68" s="14"/>
      <c r="M68" s="17"/>
    </row>
    <row r="69" spans="1:13" ht="12.5" hidden="1">
      <c r="A69" s="42" t="s">
        <v>206</v>
      </c>
      <c r="B69" s="13" t="s">
        <v>207</v>
      </c>
      <c r="C69" s="14">
        <v>37</v>
      </c>
      <c r="D69" s="14">
        <v>2</v>
      </c>
      <c r="E69" s="14">
        <f>D69+F69-1</f>
        <v>10</v>
      </c>
      <c r="F69" s="14">
        <v>9</v>
      </c>
      <c r="G69" s="15" t="s">
        <v>233</v>
      </c>
      <c r="H69" s="16"/>
      <c r="I69" s="16"/>
      <c r="J69" s="14"/>
      <c r="K69" s="14"/>
      <c r="L69" s="14"/>
      <c r="M69" s="17"/>
    </row>
    <row r="70" spans="1:13" ht="13" hidden="1" thickBot="1">
      <c r="A70" s="50" t="s">
        <v>217</v>
      </c>
      <c r="B70" s="51" t="s">
        <v>25</v>
      </c>
      <c r="C70" s="52">
        <v>38</v>
      </c>
      <c r="D70" s="52">
        <v>11</v>
      </c>
      <c r="E70" s="52">
        <f>D70+F70-1</f>
        <v>20</v>
      </c>
      <c r="F70" s="52">
        <v>10</v>
      </c>
      <c r="G70" s="53" t="s">
        <v>219</v>
      </c>
      <c r="H70" s="54"/>
      <c r="I70" s="54"/>
      <c r="J70" s="52"/>
      <c r="K70" s="52"/>
      <c r="L70" s="52"/>
      <c r="M70" s="17"/>
    </row>
    <row r="71" spans="1:13" hidden="1">
      <c r="M71" s="47"/>
    </row>
    <row r="72" spans="1:13" s="5" customFormat="1" ht="57.75" hidden="1" customHeight="1">
      <c r="A72" s="1" t="s">
        <v>0</v>
      </c>
      <c r="B72" s="2" t="s">
        <v>1</v>
      </c>
      <c r="C72" s="2" t="s">
        <v>2</v>
      </c>
      <c r="D72" s="2" t="s">
        <v>3</v>
      </c>
      <c r="E72" s="2" t="s">
        <v>4</v>
      </c>
      <c r="F72" s="2" t="s">
        <v>5</v>
      </c>
      <c r="G72" s="3" t="s">
        <v>6</v>
      </c>
      <c r="H72" s="2" t="s">
        <v>7</v>
      </c>
      <c r="I72" s="2" t="s">
        <v>8</v>
      </c>
      <c r="J72" s="2" t="s">
        <v>9</v>
      </c>
      <c r="K72" s="2" t="s">
        <v>10</v>
      </c>
      <c r="L72" s="2" t="s">
        <v>11</v>
      </c>
      <c r="M72" s="4" t="s">
        <v>12</v>
      </c>
    </row>
    <row r="73" spans="1:13" ht="11.5" hidden="1">
      <c r="A73" s="48" t="s">
        <v>234</v>
      </c>
      <c r="B73" s="14"/>
      <c r="C73" s="14"/>
      <c r="D73" s="14">
        <v>1</v>
      </c>
      <c r="E73" s="14">
        <v>103</v>
      </c>
      <c r="F73" s="14">
        <v>103</v>
      </c>
      <c r="G73" s="15" t="s">
        <v>210</v>
      </c>
      <c r="H73" s="16"/>
      <c r="I73" s="16"/>
      <c r="J73" s="14"/>
      <c r="K73" s="14"/>
      <c r="L73" s="14"/>
      <c r="M73" s="17" t="s">
        <v>16</v>
      </c>
    </row>
    <row r="74" spans="1:13" ht="10.5" hidden="1">
      <c r="A74" s="6" t="s">
        <v>235</v>
      </c>
      <c r="B74" s="7" t="s">
        <v>14</v>
      </c>
      <c r="C74" s="7">
        <v>1</v>
      </c>
      <c r="D74" s="7">
        <v>1</v>
      </c>
      <c r="E74" s="7">
        <v>103</v>
      </c>
      <c r="F74" s="7">
        <v>103</v>
      </c>
      <c r="G74" s="8"/>
      <c r="H74" s="9"/>
      <c r="I74" s="9"/>
      <c r="J74" s="7"/>
      <c r="K74" s="7"/>
      <c r="L74" s="7"/>
      <c r="M74" s="17" t="s">
        <v>16</v>
      </c>
    </row>
    <row r="75" spans="1:13" ht="21" hidden="1">
      <c r="A75" s="12" t="s">
        <v>17</v>
      </c>
      <c r="B75" s="13" t="s">
        <v>18</v>
      </c>
      <c r="C75" s="14">
        <v>2</v>
      </c>
      <c r="D75" s="14">
        <v>1</v>
      </c>
      <c r="E75" s="14">
        <f>D75+F75-1</f>
        <v>1</v>
      </c>
      <c r="F75" s="14">
        <v>1</v>
      </c>
      <c r="G75" s="15" t="s">
        <v>19</v>
      </c>
      <c r="H75" s="16"/>
      <c r="I75" s="16"/>
      <c r="J75" s="14"/>
      <c r="K75" s="14"/>
      <c r="L75" s="14"/>
      <c r="M75" s="17" t="s">
        <v>16</v>
      </c>
    </row>
    <row r="76" spans="1:13" ht="12.5" hidden="1">
      <c r="A76" s="12" t="s">
        <v>212</v>
      </c>
      <c r="B76" s="13" t="s">
        <v>213</v>
      </c>
      <c r="C76" s="14">
        <v>3</v>
      </c>
      <c r="D76" s="14">
        <f>E75+1</f>
        <v>2</v>
      </c>
      <c r="E76" s="14">
        <f>D76+F76-1</f>
        <v>9</v>
      </c>
      <c r="F76" s="14">
        <v>8</v>
      </c>
      <c r="G76" s="25" t="s">
        <v>214</v>
      </c>
      <c r="H76" s="26"/>
      <c r="I76" s="26"/>
      <c r="J76" s="14"/>
      <c r="K76" s="14"/>
      <c r="L76" s="14"/>
      <c r="M76" s="17" t="s">
        <v>16</v>
      </c>
    </row>
    <row r="77" spans="1:13" ht="12.5" hidden="1">
      <c r="A77" s="12" t="s">
        <v>215</v>
      </c>
      <c r="B77" s="13" t="s">
        <v>216</v>
      </c>
      <c r="C77" s="14">
        <v>4</v>
      </c>
      <c r="D77" s="14">
        <f>E76+1</f>
        <v>10</v>
      </c>
      <c r="E77" s="14">
        <f>D77+F77-1</f>
        <v>17</v>
      </c>
      <c r="F77" s="14">
        <v>8</v>
      </c>
      <c r="G77" s="25" t="s">
        <v>29</v>
      </c>
      <c r="H77" s="26"/>
      <c r="I77" s="26"/>
      <c r="J77" s="14"/>
      <c r="K77" s="14"/>
      <c r="L77" s="14"/>
      <c r="M77" s="17" t="s">
        <v>16</v>
      </c>
    </row>
    <row r="78" spans="1:13" hidden="1">
      <c r="A78" s="42" t="s">
        <v>217</v>
      </c>
      <c r="B78" s="32" t="s">
        <v>236</v>
      </c>
      <c r="C78" s="14">
        <v>5</v>
      </c>
      <c r="D78" s="14">
        <f>E77+1</f>
        <v>18</v>
      </c>
      <c r="E78" s="14">
        <f>D78+F78-1</f>
        <v>103</v>
      </c>
      <c r="F78" s="14">
        <v>86</v>
      </c>
      <c r="G78" s="15" t="s">
        <v>219</v>
      </c>
      <c r="H78" s="16"/>
      <c r="I78" s="16"/>
      <c r="J78" s="14"/>
      <c r="K78" s="14"/>
      <c r="L78" s="14"/>
      <c r="M78" s="17" t="s">
        <v>16</v>
      </c>
    </row>
    <row r="79" spans="1:13" ht="10.5" hidden="1">
      <c r="A79" s="6" t="s">
        <v>237</v>
      </c>
      <c r="B79" s="7" t="s">
        <v>14</v>
      </c>
      <c r="C79" s="27">
        <v>6</v>
      </c>
      <c r="D79" s="7">
        <v>1</v>
      </c>
      <c r="E79" s="7">
        <v>103</v>
      </c>
      <c r="F79" s="7">
        <v>103</v>
      </c>
      <c r="G79" s="28"/>
      <c r="H79" s="29"/>
      <c r="I79" s="29"/>
      <c r="J79" s="7"/>
      <c r="K79" s="7"/>
      <c r="L79" s="7"/>
      <c r="M79" s="17" t="s">
        <v>16</v>
      </c>
    </row>
    <row r="80" spans="1:13" ht="21" hidden="1">
      <c r="A80" s="30" t="s">
        <v>37</v>
      </c>
      <c r="B80" s="13" t="s">
        <v>18</v>
      </c>
      <c r="C80" s="14">
        <v>7</v>
      </c>
      <c r="D80" s="31">
        <v>1</v>
      </c>
      <c r="E80" s="14">
        <f>D80+F80-1</f>
        <v>1</v>
      </c>
      <c r="F80" s="31">
        <v>1</v>
      </c>
      <c r="G80" s="15" t="s">
        <v>38</v>
      </c>
      <c r="H80" s="16"/>
      <c r="I80" s="16"/>
      <c r="J80" s="31"/>
      <c r="K80" s="31"/>
      <c r="L80" s="31"/>
      <c r="M80" s="17" t="s">
        <v>16</v>
      </c>
    </row>
    <row r="81" spans="1:13" ht="24" hidden="1" customHeight="1">
      <c r="A81" s="49" t="s">
        <v>238</v>
      </c>
      <c r="B81" s="13" t="s">
        <v>239</v>
      </c>
      <c r="C81" s="14">
        <v>8</v>
      </c>
      <c r="D81" s="14">
        <f>E80+1</f>
        <v>2</v>
      </c>
      <c r="E81" s="14">
        <f>D81+F81-1</f>
        <v>3</v>
      </c>
      <c r="F81" s="14">
        <v>2</v>
      </c>
      <c r="G81" s="34" t="s">
        <v>240</v>
      </c>
      <c r="H81" s="16" t="s">
        <v>20</v>
      </c>
      <c r="I81" s="16" t="s">
        <v>241</v>
      </c>
      <c r="J81" s="33" t="s">
        <v>242</v>
      </c>
      <c r="K81" s="32" t="s">
        <v>39</v>
      </c>
      <c r="L81" s="36">
        <v>611</v>
      </c>
      <c r="M81" s="17" t="s">
        <v>16</v>
      </c>
    </row>
    <row r="82" spans="1:13" ht="24" hidden="1" customHeight="1">
      <c r="A82" s="49" t="s">
        <v>243</v>
      </c>
      <c r="B82" s="13" t="s">
        <v>73</v>
      </c>
      <c r="C82" s="14">
        <v>8</v>
      </c>
      <c r="D82" s="14">
        <f>E81+1</f>
        <v>4</v>
      </c>
      <c r="E82" s="14">
        <f>D82+F82-1</f>
        <v>103</v>
      </c>
      <c r="F82" s="14">
        <v>100</v>
      </c>
      <c r="G82" s="34" t="s">
        <v>244</v>
      </c>
      <c r="H82" s="16" t="s">
        <v>20</v>
      </c>
      <c r="I82" s="16" t="s">
        <v>241</v>
      </c>
      <c r="J82" s="33" t="s">
        <v>245</v>
      </c>
      <c r="K82" s="32" t="s">
        <v>39</v>
      </c>
      <c r="L82" s="36">
        <v>611</v>
      </c>
      <c r="M82" s="17" t="s">
        <v>16</v>
      </c>
    </row>
    <row r="83" spans="1:13" ht="31.5" hidden="1">
      <c r="A83" s="6" t="s">
        <v>246</v>
      </c>
      <c r="B83" s="7" t="s">
        <v>14</v>
      </c>
      <c r="C83" s="27">
        <v>35</v>
      </c>
      <c r="D83" s="7">
        <v>1</v>
      </c>
      <c r="E83" s="7">
        <v>103</v>
      </c>
      <c r="F83" s="7">
        <v>103</v>
      </c>
      <c r="G83" s="28"/>
      <c r="H83" s="29"/>
      <c r="I83" s="29"/>
      <c r="J83" s="7"/>
      <c r="K83" s="41" t="s">
        <v>204</v>
      </c>
      <c r="L83" s="41"/>
      <c r="M83" s="41"/>
    </row>
    <row r="84" spans="1:13" ht="21" hidden="1">
      <c r="A84" s="30" t="s">
        <v>37</v>
      </c>
      <c r="B84" s="13" t="s">
        <v>18</v>
      </c>
      <c r="C84" s="14">
        <v>36</v>
      </c>
      <c r="D84" s="14">
        <v>1</v>
      </c>
      <c r="E84" s="14">
        <v>1</v>
      </c>
      <c r="F84" s="14">
        <v>1</v>
      </c>
      <c r="G84" s="15" t="s">
        <v>205</v>
      </c>
      <c r="H84" s="16"/>
      <c r="I84" s="16"/>
      <c r="J84" s="14"/>
      <c r="K84" s="14"/>
      <c r="L84" s="14"/>
      <c r="M84" s="17"/>
    </row>
    <row r="85" spans="1:13" ht="12.5" hidden="1">
      <c r="A85" s="42" t="s">
        <v>206</v>
      </c>
      <c r="B85" s="13" t="s">
        <v>207</v>
      </c>
      <c r="C85" s="14">
        <v>37</v>
      </c>
      <c r="D85" s="14">
        <v>2</v>
      </c>
      <c r="E85" s="14">
        <f>D85+F85-1</f>
        <v>10</v>
      </c>
      <c r="F85" s="14">
        <v>9</v>
      </c>
      <c r="G85" s="15" t="s">
        <v>233</v>
      </c>
      <c r="H85" s="16"/>
      <c r="I85" s="16"/>
      <c r="J85" s="14"/>
      <c r="K85" s="14"/>
      <c r="L85" s="14"/>
      <c r="M85" s="17"/>
    </row>
    <row r="86" spans="1:13" ht="13" hidden="1" thickBot="1">
      <c r="A86" s="50" t="s">
        <v>217</v>
      </c>
      <c r="B86" s="51" t="s">
        <v>247</v>
      </c>
      <c r="C86" s="52">
        <v>38</v>
      </c>
      <c r="D86" s="52">
        <v>11</v>
      </c>
      <c r="E86" s="52">
        <f>D86+F86-1</f>
        <v>103</v>
      </c>
      <c r="F86" s="52">
        <v>93</v>
      </c>
      <c r="G86" s="53" t="s">
        <v>219</v>
      </c>
      <c r="H86" s="54"/>
      <c r="I86" s="54"/>
      <c r="J86" s="52"/>
      <c r="K86" s="52"/>
      <c r="L86" s="52"/>
      <c r="M86" s="17"/>
    </row>
    <row r="87" spans="1:13" hidden="1"/>
    <row r="88" spans="1:13" hidden="1"/>
    <row r="89" spans="1:13" s="5" customFormat="1" ht="57.75" hidden="1" customHeight="1">
      <c r="A89" s="1" t="s">
        <v>0</v>
      </c>
      <c r="B89" s="2" t="s">
        <v>1</v>
      </c>
      <c r="C89" s="2" t="s">
        <v>2</v>
      </c>
      <c r="D89" s="2" t="s">
        <v>3</v>
      </c>
      <c r="E89" s="2" t="s">
        <v>4</v>
      </c>
      <c r="F89" s="2" t="s">
        <v>5</v>
      </c>
      <c r="G89" s="3" t="s">
        <v>6</v>
      </c>
      <c r="H89" s="2" t="s">
        <v>7</v>
      </c>
      <c r="I89" s="2" t="s">
        <v>8</v>
      </c>
      <c r="J89" s="2" t="s">
        <v>9</v>
      </c>
      <c r="K89" s="2" t="s">
        <v>10</v>
      </c>
      <c r="L89" s="2" t="s">
        <v>11</v>
      </c>
      <c r="M89" s="4" t="s">
        <v>12</v>
      </c>
    </row>
    <row r="90" spans="1:13" ht="11.5" hidden="1">
      <c r="A90" s="48" t="s">
        <v>248</v>
      </c>
      <c r="B90" s="14"/>
      <c r="C90" s="14"/>
      <c r="D90" s="14">
        <v>1</v>
      </c>
      <c r="E90" s="14">
        <v>33</v>
      </c>
      <c r="F90" s="14">
        <v>33</v>
      </c>
      <c r="G90" s="15" t="s">
        <v>210</v>
      </c>
      <c r="H90" s="16"/>
      <c r="I90" s="16"/>
      <c r="J90" s="14"/>
      <c r="K90" s="14"/>
      <c r="L90" s="14"/>
      <c r="M90" s="17" t="s">
        <v>16</v>
      </c>
    </row>
    <row r="91" spans="1:13" ht="10.5" hidden="1">
      <c r="A91" s="6" t="s">
        <v>249</v>
      </c>
      <c r="B91" s="7" t="s">
        <v>14</v>
      </c>
      <c r="C91" s="7">
        <v>1</v>
      </c>
      <c r="D91" s="7">
        <v>1</v>
      </c>
      <c r="E91" s="7">
        <v>33</v>
      </c>
      <c r="F91" s="7">
        <v>33</v>
      </c>
      <c r="G91" s="8"/>
      <c r="H91" s="9"/>
      <c r="I91" s="9"/>
      <c r="J91" s="7"/>
      <c r="K91" s="7"/>
      <c r="L91" s="7"/>
      <c r="M91" s="17" t="s">
        <v>16</v>
      </c>
    </row>
    <row r="92" spans="1:13" ht="21" hidden="1">
      <c r="A92" s="12" t="s">
        <v>17</v>
      </c>
      <c r="B92" s="13" t="s">
        <v>18</v>
      </c>
      <c r="C92" s="14">
        <v>2</v>
      </c>
      <c r="D92" s="14">
        <v>1</v>
      </c>
      <c r="E92" s="14">
        <f>D92+F92-1</f>
        <v>1</v>
      </c>
      <c r="F92" s="14">
        <v>1</v>
      </c>
      <c r="G92" s="15" t="s">
        <v>19</v>
      </c>
      <c r="H92" s="16"/>
      <c r="I92" s="16"/>
      <c r="J92" s="14"/>
      <c r="K92" s="14"/>
      <c r="L92" s="14"/>
      <c r="M92" s="17" t="s">
        <v>16</v>
      </c>
    </row>
    <row r="93" spans="1:13" ht="12.5" hidden="1">
      <c r="A93" s="12" t="s">
        <v>212</v>
      </c>
      <c r="B93" s="13" t="s">
        <v>213</v>
      </c>
      <c r="C93" s="14">
        <v>3</v>
      </c>
      <c r="D93" s="14">
        <f>E92+1</f>
        <v>2</v>
      </c>
      <c r="E93" s="14">
        <f>D93+F93-1</f>
        <v>9</v>
      </c>
      <c r="F93" s="14">
        <v>8</v>
      </c>
      <c r="G93" s="25" t="s">
        <v>214</v>
      </c>
      <c r="H93" s="26"/>
      <c r="I93" s="26"/>
      <c r="J93" s="14"/>
      <c r="K93" s="14"/>
      <c r="L93" s="14"/>
      <c r="M93" s="17" t="s">
        <v>16</v>
      </c>
    </row>
    <row r="94" spans="1:13" ht="12.5" hidden="1">
      <c r="A94" s="12" t="s">
        <v>215</v>
      </c>
      <c r="B94" s="13" t="s">
        <v>216</v>
      </c>
      <c r="C94" s="14">
        <v>4</v>
      </c>
      <c r="D94" s="14">
        <f>E93+1</f>
        <v>10</v>
      </c>
      <c r="E94" s="14">
        <f>D94+F94-1</f>
        <v>17</v>
      </c>
      <c r="F94" s="14">
        <v>8</v>
      </c>
      <c r="G94" s="25" t="s">
        <v>29</v>
      </c>
      <c r="H94" s="26"/>
      <c r="I94" s="26"/>
      <c r="J94" s="14"/>
      <c r="K94" s="14"/>
      <c r="L94" s="14"/>
      <c r="M94" s="17" t="s">
        <v>16</v>
      </c>
    </row>
    <row r="95" spans="1:13" hidden="1">
      <c r="A95" s="42" t="s">
        <v>217</v>
      </c>
      <c r="B95" s="32" t="s">
        <v>250</v>
      </c>
      <c r="C95" s="14">
        <v>5</v>
      </c>
      <c r="D95" s="14">
        <f>E94+1</f>
        <v>18</v>
      </c>
      <c r="E95" s="14">
        <f>D95+F95-1</f>
        <v>33</v>
      </c>
      <c r="F95" s="14">
        <v>16</v>
      </c>
      <c r="G95" s="15" t="s">
        <v>219</v>
      </c>
      <c r="H95" s="16"/>
      <c r="I95" s="16"/>
      <c r="J95" s="14"/>
      <c r="K95" s="14"/>
      <c r="L95" s="14"/>
      <c r="M95" s="17" t="s">
        <v>16</v>
      </c>
    </row>
    <row r="96" spans="1:13" ht="10.5" hidden="1">
      <c r="A96" s="6" t="s">
        <v>251</v>
      </c>
      <c r="B96" s="7" t="s">
        <v>14</v>
      </c>
      <c r="C96" s="27">
        <v>6</v>
      </c>
      <c r="D96" s="7">
        <v>1</v>
      </c>
      <c r="E96" s="7">
        <v>33</v>
      </c>
      <c r="F96" s="7">
        <v>33</v>
      </c>
      <c r="G96" s="28"/>
      <c r="H96" s="29"/>
      <c r="I96" s="29"/>
      <c r="J96" s="7"/>
      <c r="K96" s="7"/>
      <c r="L96" s="7"/>
      <c r="M96" s="17" t="s">
        <v>16</v>
      </c>
    </row>
    <row r="97" spans="1:13" ht="21" hidden="1">
      <c r="A97" s="30" t="s">
        <v>37</v>
      </c>
      <c r="B97" s="13" t="s">
        <v>18</v>
      </c>
      <c r="C97" s="14">
        <v>7</v>
      </c>
      <c r="D97" s="31">
        <v>1</v>
      </c>
      <c r="E97" s="14">
        <f>D97+F97-1</f>
        <v>1</v>
      </c>
      <c r="F97" s="31">
        <v>1</v>
      </c>
      <c r="G97" s="15" t="s">
        <v>38</v>
      </c>
      <c r="H97" s="16"/>
      <c r="I97" s="16"/>
      <c r="J97" s="31"/>
      <c r="K97" s="31"/>
      <c r="L97" s="31"/>
      <c r="M97" s="17" t="s">
        <v>16</v>
      </c>
    </row>
    <row r="98" spans="1:13" ht="24" hidden="1" customHeight="1">
      <c r="A98" s="49" t="s">
        <v>252</v>
      </c>
      <c r="B98" s="13" t="s">
        <v>253</v>
      </c>
      <c r="C98" s="14">
        <v>8</v>
      </c>
      <c r="D98" s="14">
        <f>E97+1</f>
        <v>2</v>
      </c>
      <c r="E98" s="14">
        <f>D98+F98-1</f>
        <v>3</v>
      </c>
      <c r="F98" s="14">
        <v>2</v>
      </c>
      <c r="G98" s="34" t="s">
        <v>254</v>
      </c>
      <c r="H98" s="16" t="s">
        <v>20</v>
      </c>
      <c r="I98" s="16" t="s">
        <v>255</v>
      </c>
      <c r="J98" s="33" t="s">
        <v>256</v>
      </c>
      <c r="K98" s="32" t="s">
        <v>39</v>
      </c>
      <c r="L98" s="36">
        <v>611</v>
      </c>
      <c r="M98" s="17" t="s">
        <v>16</v>
      </c>
    </row>
    <row r="99" spans="1:13" ht="24" hidden="1" customHeight="1">
      <c r="A99" s="49" t="s">
        <v>257</v>
      </c>
      <c r="B99" s="13" t="s">
        <v>253</v>
      </c>
      <c r="C99" s="14">
        <v>8</v>
      </c>
      <c r="D99" s="14">
        <f>E98+1</f>
        <v>4</v>
      </c>
      <c r="E99" s="14">
        <f>D99+F99-1</f>
        <v>33</v>
      </c>
      <c r="F99" s="14">
        <v>30</v>
      </c>
      <c r="G99" s="34" t="s">
        <v>258</v>
      </c>
      <c r="H99" s="16" t="s">
        <v>20</v>
      </c>
      <c r="I99" s="16" t="s">
        <v>255</v>
      </c>
      <c r="J99" s="33" t="s">
        <v>259</v>
      </c>
      <c r="K99" s="32" t="s">
        <v>39</v>
      </c>
      <c r="L99" s="36">
        <v>611</v>
      </c>
      <c r="M99" s="17" t="s">
        <v>16</v>
      </c>
    </row>
    <row r="100" spans="1:13" ht="31.5" hidden="1">
      <c r="A100" s="6" t="s">
        <v>260</v>
      </c>
      <c r="B100" s="7" t="s">
        <v>14</v>
      </c>
      <c r="C100" s="27">
        <v>35</v>
      </c>
      <c r="D100" s="7">
        <v>1</v>
      </c>
      <c r="E100" s="7">
        <v>33</v>
      </c>
      <c r="F100" s="7">
        <v>33</v>
      </c>
      <c r="G100" s="28"/>
      <c r="H100" s="29"/>
      <c r="I100" s="29"/>
      <c r="J100" s="7"/>
      <c r="K100" s="41" t="s">
        <v>204</v>
      </c>
      <c r="L100" s="41"/>
      <c r="M100" s="41"/>
    </row>
    <row r="101" spans="1:13" ht="21" hidden="1">
      <c r="A101" s="30" t="s">
        <v>37</v>
      </c>
      <c r="B101" s="13" t="s">
        <v>18</v>
      </c>
      <c r="C101" s="14">
        <v>36</v>
      </c>
      <c r="D101" s="14">
        <v>1</v>
      </c>
      <c r="E101" s="14">
        <v>1</v>
      </c>
      <c r="F101" s="14">
        <v>1</v>
      </c>
      <c r="G101" s="15" t="s">
        <v>205</v>
      </c>
      <c r="H101" s="16"/>
      <c r="I101" s="16"/>
      <c r="J101" s="14"/>
      <c r="K101" s="14"/>
      <c r="L101" s="14"/>
      <c r="M101" s="17"/>
    </row>
    <row r="102" spans="1:13" ht="12.5" hidden="1">
      <c r="A102" s="42" t="s">
        <v>206</v>
      </c>
      <c r="B102" s="13" t="s">
        <v>207</v>
      </c>
      <c r="C102" s="14">
        <v>37</v>
      </c>
      <c r="D102" s="14">
        <v>2</v>
      </c>
      <c r="E102" s="14">
        <f>D102+F102-1</f>
        <v>10</v>
      </c>
      <c r="F102" s="14">
        <v>9</v>
      </c>
      <c r="G102" s="15" t="s">
        <v>233</v>
      </c>
      <c r="H102" s="16"/>
      <c r="I102" s="16"/>
      <c r="J102" s="14"/>
      <c r="K102" s="14"/>
      <c r="L102" s="14"/>
      <c r="M102" s="17"/>
    </row>
    <row r="103" spans="1:13" ht="13" hidden="1" thickBot="1">
      <c r="A103" s="50" t="s">
        <v>217</v>
      </c>
      <c r="B103" s="51" t="s">
        <v>261</v>
      </c>
      <c r="C103" s="52">
        <v>38</v>
      </c>
      <c r="D103" s="52">
        <v>11</v>
      </c>
      <c r="E103" s="52">
        <f>D103+F103-1</f>
        <v>33</v>
      </c>
      <c r="F103" s="52">
        <v>23</v>
      </c>
      <c r="G103" s="53" t="s">
        <v>219</v>
      </c>
      <c r="H103" s="54"/>
      <c r="I103" s="54"/>
      <c r="J103" s="52"/>
      <c r="K103" s="52"/>
      <c r="L103" s="52"/>
      <c r="M103" s="17"/>
    </row>
    <row r="104" spans="1:13" hidden="1"/>
    <row r="105" spans="1:13" hidden="1"/>
    <row r="106" spans="1:13" s="5" customFormat="1" ht="57.75" hidden="1" customHeight="1">
      <c r="A106" s="1" t="s">
        <v>0</v>
      </c>
      <c r="B106" s="2" t="s">
        <v>1</v>
      </c>
      <c r="C106" s="2" t="s">
        <v>2</v>
      </c>
      <c r="D106" s="2" t="s">
        <v>3</v>
      </c>
      <c r="E106" s="2" t="s">
        <v>4</v>
      </c>
      <c r="F106" s="2" t="s">
        <v>5</v>
      </c>
      <c r="G106" s="3" t="s">
        <v>6</v>
      </c>
      <c r="H106" s="2" t="s">
        <v>7</v>
      </c>
      <c r="I106" s="2" t="s">
        <v>8</v>
      </c>
      <c r="J106" s="2" t="s">
        <v>9</v>
      </c>
      <c r="K106" s="2" t="s">
        <v>10</v>
      </c>
      <c r="L106" s="2" t="s">
        <v>11</v>
      </c>
      <c r="M106" s="4" t="s">
        <v>12</v>
      </c>
    </row>
    <row r="107" spans="1:13" ht="11.5" hidden="1">
      <c r="A107" s="48" t="s">
        <v>262</v>
      </c>
      <c r="B107" s="14"/>
      <c r="C107" s="14"/>
      <c r="D107" s="14">
        <v>1</v>
      </c>
      <c r="E107" s="14">
        <v>33</v>
      </c>
      <c r="F107" s="14">
        <v>33</v>
      </c>
      <c r="G107" s="15" t="s">
        <v>210</v>
      </c>
      <c r="H107" s="16"/>
      <c r="I107" s="16"/>
      <c r="J107" s="14"/>
      <c r="K107" s="14"/>
      <c r="L107" s="14"/>
      <c r="M107" s="17" t="s">
        <v>16</v>
      </c>
    </row>
    <row r="108" spans="1:13" ht="10.5" hidden="1">
      <c r="A108" s="6" t="s">
        <v>263</v>
      </c>
      <c r="B108" s="7" t="s">
        <v>14</v>
      </c>
      <c r="C108" s="7">
        <v>1</v>
      </c>
      <c r="D108" s="7">
        <v>1</v>
      </c>
      <c r="E108" s="7">
        <v>33</v>
      </c>
      <c r="F108" s="7">
        <v>33</v>
      </c>
      <c r="G108" s="8"/>
      <c r="H108" s="9"/>
      <c r="I108" s="9"/>
      <c r="J108" s="7"/>
      <c r="K108" s="7"/>
      <c r="L108" s="7"/>
      <c r="M108" s="17" t="s">
        <v>16</v>
      </c>
    </row>
    <row r="109" spans="1:13" ht="21" hidden="1">
      <c r="A109" s="12" t="s">
        <v>17</v>
      </c>
      <c r="B109" s="13" t="s">
        <v>18</v>
      </c>
      <c r="C109" s="14">
        <v>2</v>
      </c>
      <c r="D109" s="14">
        <v>1</v>
      </c>
      <c r="E109" s="14">
        <f>D109+F109-1</f>
        <v>1</v>
      </c>
      <c r="F109" s="14">
        <v>1</v>
      </c>
      <c r="G109" s="15" t="s">
        <v>19</v>
      </c>
      <c r="H109" s="16"/>
      <c r="I109" s="16"/>
      <c r="J109" s="14"/>
      <c r="K109" s="14"/>
      <c r="L109" s="14"/>
      <c r="M109" s="17" t="s">
        <v>16</v>
      </c>
    </row>
    <row r="110" spans="1:13" ht="12.5" hidden="1">
      <c r="A110" s="12" t="s">
        <v>212</v>
      </c>
      <c r="B110" s="13" t="s">
        <v>213</v>
      </c>
      <c r="C110" s="14">
        <v>3</v>
      </c>
      <c r="D110" s="14">
        <f>E109+1</f>
        <v>2</v>
      </c>
      <c r="E110" s="14">
        <f>D110+F110-1</f>
        <v>9</v>
      </c>
      <c r="F110" s="14">
        <v>8</v>
      </c>
      <c r="G110" s="25" t="s">
        <v>214</v>
      </c>
      <c r="H110" s="26"/>
      <c r="I110" s="26"/>
      <c r="J110" s="14"/>
      <c r="K110" s="14"/>
      <c r="L110" s="14"/>
      <c r="M110" s="17" t="s">
        <v>16</v>
      </c>
    </row>
    <row r="111" spans="1:13" ht="12.5" hidden="1">
      <c r="A111" s="12" t="s">
        <v>215</v>
      </c>
      <c r="B111" s="13" t="s">
        <v>216</v>
      </c>
      <c r="C111" s="14">
        <v>4</v>
      </c>
      <c r="D111" s="14">
        <f>E110+1</f>
        <v>10</v>
      </c>
      <c r="E111" s="14">
        <f>D111+F111-1</f>
        <v>17</v>
      </c>
      <c r="F111" s="14">
        <v>8</v>
      </c>
      <c r="G111" s="25" t="s">
        <v>29</v>
      </c>
      <c r="H111" s="26"/>
      <c r="I111" s="26"/>
      <c r="J111" s="14"/>
      <c r="K111" s="14"/>
      <c r="L111" s="14"/>
      <c r="M111" s="17" t="s">
        <v>16</v>
      </c>
    </row>
    <row r="112" spans="1:13" hidden="1">
      <c r="A112" s="42" t="s">
        <v>217</v>
      </c>
      <c r="B112" s="32" t="s">
        <v>250</v>
      </c>
      <c r="C112" s="14">
        <v>5</v>
      </c>
      <c r="D112" s="14">
        <f>E111+1</f>
        <v>18</v>
      </c>
      <c r="E112" s="14">
        <f>D112+F112-1</f>
        <v>33</v>
      </c>
      <c r="F112" s="14">
        <v>16</v>
      </c>
      <c r="G112" s="15" t="s">
        <v>219</v>
      </c>
      <c r="H112" s="16"/>
      <c r="I112" s="16"/>
      <c r="J112" s="14"/>
      <c r="K112" s="14"/>
      <c r="L112" s="14"/>
      <c r="M112" s="17" t="s">
        <v>16</v>
      </c>
    </row>
    <row r="113" spans="1:13" ht="10.5" hidden="1">
      <c r="A113" s="6" t="s">
        <v>264</v>
      </c>
      <c r="B113" s="7" t="s">
        <v>14</v>
      </c>
      <c r="C113" s="27">
        <v>6</v>
      </c>
      <c r="D113" s="7">
        <v>1</v>
      </c>
      <c r="E113" s="7">
        <v>33</v>
      </c>
      <c r="F113" s="7">
        <v>33</v>
      </c>
      <c r="G113" s="28"/>
      <c r="H113" s="29"/>
      <c r="I113" s="29"/>
      <c r="J113" s="7"/>
      <c r="K113" s="7"/>
      <c r="L113" s="7"/>
      <c r="M113" s="17" t="s">
        <v>16</v>
      </c>
    </row>
    <row r="114" spans="1:13" ht="21" hidden="1">
      <c r="A114" s="30" t="s">
        <v>37</v>
      </c>
      <c r="B114" s="13" t="s">
        <v>18</v>
      </c>
      <c r="C114" s="14">
        <v>7</v>
      </c>
      <c r="D114" s="31">
        <v>1</v>
      </c>
      <c r="E114" s="14">
        <f>D114+F114-1</f>
        <v>1</v>
      </c>
      <c r="F114" s="31">
        <v>1</v>
      </c>
      <c r="G114" s="15" t="s">
        <v>38</v>
      </c>
      <c r="H114" s="16"/>
      <c r="I114" s="16"/>
      <c r="J114" s="31"/>
      <c r="K114" s="31"/>
      <c r="L114" s="31"/>
      <c r="M114" s="17" t="s">
        <v>16</v>
      </c>
    </row>
    <row r="115" spans="1:13" ht="24" hidden="1" customHeight="1">
      <c r="A115" s="49" t="s">
        <v>265</v>
      </c>
      <c r="B115" s="13" t="s">
        <v>253</v>
      </c>
      <c r="C115" s="14">
        <v>8</v>
      </c>
      <c r="D115" s="14">
        <f>E114+1</f>
        <v>2</v>
      </c>
      <c r="E115" s="14">
        <f>D115+F115-1</f>
        <v>3</v>
      </c>
      <c r="F115" s="14">
        <v>2</v>
      </c>
      <c r="G115" s="34" t="s">
        <v>266</v>
      </c>
      <c r="H115" s="16" t="s">
        <v>20</v>
      </c>
      <c r="I115" s="16" t="s">
        <v>267</v>
      </c>
      <c r="J115" s="33" t="s">
        <v>268</v>
      </c>
      <c r="K115" s="32" t="s">
        <v>39</v>
      </c>
      <c r="L115" s="36">
        <v>611</v>
      </c>
      <c r="M115" s="17" t="s">
        <v>16</v>
      </c>
    </row>
    <row r="116" spans="1:13" ht="24" hidden="1" customHeight="1">
      <c r="A116" s="49" t="s">
        <v>269</v>
      </c>
      <c r="B116" s="13" t="s">
        <v>253</v>
      </c>
      <c r="C116" s="14">
        <v>8</v>
      </c>
      <c r="D116" s="14">
        <f>E115+1</f>
        <v>4</v>
      </c>
      <c r="E116" s="14">
        <f>D116+F116-1</f>
        <v>33</v>
      </c>
      <c r="F116" s="14">
        <v>30</v>
      </c>
      <c r="G116" s="34" t="s">
        <v>270</v>
      </c>
      <c r="H116" s="16" t="s">
        <v>20</v>
      </c>
      <c r="I116" s="16" t="s">
        <v>271</v>
      </c>
      <c r="J116" s="33" t="s">
        <v>272</v>
      </c>
      <c r="K116" s="32" t="s">
        <v>39</v>
      </c>
      <c r="L116" s="36">
        <v>611</v>
      </c>
      <c r="M116" s="17" t="s">
        <v>16</v>
      </c>
    </row>
    <row r="117" spans="1:13" ht="31.5" hidden="1">
      <c r="A117" s="6" t="s">
        <v>273</v>
      </c>
      <c r="B117" s="7" t="s">
        <v>14</v>
      </c>
      <c r="C117" s="27">
        <v>35</v>
      </c>
      <c r="D117" s="7">
        <v>1</v>
      </c>
      <c r="E117" s="7">
        <v>33</v>
      </c>
      <c r="F117" s="7">
        <v>33</v>
      </c>
      <c r="G117" s="28"/>
      <c r="H117" s="29"/>
      <c r="I117" s="29"/>
      <c r="J117" s="7"/>
      <c r="K117" s="41" t="s">
        <v>204</v>
      </c>
      <c r="L117" s="41"/>
      <c r="M117" s="41"/>
    </row>
    <row r="118" spans="1:13" ht="21" hidden="1">
      <c r="A118" s="30" t="s">
        <v>37</v>
      </c>
      <c r="B118" s="13" t="s">
        <v>18</v>
      </c>
      <c r="C118" s="14">
        <v>36</v>
      </c>
      <c r="D118" s="14">
        <v>1</v>
      </c>
      <c r="E118" s="14">
        <v>1</v>
      </c>
      <c r="F118" s="14">
        <v>1</v>
      </c>
      <c r="G118" s="15" t="s">
        <v>205</v>
      </c>
      <c r="H118" s="16"/>
      <c r="I118" s="16"/>
      <c r="J118" s="14"/>
      <c r="K118" s="14"/>
      <c r="L118" s="14"/>
      <c r="M118" s="17"/>
    </row>
    <row r="119" spans="1:13" ht="12.5" hidden="1">
      <c r="A119" s="42" t="s">
        <v>206</v>
      </c>
      <c r="B119" s="13" t="s">
        <v>207</v>
      </c>
      <c r="C119" s="14">
        <v>37</v>
      </c>
      <c r="D119" s="14">
        <v>2</v>
      </c>
      <c r="E119" s="14">
        <f>D119+F119-1</f>
        <v>10</v>
      </c>
      <c r="F119" s="14">
        <v>9</v>
      </c>
      <c r="G119" s="15" t="s">
        <v>233</v>
      </c>
      <c r="H119" s="16"/>
      <c r="I119" s="16"/>
      <c r="J119" s="14"/>
      <c r="K119" s="14"/>
      <c r="L119" s="14"/>
      <c r="M119" s="17"/>
    </row>
    <row r="120" spans="1:13" ht="13" hidden="1" thickBot="1">
      <c r="A120" s="50" t="s">
        <v>217</v>
      </c>
      <c r="B120" s="51" t="s">
        <v>261</v>
      </c>
      <c r="C120" s="52">
        <v>38</v>
      </c>
      <c r="D120" s="52">
        <v>11</v>
      </c>
      <c r="E120" s="52">
        <f>D120+F120-1</f>
        <v>33</v>
      </c>
      <c r="F120" s="52">
        <v>23</v>
      </c>
      <c r="G120" s="53" t="s">
        <v>219</v>
      </c>
      <c r="H120" s="54"/>
      <c r="I120" s="54"/>
      <c r="J120" s="52"/>
      <c r="K120" s="52"/>
      <c r="L120" s="52"/>
      <c r="M120" s="17"/>
    </row>
    <row r="121" spans="1:13" hidden="1"/>
    <row r="122" spans="1:13" hidden="1"/>
    <row r="123" spans="1:13" s="5" customFormat="1" ht="57.75" hidden="1" customHeight="1">
      <c r="A123" s="1" t="s">
        <v>0</v>
      </c>
      <c r="B123" s="2" t="s">
        <v>1</v>
      </c>
      <c r="C123" s="2" t="s">
        <v>2</v>
      </c>
      <c r="D123" s="2" t="s">
        <v>3</v>
      </c>
      <c r="E123" s="2" t="s">
        <v>4</v>
      </c>
      <c r="F123" s="2" t="s">
        <v>5</v>
      </c>
      <c r="G123" s="3" t="s">
        <v>6</v>
      </c>
      <c r="H123" s="2" t="s">
        <v>7</v>
      </c>
      <c r="I123" s="2" t="s">
        <v>8</v>
      </c>
      <c r="J123" s="2" t="s">
        <v>9</v>
      </c>
      <c r="K123" s="2" t="s">
        <v>10</v>
      </c>
      <c r="L123" s="2" t="s">
        <v>11</v>
      </c>
      <c r="M123" s="4" t="s">
        <v>12</v>
      </c>
    </row>
    <row r="124" spans="1:13" ht="11.5" hidden="1">
      <c r="A124" s="48" t="s">
        <v>274</v>
      </c>
      <c r="B124" s="14"/>
      <c r="C124" s="14"/>
      <c r="D124" s="14">
        <v>1</v>
      </c>
      <c r="E124" s="14">
        <v>24</v>
      </c>
      <c r="F124" s="14">
        <v>24</v>
      </c>
      <c r="G124" s="15" t="s">
        <v>210</v>
      </c>
      <c r="H124" s="16"/>
      <c r="I124" s="16"/>
      <c r="J124" s="14"/>
      <c r="K124" s="14"/>
      <c r="L124" s="14"/>
      <c r="M124" s="17" t="s">
        <v>16</v>
      </c>
    </row>
    <row r="125" spans="1:13" ht="10.5" hidden="1">
      <c r="A125" s="6" t="s">
        <v>275</v>
      </c>
      <c r="B125" s="7" t="s">
        <v>14</v>
      </c>
      <c r="C125" s="7">
        <v>1</v>
      </c>
      <c r="D125" s="7">
        <v>1</v>
      </c>
      <c r="E125" s="7">
        <v>24</v>
      </c>
      <c r="F125" s="7">
        <v>24</v>
      </c>
      <c r="G125" s="8"/>
      <c r="H125" s="9"/>
      <c r="I125" s="9"/>
      <c r="J125" s="7"/>
      <c r="K125" s="7"/>
      <c r="L125" s="7"/>
      <c r="M125" s="17" t="s">
        <v>16</v>
      </c>
    </row>
    <row r="126" spans="1:13" ht="21" hidden="1">
      <c r="A126" s="12" t="s">
        <v>17</v>
      </c>
      <c r="B126" s="13" t="s">
        <v>18</v>
      </c>
      <c r="C126" s="14">
        <v>2</v>
      </c>
      <c r="D126" s="14">
        <v>1</v>
      </c>
      <c r="E126" s="14">
        <f>D126+F126-1</f>
        <v>1</v>
      </c>
      <c r="F126" s="14">
        <v>1</v>
      </c>
      <c r="G126" s="15" t="s">
        <v>19</v>
      </c>
      <c r="H126" s="16"/>
      <c r="I126" s="16"/>
      <c r="J126" s="14"/>
      <c r="K126" s="14"/>
      <c r="L126" s="14"/>
      <c r="M126" s="17" t="s">
        <v>16</v>
      </c>
    </row>
    <row r="127" spans="1:13" ht="12.5" hidden="1">
      <c r="A127" s="12" t="s">
        <v>212</v>
      </c>
      <c r="B127" s="13" t="s">
        <v>213</v>
      </c>
      <c r="C127" s="14">
        <v>3</v>
      </c>
      <c r="D127" s="14">
        <f>E126+1</f>
        <v>2</v>
      </c>
      <c r="E127" s="14">
        <f>D127+F127-1</f>
        <v>9</v>
      </c>
      <c r="F127" s="14">
        <v>8</v>
      </c>
      <c r="G127" s="25" t="s">
        <v>214</v>
      </c>
      <c r="H127" s="26"/>
      <c r="I127" s="26"/>
      <c r="J127" s="14"/>
      <c r="K127" s="14"/>
      <c r="L127" s="14"/>
      <c r="M127" s="17" t="s">
        <v>16</v>
      </c>
    </row>
    <row r="128" spans="1:13" ht="12.5" hidden="1">
      <c r="A128" s="12" t="s">
        <v>215</v>
      </c>
      <c r="B128" s="13" t="s">
        <v>216</v>
      </c>
      <c r="C128" s="14">
        <v>4</v>
      </c>
      <c r="D128" s="14">
        <f>E127+1</f>
        <v>10</v>
      </c>
      <c r="E128" s="14">
        <f>D128+F128-1</f>
        <v>17</v>
      </c>
      <c r="F128" s="14">
        <v>8</v>
      </c>
      <c r="G128" s="25" t="s">
        <v>29</v>
      </c>
      <c r="H128" s="26"/>
      <c r="I128" s="26"/>
      <c r="J128" s="14"/>
      <c r="K128" s="14"/>
      <c r="L128" s="14"/>
      <c r="M128" s="17" t="s">
        <v>16</v>
      </c>
    </row>
    <row r="129" spans="1:13" hidden="1">
      <c r="A129" s="42" t="s">
        <v>217</v>
      </c>
      <c r="B129" s="32" t="s">
        <v>236</v>
      </c>
      <c r="C129" s="14">
        <v>5</v>
      </c>
      <c r="D129" s="14">
        <f>E128+1</f>
        <v>18</v>
      </c>
      <c r="E129" s="14">
        <f>D129+F129-1</f>
        <v>24</v>
      </c>
      <c r="F129" s="14">
        <v>7</v>
      </c>
      <c r="G129" s="15" t="s">
        <v>219</v>
      </c>
      <c r="H129" s="16"/>
      <c r="I129" s="16"/>
      <c r="J129" s="14"/>
      <c r="K129" s="14"/>
      <c r="L129" s="14"/>
      <c r="M129" s="17" t="s">
        <v>16</v>
      </c>
    </row>
    <row r="130" spans="1:13" ht="10.5" hidden="1">
      <c r="A130" s="6" t="s">
        <v>276</v>
      </c>
      <c r="B130" s="7" t="s">
        <v>14</v>
      </c>
      <c r="C130" s="27">
        <v>6</v>
      </c>
      <c r="D130" s="7">
        <v>1</v>
      </c>
      <c r="E130" s="7">
        <v>24</v>
      </c>
      <c r="F130" s="7">
        <v>24</v>
      </c>
      <c r="G130" s="28"/>
      <c r="H130" s="29"/>
      <c r="I130" s="29"/>
      <c r="J130" s="7"/>
      <c r="K130" s="7"/>
      <c r="L130" s="7"/>
      <c r="M130" s="17" t="s">
        <v>16</v>
      </c>
    </row>
    <row r="131" spans="1:13" ht="21" hidden="1">
      <c r="A131" s="30" t="s">
        <v>37</v>
      </c>
      <c r="B131" s="13" t="s">
        <v>18</v>
      </c>
      <c r="C131" s="14">
        <v>7</v>
      </c>
      <c r="D131" s="31">
        <v>1</v>
      </c>
      <c r="E131" s="14">
        <f>D131+F131-1</f>
        <v>1</v>
      </c>
      <c r="F131" s="31">
        <v>1</v>
      </c>
      <c r="G131" s="15" t="s">
        <v>38</v>
      </c>
      <c r="H131" s="16"/>
      <c r="I131" s="16"/>
      <c r="J131" s="31"/>
      <c r="K131" s="31"/>
      <c r="L131" s="31"/>
      <c r="M131" s="17" t="s">
        <v>16</v>
      </c>
    </row>
    <row r="132" spans="1:13" ht="24" hidden="1" customHeight="1">
      <c r="A132" s="49" t="s">
        <v>277</v>
      </c>
      <c r="B132" s="13" t="s">
        <v>83</v>
      </c>
      <c r="C132" s="14">
        <v>8</v>
      </c>
      <c r="D132" s="14">
        <f>E131+1</f>
        <v>2</v>
      </c>
      <c r="E132" s="14">
        <f>D132+F132-1</f>
        <v>4</v>
      </c>
      <c r="F132" s="14">
        <v>3</v>
      </c>
      <c r="G132" s="34" t="s">
        <v>278</v>
      </c>
      <c r="H132" s="16" t="s">
        <v>20</v>
      </c>
      <c r="I132" s="16" t="s">
        <v>279</v>
      </c>
      <c r="J132" s="33" t="s">
        <v>280</v>
      </c>
      <c r="K132" s="32" t="s">
        <v>39</v>
      </c>
      <c r="L132" s="36">
        <v>611</v>
      </c>
      <c r="M132" s="17" t="s">
        <v>16</v>
      </c>
    </row>
    <row r="133" spans="1:13" ht="24" hidden="1" customHeight="1">
      <c r="A133" s="49" t="s">
        <v>281</v>
      </c>
      <c r="B133" s="13" t="s">
        <v>88</v>
      </c>
      <c r="C133" s="14">
        <v>8</v>
      </c>
      <c r="D133" s="14">
        <f>E132+1</f>
        <v>5</v>
      </c>
      <c r="E133" s="14">
        <f>D133+F133-1</f>
        <v>24</v>
      </c>
      <c r="F133" s="14">
        <v>20</v>
      </c>
      <c r="G133" s="34" t="s">
        <v>282</v>
      </c>
      <c r="H133" s="16" t="s">
        <v>20</v>
      </c>
      <c r="I133" s="16" t="s">
        <v>283</v>
      </c>
      <c r="J133" s="33" t="s">
        <v>284</v>
      </c>
      <c r="K133" s="32" t="s">
        <v>39</v>
      </c>
      <c r="L133" s="36">
        <v>611</v>
      </c>
      <c r="M133" s="17" t="s">
        <v>16</v>
      </c>
    </row>
    <row r="134" spans="1:13" ht="31.5" hidden="1">
      <c r="A134" s="6" t="s">
        <v>285</v>
      </c>
      <c r="B134" s="7" t="s">
        <v>14</v>
      </c>
      <c r="C134" s="27">
        <v>35</v>
      </c>
      <c r="D134" s="7">
        <v>1</v>
      </c>
      <c r="E134" s="7">
        <v>24</v>
      </c>
      <c r="F134" s="7">
        <v>24</v>
      </c>
      <c r="G134" s="28"/>
      <c r="H134" s="29"/>
      <c r="I134" s="29"/>
      <c r="J134" s="7"/>
      <c r="K134" s="41" t="s">
        <v>204</v>
      </c>
      <c r="L134" s="41"/>
      <c r="M134" s="41"/>
    </row>
    <row r="135" spans="1:13" ht="21" hidden="1">
      <c r="A135" s="30" t="s">
        <v>37</v>
      </c>
      <c r="B135" s="13" t="s">
        <v>18</v>
      </c>
      <c r="C135" s="14">
        <v>36</v>
      </c>
      <c r="D135" s="14">
        <v>1</v>
      </c>
      <c r="E135" s="14">
        <v>1</v>
      </c>
      <c r="F135" s="14">
        <v>1</v>
      </c>
      <c r="G135" s="15" t="s">
        <v>205</v>
      </c>
      <c r="H135" s="16"/>
      <c r="I135" s="16"/>
      <c r="J135" s="14"/>
      <c r="K135" s="14"/>
      <c r="L135" s="14"/>
      <c r="M135" s="17"/>
    </row>
    <row r="136" spans="1:13" ht="12.5" hidden="1">
      <c r="A136" s="42" t="s">
        <v>206</v>
      </c>
      <c r="B136" s="13" t="s">
        <v>207</v>
      </c>
      <c r="C136" s="14">
        <v>37</v>
      </c>
      <c r="D136" s="14">
        <v>2</v>
      </c>
      <c r="E136" s="14">
        <f>D136+F136-1</f>
        <v>10</v>
      </c>
      <c r="F136" s="14">
        <v>9</v>
      </c>
      <c r="G136" s="15" t="s">
        <v>233</v>
      </c>
      <c r="H136" s="16"/>
      <c r="I136" s="16"/>
      <c r="J136" s="14"/>
      <c r="K136" s="14"/>
      <c r="L136" s="14"/>
      <c r="M136" s="17"/>
    </row>
    <row r="137" spans="1:13" ht="13" hidden="1" thickBot="1">
      <c r="A137" s="50" t="s">
        <v>217</v>
      </c>
      <c r="B137" s="51" t="s">
        <v>247</v>
      </c>
      <c r="C137" s="52">
        <v>38</v>
      </c>
      <c r="D137" s="52">
        <v>11</v>
      </c>
      <c r="E137" s="52">
        <f>D137+F137-1</f>
        <v>24</v>
      </c>
      <c r="F137" s="52">
        <v>14</v>
      </c>
      <c r="G137" s="53" t="s">
        <v>219</v>
      </c>
      <c r="H137" s="54"/>
      <c r="I137" s="54"/>
      <c r="J137" s="52"/>
      <c r="K137" s="52"/>
      <c r="L137" s="52"/>
      <c r="M137" s="17"/>
    </row>
    <row r="138" spans="1:13" hidden="1"/>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5F8B9-415B-4F01-8A2D-33E2419336A9}">
  <sheetPr codeName="Sheet8"/>
  <dimension ref="A1:P47"/>
  <sheetViews>
    <sheetView topLeftCell="A28" workbookViewId="0">
      <selection activeCell="A40" sqref="A40"/>
    </sheetView>
  </sheetViews>
  <sheetFormatPr defaultRowHeight="12.5"/>
  <cols>
    <col min="1" max="1" width="57.7265625" customWidth="1"/>
    <col min="2" max="2" width="9.1796875" style="207" customWidth="1"/>
    <col min="3" max="3" width="8" bestFit="1" customWidth="1"/>
    <col min="4" max="5" width="8.1796875" bestFit="1" customWidth="1"/>
    <col min="6" max="6" width="7.26953125" bestFit="1" customWidth="1"/>
    <col min="7" max="7" width="21.1796875" style="208" customWidth="1"/>
    <col min="8" max="8" width="20" style="208" customWidth="1"/>
    <col min="9" max="9" width="13.54296875" bestFit="1" customWidth="1"/>
    <col min="10" max="10" width="11.81640625" customWidth="1"/>
    <col min="11" max="11" width="21.81640625" bestFit="1" customWidth="1"/>
    <col min="12" max="12" width="10.1796875" bestFit="1" customWidth="1"/>
    <col min="13" max="14" width="8.54296875" bestFit="1" customWidth="1"/>
    <col min="15" max="15" width="8.26953125" style="23" bestFit="1" customWidth="1"/>
    <col min="257" max="257" width="57.7265625" customWidth="1"/>
    <col min="259" max="259" width="8" bestFit="1" customWidth="1"/>
    <col min="260" max="261" width="8.1796875" bestFit="1" customWidth="1"/>
    <col min="262" max="262" width="7.26953125" bestFit="1" customWidth="1"/>
    <col min="263" max="263" width="21.1796875" customWidth="1"/>
    <col min="264" max="264" width="20" customWidth="1"/>
    <col min="265" max="265" width="13.54296875" bestFit="1" customWidth="1"/>
    <col min="266" max="266" width="11.81640625" customWidth="1"/>
    <col min="267" max="267" width="21.81640625" bestFit="1" customWidth="1"/>
    <col min="268" max="268" width="10.1796875" bestFit="1" customWidth="1"/>
    <col min="269" max="270" width="8.54296875" bestFit="1" customWidth="1"/>
    <col min="271" max="271" width="8.26953125" bestFit="1" customWidth="1"/>
    <col min="513" max="513" width="57.7265625" customWidth="1"/>
    <col min="515" max="515" width="8" bestFit="1" customWidth="1"/>
    <col min="516" max="517" width="8.1796875" bestFit="1" customWidth="1"/>
    <col min="518" max="518" width="7.26953125" bestFit="1" customWidth="1"/>
    <col min="519" max="519" width="21.1796875" customWidth="1"/>
    <col min="520" max="520" width="20" customWidth="1"/>
    <col min="521" max="521" width="13.54296875" bestFit="1" customWidth="1"/>
    <col min="522" max="522" width="11.81640625" customWidth="1"/>
    <col min="523" max="523" width="21.81640625" bestFit="1" customWidth="1"/>
    <col min="524" max="524" width="10.1796875" bestFit="1" customWidth="1"/>
    <col min="525" max="526" width="8.54296875" bestFit="1" customWidth="1"/>
    <col min="527" max="527" width="8.26953125" bestFit="1" customWidth="1"/>
    <col min="769" max="769" width="57.7265625" customWidth="1"/>
    <col min="771" max="771" width="8" bestFit="1" customWidth="1"/>
    <col min="772" max="773" width="8.1796875" bestFit="1" customWidth="1"/>
    <col min="774" max="774" width="7.26953125" bestFit="1" customWidth="1"/>
    <col min="775" max="775" width="21.1796875" customWidth="1"/>
    <col min="776" max="776" width="20" customWidth="1"/>
    <col min="777" max="777" width="13.54296875" bestFit="1" customWidth="1"/>
    <col min="778" max="778" width="11.81640625" customWidth="1"/>
    <col min="779" max="779" width="21.81640625" bestFit="1" customWidth="1"/>
    <col min="780" max="780" width="10.1796875" bestFit="1" customWidth="1"/>
    <col min="781" max="782" width="8.54296875" bestFit="1" customWidth="1"/>
    <col min="783" max="783" width="8.26953125" bestFit="1" customWidth="1"/>
    <col min="1025" max="1025" width="57.7265625" customWidth="1"/>
    <col min="1027" max="1027" width="8" bestFit="1" customWidth="1"/>
    <col min="1028" max="1029" width="8.1796875" bestFit="1" customWidth="1"/>
    <col min="1030" max="1030" width="7.26953125" bestFit="1" customWidth="1"/>
    <col min="1031" max="1031" width="21.1796875" customWidth="1"/>
    <col min="1032" max="1032" width="20" customWidth="1"/>
    <col min="1033" max="1033" width="13.54296875" bestFit="1" customWidth="1"/>
    <col min="1034" max="1034" width="11.81640625" customWidth="1"/>
    <col min="1035" max="1035" width="21.81640625" bestFit="1" customWidth="1"/>
    <col min="1036" max="1036" width="10.1796875" bestFit="1" customWidth="1"/>
    <col min="1037" max="1038" width="8.54296875" bestFit="1" customWidth="1"/>
    <col min="1039" max="1039" width="8.26953125" bestFit="1" customWidth="1"/>
    <col min="1281" max="1281" width="57.7265625" customWidth="1"/>
    <col min="1283" max="1283" width="8" bestFit="1" customWidth="1"/>
    <col min="1284" max="1285" width="8.1796875" bestFit="1" customWidth="1"/>
    <col min="1286" max="1286" width="7.26953125" bestFit="1" customWidth="1"/>
    <col min="1287" max="1287" width="21.1796875" customWidth="1"/>
    <col min="1288" max="1288" width="20" customWidth="1"/>
    <col min="1289" max="1289" width="13.54296875" bestFit="1" customWidth="1"/>
    <col min="1290" max="1290" width="11.81640625" customWidth="1"/>
    <col min="1291" max="1291" width="21.81640625" bestFit="1" customWidth="1"/>
    <col min="1292" max="1292" width="10.1796875" bestFit="1" customWidth="1"/>
    <col min="1293" max="1294" width="8.54296875" bestFit="1" customWidth="1"/>
    <col min="1295" max="1295" width="8.26953125" bestFit="1" customWidth="1"/>
    <col min="1537" max="1537" width="57.7265625" customWidth="1"/>
    <col min="1539" max="1539" width="8" bestFit="1" customWidth="1"/>
    <col min="1540" max="1541" width="8.1796875" bestFit="1" customWidth="1"/>
    <col min="1542" max="1542" width="7.26953125" bestFit="1" customWidth="1"/>
    <col min="1543" max="1543" width="21.1796875" customWidth="1"/>
    <col min="1544" max="1544" width="20" customWidth="1"/>
    <col min="1545" max="1545" width="13.54296875" bestFit="1" customWidth="1"/>
    <col min="1546" max="1546" width="11.81640625" customWidth="1"/>
    <col min="1547" max="1547" width="21.81640625" bestFit="1" customWidth="1"/>
    <col min="1548" max="1548" width="10.1796875" bestFit="1" customWidth="1"/>
    <col min="1549" max="1550" width="8.54296875" bestFit="1" customWidth="1"/>
    <col min="1551" max="1551" width="8.26953125" bestFit="1" customWidth="1"/>
    <col min="1793" max="1793" width="57.7265625" customWidth="1"/>
    <col min="1795" max="1795" width="8" bestFit="1" customWidth="1"/>
    <col min="1796" max="1797" width="8.1796875" bestFit="1" customWidth="1"/>
    <col min="1798" max="1798" width="7.26953125" bestFit="1" customWidth="1"/>
    <col min="1799" max="1799" width="21.1796875" customWidth="1"/>
    <col min="1800" max="1800" width="20" customWidth="1"/>
    <col min="1801" max="1801" width="13.54296875" bestFit="1" customWidth="1"/>
    <col min="1802" max="1802" width="11.81640625" customWidth="1"/>
    <col min="1803" max="1803" width="21.81640625" bestFit="1" customWidth="1"/>
    <col min="1804" max="1804" width="10.1796875" bestFit="1" customWidth="1"/>
    <col min="1805" max="1806" width="8.54296875" bestFit="1" customWidth="1"/>
    <col min="1807" max="1807" width="8.26953125" bestFit="1" customWidth="1"/>
    <col min="2049" max="2049" width="57.7265625" customWidth="1"/>
    <col min="2051" max="2051" width="8" bestFit="1" customWidth="1"/>
    <col min="2052" max="2053" width="8.1796875" bestFit="1" customWidth="1"/>
    <col min="2054" max="2054" width="7.26953125" bestFit="1" customWidth="1"/>
    <col min="2055" max="2055" width="21.1796875" customWidth="1"/>
    <col min="2056" max="2056" width="20" customWidth="1"/>
    <col min="2057" max="2057" width="13.54296875" bestFit="1" customWidth="1"/>
    <col min="2058" max="2058" width="11.81640625" customWidth="1"/>
    <col min="2059" max="2059" width="21.81640625" bestFit="1" customWidth="1"/>
    <col min="2060" max="2060" width="10.1796875" bestFit="1" customWidth="1"/>
    <col min="2061" max="2062" width="8.54296875" bestFit="1" customWidth="1"/>
    <col min="2063" max="2063" width="8.26953125" bestFit="1" customWidth="1"/>
    <col min="2305" max="2305" width="57.7265625" customWidth="1"/>
    <col min="2307" max="2307" width="8" bestFit="1" customWidth="1"/>
    <col min="2308" max="2309" width="8.1796875" bestFit="1" customWidth="1"/>
    <col min="2310" max="2310" width="7.26953125" bestFit="1" customWidth="1"/>
    <col min="2311" max="2311" width="21.1796875" customWidth="1"/>
    <col min="2312" max="2312" width="20" customWidth="1"/>
    <col min="2313" max="2313" width="13.54296875" bestFit="1" customWidth="1"/>
    <col min="2314" max="2314" width="11.81640625" customWidth="1"/>
    <col min="2315" max="2315" width="21.81640625" bestFit="1" customWidth="1"/>
    <col min="2316" max="2316" width="10.1796875" bestFit="1" customWidth="1"/>
    <col min="2317" max="2318" width="8.54296875" bestFit="1" customWidth="1"/>
    <col min="2319" max="2319" width="8.26953125" bestFit="1" customWidth="1"/>
    <col min="2561" max="2561" width="57.7265625" customWidth="1"/>
    <col min="2563" max="2563" width="8" bestFit="1" customWidth="1"/>
    <col min="2564" max="2565" width="8.1796875" bestFit="1" customWidth="1"/>
    <col min="2566" max="2566" width="7.26953125" bestFit="1" customWidth="1"/>
    <col min="2567" max="2567" width="21.1796875" customWidth="1"/>
    <col min="2568" max="2568" width="20" customWidth="1"/>
    <col min="2569" max="2569" width="13.54296875" bestFit="1" customWidth="1"/>
    <col min="2570" max="2570" width="11.81640625" customWidth="1"/>
    <col min="2571" max="2571" width="21.81640625" bestFit="1" customWidth="1"/>
    <col min="2572" max="2572" width="10.1796875" bestFit="1" customWidth="1"/>
    <col min="2573" max="2574" width="8.54296875" bestFit="1" customWidth="1"/>
    <col min="2575" max="2575" width="8.26953125" bestFit="1" customWidth="1"/>
    <col min="2817" max="2817" width="57.7265625" customWidth="1"/>
    <col min="2819" max="2819" width="8" bestFit="1" customWidth="1"/>
    <col min="2820" max="2821" width="8.1796875" bestFit="1" customWidth="1"/>
    <col min="2822" max="2822" width="7.26953125" bestFit="1" customWidth="1"/>
    <col min="2823" max="2823" width="21.1796875" customWidth="1"/>
    <col min="2824" max="2824" width="20" customWidth="1"/>
    <col min="2825" max="2825" width="13.54296875" bestFit="1" customWidth="1"/>
    <col min="2826" max="2826" width="11.81640625" customWidth="1"/>
    <col min="2827" max="2827" width="21.81640625" bestFit="1" customWidth="1"/>
    <col min="2828" max="2828" width="10.1796875" bestFit="1" customWidth="1"/>
    <col min="2829" max="2830" width="8.54296875" bestFit="1" customWidth="1"/>
    <col min="2831" max="2831" width="8.26953125" bestFit="1" customWidth="1"/>
    <col min="3073" max="3073" width="57.7265625" customWidth="1"/>
    <col min="3075" max="3075" width="8" bestFit="1" customWidth="1"/>
    <col min="3076" max="3077" width="8.1796875" bestFit="1" customWidth="1"/>
    <col min="3078" max="3078" width="7.26953125" bestFit="1" customWidth="1"/>
    <col min="3079" max="3079" width="21.1796875" customWidth="1"/>
    <col min="3080" max="3080" width="20" customWidth="1"/>
    <col min="3081" max="3081" width="13.54296875" bestFit="1" customWidth="1"/>
    <col min="3082" max="3082" width="11.81640625" customWidth="1"/>
    <col min="3083" max="3083" width="21.81640625" bestFit="1" customWidth="1"/>
    <col min="3084" max="3084" width="10.1796875" bestFit="1" customWidth="1"/>
    <col min="3085" max="3086" width="8.54296875" bestFit="1" customWidth="1"/>
    <col min="3087" max="3087" width="8.26953125" bestFit="1" customWidth="1"/>
    <col min="3329" max="3329" width="57.7265625" customWidth="1"/>
    <col min="3331" max="3331" width="8" bestFit="1" customWidth="1"/>
    <col min="3332" max="3333" width="8.1796875" bestFit="1" customWidth="1"/>
    <col min="3334" max="3334" width="7.26953125" bestFit="1" customWidth="1"/>
    <col min="3335" max="3335" width="21.1796875" customWidth="1"/>
    <col min="3336" max="3336" width="20" customWidth="1"/>
    <col min="3337" max="3337" width="13.54296875" bestFit="1" customWidth="1"/>
    <col min="3338" max="3338" width="11.81640625" customWidth="1"/>
    <col min="3339" max="3339" width="21.81640625" bestFit="1" customWidth="1"/>
    <col min="3340" max="3340" width="10.1796875" bestFit="1" customWidth="1"/>
    <col min="3341" max="3342" width="8.54296875" bestFit="1" customWidth="1"/>
    <col min="3343" max="3343" width="8.26953125" bestFit="1" customWidth="1"/>
    <col min="3585" max="3585" width="57.7265625" customWidth="1"/>
    <col min="3587" max="3587" width="8" bestFit="1" customWidth="1"/>
    <col min="3588" max="3589" width="8.1796875" bestFit="1" customWidth="1"/>
    <col min="3590" max="3590" width="7.26953125" bestFit="1" customWidth="1"/>
    <col min="3591" max="3591" width="21.1796875" customWidth="1"/>
    <col min="3592" max="3592" width="20" customWidth="1"/>
    <col min="3593" max="3593" width="13.54296875" bestFit="1" customWidth="1"/>
    <col min="3594" max="3594" width="11.81640625" customWidth="1"/>
    <col min="3595" max="3595" width="21.81640625" bestFit="1" customWidth="1"/>
    <col min="3596" max="3596" width="10.1796875" bestFit="1" customWidth="1"/>
    <col min="3597" max="3598" width="8.54296875" bestFit="1" customWidth="1"/>
    <col min="3599" max="3599" width="8.26953125" bestFit="1" customWidth="1"/>
    <col min="3841" max="3841" width="57.7265625" customWidth="1"/>
    <col min="3843" max="3843" width="8" bestFit="1" customWidth="1"/>
    <col min="3844" max="3845" width="8.1796875" bestFit="1" customWidth="1"/>
    <col min="3846" max="3846" width="7.26953125" bestFit="1" customWidth="1"/>
    <col min="3847" max="3847" width="21.1796875" customWidth="1"/>
    <col min="3848" max="3848" width="20" customWidth="1"/>
    <col min="3849" max="3849" width="13.54296875" bestFit="1" customWidth="1"/>
    <col min="3850" max="3850" width="11.81640625" customWidth="1"/>
    <col min="3851" max="3851" width="21.81640625" bestFit="1" customWidth="1"/>
    <col min="3852" max="3852" width="10.1796875" bestFit="1" customWidth="1"/>
    <col min="3853" max="3854" width="8.54296875" bestFit="1" customWidth="1"/>
    <col min="3855" max="3855" width="8.26953125" bestFit="1" customWidth="1"/>
    <col min="4097" max="4097" width="57.7265625" customWidth="1"/>
    <col min="4099" max="4099" width="8" bestFit="1" customWidth="1"/>
    <col min="4100" max="4101" width="8.1796875" bestFit="1" customWidth="1"/>
    <col min="4102" max="4102" width="7.26953125" bestFit="1" customWidth="1"/>
    <col min="4103" max="4103" width="21.1796875" customWidth="1"/>
    <col min="4104" max="4104" width="20" customWidth="1"/>
    <col min="4105" max="4105" width="13.54296875" bestFit="1" customWidth="1"/>
    <col min="4106" max="4106" width="11.81640625" customWidth="1"/>
    <col min="4107" max="4107" width="21.81640625" bestFit="1" customWidth="1"/>
    <col min="4108" max="4108" width="10.1796875" bestFit="1" customWidth="1"/>
    <col min="4109" max="4110" width="8.54296875" bestFit="1" customWidth="1"/>
    <col min="4111" max="4111" width="8.26953125" bestFit="1" customWidth="1"/>
    <col min="4353" max="4353" width="57.7265625" customWidth="1"/>
    <col min="4355" max="4355" width="8" bestFit="1" customWidth="1"/>
    <col min="4356" max="4357" width="8.1796875" bestFit="1" customWidth="1"/>
    <col min="4358" max="4358" width="7.26953125" bestFit="1" customWidth="1"/>
    <col min="4359" max="4359" width="21.1796875" customWidth="1"/>
    <col min="4360" max="4360" width="20" customWidth="1"/>
    <col min="4361" max="4361" width="13.54296875" bestFit="1" customWidth="1"/>
    <col min="4362" max="4362" width="11.81640625" customWidth="1"/>
    <col min="4363" max="4363" width="21.81640625" bestFit="1" customWidth="1"/>
    <col min="4364" max="4364" width="10.1796875" bestFit="1" customWidth="1"/>
    <col min="4365" max="4366" width="8.54296875" bestFit="1" customWidth="1"/>
    <col min="4367" max="4367" width="8.26953125" bestFit="1" customWidth="1"/>
    <col min="4609" max="4609" width="57.7265625" customWidth="1"/>
    <col min="4611" max="4611" width="8" bestFit="1" customWidth="1"/>
    <col min="4612" max="4613" width="8.1796875" bestFit="1" customWidth="1"/>
    <col min="4614" max="4614" width="7.26953125" bestFit="1" customWidth="1"/>
    <col min="4615" max="4615" width="21.1796875" customWidth="1"/>
    <col min="4616" max="4616" width="20" customWidth="1"/>
    <col min="4617" max="4617" width="13.54296875" bestFit="1" customWidth="1"/>
    <col min="4618" max="4618" width="11.81640625" customWidth="1"/>
    <col min="4619" max="4619" width="21.81640625" bestFit="1" customWidth="1"/>
    <col min="4620" max="4620" width="10.1796875" bestFit="1" customWidth="1"/>
    <col min="4621" max="4622" width="8.54296875" bestFit="1" customWidth="1"/>
    <col min="4623" max="4623" width="8.26953125" bestFit="1" customWidth="1"/>
    <col min="4865" max="4865" width="57.7265625" customWidth="1"/>
    <col min="4867" max="4867" width="8" bestFit="1" customWidth="1"/>
    <col min="4868" max="4869" width="8.1796875" bestFit="1" customWidth="1"/>
    <col min="4870" max="4870" width="7.26953125" bestFit="1" customWidth="1"/>
    <col min="4871" max="4871" width="21.1796875" customWidth="1"/>
    <col min="4872" max="4872" width="20" customWidth="1"/>
    <col min="4873" max="4873" width="13.54296875" bestFit="1" customWidth="1"/>
    <col min="4874" max="4874" width="11.81640625" customWidth="1"/>
    <col min="4875" max="4875" width="21.81640625" bestFit="1" customWidth="1"/>
    <col min="4876" max="4876" width="10.1796875" bestFit="1" customWidth="1"/>
    <col min="4877" max="4878" width="8.54296875" bestFit="1" customWidth="1"/>
    <col min="4879" max="4879" width="8.26953125" bestFit="1" customWidth="1"/>
    <col min="5121" max="5121" width="57.7265625" customWidth="1"/>
    <col min="5123" max="5123" width="8" bestFit="1" customWidth="1"/>
    <col min="5124" max="5125" width="8.1796875" bestFit="1" customWidth="1"/>
    <col min="5126" max="5126" width="7.26953125" bestFit="1" customWidth="1"/>
    <col min="5127" max="5127" width="21.1796875" customWidth="1"/>
    <col min="5128" max="5128" width="20" customWidth="1"/>
    <col min="5129" max="5129" width="13.54296875" bestFit="1" customWidth="1"/>
    <col min="5130" max="5130" width="11.81640625" customWidth="1"/>
    <col min="5131" max="5131" width="21.81640625" bestFit="1" customWidth="1"/>
    <col min="5132" max="5132" width="10.1796875" bestFit="1" customWidth="1"/>
    <col min="5133" max="5134" width="8.54296875" bestFit="1" customWidth="1"/>
    <col min="5135" max="5135" width="8.26953125" bestFit="1" customWidth="1"/>
    <col min="5377" max="5377" width="57.7265625" customWidth="1"/>
    <col min="5379" max="5379" width="8" bestFit="1" customWidth="1"/>
    <col min="5380" max="5381" width="8.1796875" bestFit="1" customWidth="1"/>
    <col min="5382" max="5382" width="7.26953125" bestFit="1" customWidth="1"/>
    <col min="5383" max="5383" width="21.1796875" customWidth="1"/>
    <col min="5384" max="5384" width="20" customWidth="1"/>
    <col min="5385" max="5385" width="13.54296875" bestFit="1" customWidth="1"/>
    <col min="5386" max="5386" width="11.81640625" customWidth="1"/>
    <col min="5387" max="5387" width="21.81640625" bestFit="1" customWidth="1"/>
    <col min="5388" max="5388" width="10.1796875" bestFit="1" customWidth="1"/>
    <col min="5389" max="5390" width="8.54296875" bestFit="1" customWidth="1"/>
    <col min="5391" max="5391" width="8.26953125" bestFit="1" customWidth="1"/>
    <col min="5633" max="5633" width="57.7265625" customWidth="1"/>
    <col min="5635" max="5635" width="8" bestFit="1" customWidth="1"/>
    <col min="5636" max="5637" width="8.1796875" bestFit="1" customWidth="1"/>
    <col min="5638" max="5638" width="7.26953125" bestFit="1" customWidth="1"/>
    <col min="5639" max="5639" width="21.1796875" customWidth="1"/>
    <col min="5640" max="5640" width="20" customWidth="1"/>
    <col min="5641" max="5641" width="13.54296875" bestFit="1" customWidth="1"/>
    <col min="5642" max="5642" width="11.81640625" customWidth="1"/>
    <col min="5643" max="5643" width="21.81640625" bestFit="1" customWidth="1"/>
    <col min="5644" max="5644" width="10.1796875" bestFit="1" customWidth="1"/>
    <col min="5645" max="5646" width="8.54296875" bestFit="1" customWidth="1"/>
    <col min="5647" max="5647" width="8.26953125" bestFit="1" customWidth="1"/>
    <col min="5889" max="5889" width="57.7265625" customWidth="1"/>
    <col min="5891" max="5891" width="8" bestFit="1" customWidth="1"/>
    <col min="5892" max="5893" width="8.1796875" bestFit="1" customWidth="1"/>
    <col min="5894" max="5894" width="7.26953125" bestFit="1" customWidth="1"/>
    <col min="5895" max="5895" width="21.1796875" customWidth="1"/>
    <col min="5896" max="5896" width="20" customWidth="1"/>
    <col min="5897" max="5897" width="13.54296875" bestFit="1" customWidth="1"/>
    <col min="5898" max="5898" width="11.81640625" customWidth="1"/>
    <col min="5899" max="5899" width="21.81640625" bestFit="1" customWidth="1"/>
    <col min="5900" max="5900" width="10.1796875" bestFit="1" customWidth="1"/>
    <col min="5901" max="5902" width="8.54296875" bestFit="1" customWidth="1"/>
    <col min="5903" max="5903" width="8.26953125" bestFit="1" customWidth="1"/>
    <col min="6145" max="6145" width="57.7265625" customWidth="1"/>
    <col min="6147" max="6147" width="8" bestFit="1" customWidth="1"/>
    <col min="6148" max="6149" width="8.1796875" bestFit="1" customWidth="1"/>
    <col min="6150" max="6150" width="7.26953125" bestFit="1" customWidth="1"/>
    <col min="6151" max="6151" width="21.1796875" customWidth="1"/>
    <col min="6152" max="6152" width="20" customWidth="1"/>
    <col min="6153" max="6153" width="13.54296875" bestFit="1" customWidth="1"/>
    <col min="6154" max="6154" width="11.81640625" customWidth="1"/>
    <col min="6155" max="6155" width="21.81640625" bestFit="1" customWidth="1"/>
    <col min="6156" max="6156" width="10.1796875" bestFit="1" customWidth="1"/>
    <col min="6157" max="6158" width="8.54296875" bestFit="1" customWidth="1"/>
    <col min="6159" max="6159" width="8.26953125" bestFit="1" customWidth="1"/>
    <col min="6401" max="6401" width="57.7265625" customWidth="1"/>
    <col min="6403" max="6403" width="8" bestFit="1" customWidth="1"/>
    <col min="6404" max="6405" width="8.1796875" bestFit="1" customWidth="1"/>
    <col min="6406" max="6406" width="7.26953125" bestFit="1" customWidth="1"/>
    <col min="6407" max="6407" width="21.1796875" customWidth="1"/>
    <col min="6408" max="6408" width="20" customWidth="1"/>
    <col min="6409" max="6409" width="13.54296875" bestFit="1" customWidth="1"/>
    <col min="6410" max="6410" width="11.81640625" customWidth="1"/>
    <col min="6411" max="6411" width="21.81640625" bestFit="1" customWidth="1"/>
    <col min="6412" max="6412" width="10.1796875" bestFit="1" customWidth="1"/>
    <col min="6413" max="6414" width="8.54296875" bestFit="1" customWidth="1"/>
    <col min="6415" max="6415" width="8.26953125" bestFit="1" customWidth="1"/>
    <col min="6657" max="6657" width="57.7265625" customWidth="1"/>
    <col min="6659" max="6659" width="8" bestFit="1" customWidth="1"/>
    <col min="6660" max="6661" width="8.1796875" bestFit="1" customWidth="1"/>
    <col min="6662" max="6662" width="7.26953125" bestFit="1" customWidth="1"/>
    <col min="6663" max="6663" width="21.1796875" customWidth="1"/>
    <col min="6664" max="6664" width="20" customWidth="1"/>
    <col min="6665" max="6665" width="13.54296875" bestFit="1" customWidth="1"/>
    <col min="6666" max="6666" width="11.81640625" customWidth="1"/>
    <col min="6667" max="6667" width="21.81640625" bestFit="1" customWidth="1"/>
    <col min="6668" max="6668" width="10.1796875" bestFit="1" customWidth="1"/>
    <col min="6669" max="6670" width="8.54296875" bestFit="1" customWidth="1"/>
    <col min="6671" max="6671" width="8.26953125" bestFit="1" customWidth="1"/>
    <col min="6913" max="6913" width="57.7265625" customWidth="1"/>
    <col min="6915" max="6915" width="8" bestFit="1" customWidth="1"/>
    <col min="6916" max="6917" width="8.1796875" bestFit="1" customWidth="1"/>
    <col min="6918" max="6918" width="7.26953125" bestFit="1" customWidth="1"/>
    <col min="6919" max="6919" width="21.1796875" customWidth="1"/>
    <col min="6920" max="6920" width="20" customWidth="1"/>
    <col min="6921" max="6921" width="13.54296875" bestFit="1" customWidth="1"/>
    <col min="6922" max="6922" width="11.81640625" customWidth="1"/>
    <col min="6923" max="6923" width="21.81640625" bestFit="1" customWidth="1"/>
    <col min="6924" max="6924" width="10.1796875" bestFit="1" customWidth="1"/>
    <col min="6925" max="6926" width="8.54296875" bestFit="1" customWidth="1"/>
    <col min="6927" max="6927" width="8.26953125" bestFit="1" customWidth="1"/>
    <col min="7169" max="7169" width="57.7265625" customWidth="1"/>
    <col min="7171" max="7171" width="8" bestFit="1" customWidth="1"/>
    <col min="7172" max="7173" width="8.1796875" bestFit="1" customWidth="1"/>
    <col min="7174" max="7174" width="7.26953125" bestFit="1" customWidth="1"/>
    <col min="7175" max="7175" width="21.1796875" customWidth="1"/>
    <col min="7176" max="7176" width="20" customWidth="1"/>
    <col min="7177" max="7177" width="13.54296875" bestFit="1" customWidth="1"/>
    <col min="7178" max="7178" width="11.81640625" customWidth="1"/>
    <col min="7179" max="7179" width="21.81640625" bestFit="1" customWidth="1"/>
    <col min="7180" max="7180" width="10.1796875" bestFit="1" customWidth="1"/>
    <col min="7181" max="7182" width="8.54296875" bestFit="1" customWidth="1"/>
    <col min="7183" max="7183" width="8.26953125" bestFit="1" customWidth="1"/>
    <col min="7425" max="7425" width="57.7265625" customWidth="1"/>
    <col min="7427" max="7427" width="8" bestFit="1" customWidth="1"/>
    <col min="7428" max="7429" width="8.1796875" bestFit="1" customWidth="1"/>
    <col min="7430" max="7430" width="7.26953125" bestFit="1" customWidth="1"/>
    <col min="7431" max="7431" width="21.1796875" customWidth="1"/>
    <col min="7432" max="7432" width="20" customWidth="1"/>
    <col min="7433" max="7433" width="13.54296875" bestFit="1" customWidth="1"/>
    <col min="7434" max="7434" width="11.81640625" customWidth="1"/>
    <col min="7435" max="7435" width="21.81640625" bestFit="1" customWidth="1"/>
    <col min="7436" max="7436" width="10.1796875" bestFit="1" customWidth="1"/>
    <col min="7437" max="7438" width="8.54296875" bestFit="1" customWidth="1"/>
    <col min="7439" max="7439" width="8.26953125" bestFit="1" customWidth="1"/>
    <col min="7681" max="7681" width="57.7265625" customWidth="1"/>
    <col min="7683" max="7683" width="8" bestFit="1" customWidth="1"/>
    <col min="7684" max="7685" width="8.1796875" bestFit="1" customWidth="1"/>
    <col min="7686" max="7686" width="7.26953125" bestFit="1" customWidth="1"/>
    <col min="7687" max="7687" width="21.1796875" customWidth="1"/>
    <col min="7688" max="7688" width="20" customWidth="1"/>
    <col min="7689" max="7689" width="13.54296875" bestFit="1" customWidth="1"/>
    <col min="7690" max="7690" width="11.81640625" customWidth="1"/>
    <col min="7691" max="7691" width="21.81640625" bestFit="1" customWidth="1"/>
    <col min="7692" max="7692" width="10.1796875" bestFit="1" customWidth="1"/>
    <col min="7693" max="7694" width="8.54296875" bestFit="1" customWidth="1"/>
    <col min="7695" max="7695" width="8.26953125" bestFit="1" customWidth="1"/>
    <col min="7937" max="7937" width="57.7265625" customWidth="1"/>
    <col min="7939" max="7939" width="8" bestFit="1" customWidth="1"/>
    <col min="7940" max="7941" width="8.1796875" bestFit="1" customWidth="1"/>
    <col min="7942" max="7942" width="7.26953125" bestFit="1" customWidth="1"/>
    <col min="7943" max="7943" width="21.1796875" customWidth="1"/>
    <col min="7944" max="7944" width="20" customWidth="1"/>
    <col min="7945" max="7945" width="13.54296875" bestFit="1" customWidth="1"/>
    <col min="7946" max="7946" width="11.81640625" customWidth="1"/>
    <col min="7947" max="7947" width="21.81640625" bestFit="1" customWidth="1"/>
    <col min="7948" max="7948" width="10.1796875" bestFit="1" customWidth="1"/>
    <col min="7949" max="7950" width="8.54296875" bestFit="1" customWidth="1"/>
    <col min="7951" max="7951" width="8.26953125" bestFit="1" customWidth="1"/>
    <col min="8193" max="8193" width="57.7265625" customWidth="1"/>
    <col min="8195" max="8195" width="8" bestFit="1" customWidth="1"/>
    <col min="8196" max="8197" width="8.1796875" bestFit="1" customWidth="1"/>
    <col min="8198" max="8198" width="7.26953125" bestFit="1" customWidth="1"/>
    <col min="8199" max="8199" width="21.1796875" customWidth="1"/>
    <col min="8200" max="8200" width="20" customWidth="1"/>
    <col min="8201" max="8201" width="13.54296875" bestFit="1" customWidth="1"/>
    <col min="8202" max="8202" width="11.81640625" customWidth="1"/>
    <col min="8203" max="8203" width="21.81640625" bestFit="1" customWidth="1"/>
    <col min="8204" max="8204" width="10.1796875" bestFit="1" customWidth="1"/>
    <col min="8205" max="8206" width="8.54296875" bestFit="1" customWidth="1"/>
    <col min="8207" max="8207" width="8.26953125" bestFit="1" customWidth="1"/>
    <col min="8449" max="8449" width="57.7265625" customWidth="1"/>
    <col min="8451" max="8451" width="8" bestFit="1" customWidth="1"/>
    <col min="8452" max="8453" width="8.1796875" bestFit="1" customWidth="1"/>
    <col min="8454" max="8454" width="7.26953125" bestFit="1" customWidth="1"/>
    <col min="8455" max="8455" width="21.1796875" customWidth="1"/>
    <col min="8456" max="8456" width="20" customWidth="1"/>
    <col min="8457" max="8457" width="13.54296875" bestFit="1" customWidth="1"/>
    <col min="8458" max="8458" width="11.81640625" customWidth="1"/>
    <col min="8459" max="8459" width="21.81640625" bestFit="1" customWidth="1"/>
    <col min="8460" max="8460" width="10.1796875" bestFit="1" customWidth="1"/>
    <col min="8461" max="8462" width="8.54296875" bestFit="1" customWidth="1"/>
    <col min="8463" max="8463" width="8.26953125" bestFit="1" customWidth="1"/>
    <col min="8705" max="8705" width="57.7265625" customWidth="1"/>
    <col min="8707" max="8707" width="8" bestFit="1" customWidth="1"/>
    <col min="8708" max="8709" width="8.1796875" bestFit="1" customWidth="1"/>
    <col min="8710" max="8710" width="7.26953125" bestFit="1" customWidth="1"/>
    <col min="8711" max="8711" width="21.1796875" customWidth="1"/>
    <col min="8712" max="8712" width="20" customWidth="1"/>
    <col min="8713" max="8713" width="13.54296875" bestFit="1" customWidth="1"/>
    <col min="8714" max="8714" width="11.81640625" customWidth="1"/>
    <col min="8715" max="8715" width="21.81640625" bestFit="1" customWidth="1"/>
    <col min="8716" max="8716" width="10.1796875" bestFit="1" customWidth="1"/>
    <col min="8717" max="8718" width="8.54296875" bestFit="1" customWidth="1"/>
    <col min="8719" max="8719" width="8.26953125" bestFit="1" customWidth="1"/>
    <col min="8961" max="8961" width="57.7265625" customWidth="1"/>
    <col min="8963" max="8963" width="8" bestFit="1" customWidth="1"/>
    <col min="8964" max="8965" width="8.1796875" bestFit="1" customWidth="1"/>
    <col min="8966" max="8966" width="7.26953125" bestFit="1" customWidth="1"/>
    <col min="8967" max="8967" width="21.1796875" customWidth="1"/>
    <col min="8968" max="8968" width="20" customWidth="1"/>
    <col min="8969" max="8969" width="13.54296875" bestFit="1" customWidth="1"/>
    <col min="8970" max="8970" width="11.81640625" customWidth="1"/>
    <col min="8971" max="8971" width="21.81640625" bestFit="1" customWidth="1"/>
    <col min="8972" max="8972" width="10.1796875" bestFit="1" customWidth="1"/>
    <col min="8973" max="8974" width="8.54296875" bestFit="1" customWidth="1"/>
    <col min="8975" max="8975" width="8.26953125" bestFit="1" customWidth="1"/>
    <col min="9217" max="9217" width="57.7265625" customWidth="1"/>
    <col min="9219" max="9219" width="8" bestFit="1" customWidth="1"/>
    <col min="9220" max="9221" width="8.1796875" bestFit="1" customWidth="1"/>
    <col min="9222" max="9222" width="7.26953125" bestFit="1" customWidth="1"/>
    <col min="9223" max="9223" width="21.1796875" customWidth="1"/>
    <col min="9224" max="9224" width="20" customWidth="1"/>
    <col min="9225" max="9225" width="13.54296875" bestFit="1" customWidth="1"/>
    <col min="9226" max="9226" width="11.81640625" customWidth="1"/>
    <col min="9227" max="9227" width="21.81640625" bestFit="1" customWidth="1"/>
    <col min="9228" max="9228" width="10.1796875" bestFit="1" customWidth="1"/>
    <col min="9229" max="9230" width="8.54296875" bestFit="1" customWidth="1"/>
    <col min="9231" max="9231" width="8.26953125" bestFit="1" customWidth="1"/>
    <col min="9473" max="9473" width="57.7265625" customWidth="1"/>
    <col min="9475" max="9475" width="8" bestFit="1" customWidth="1"/>
    <col min="9476" max="9477" width="8.1796875" bestFit="1" customWidth="1"/>
    <col min="9478" max="9478" width="7.26953125" bestFit="1" customWidth="1"/>
    <col min="9479" max="9479" width="21.1796875" customWidth="1"/>
    <col min="9480" max="9480" width="20" customWidth="1"/>
    <col min="9481" max="9481" width="13.54296875" bestFit="1" customWidth="1"/>
    <col min="9482" max="9482" width="11.81640625" customWidth="1"/>
    <col min="9483" max="9483" width="21.81640625" bestFit="1" customWidth="1"/>
    <col min="9484" max="9484" width="10.1796875" bestFit="1" customWidth="1"/>
    <col min="9485" max="9486" width="8.54296875" bestFit="1" customWidth="1"/>
    <col min="9487" max="9487" width="8.26953125" bestFit="1" customWidth="1"/>
    <col min="9729" max="9729" width="57.7265625" customWidth="1"/>
    <col min="9731" max="9731" width="8" bestFit="1" customWidth="1"/>
    <col min="9732" max="9733" width="8.1796875" bestFit="1" customWidth="1"/>
    <col min="9734" max="9734" width="7.26953125" bestFit="1" customWidth="1"/>
    <col min="9735" max="9735" width="21.1796875" customWidth="1"/>
    <col min="9736" max="9736" width="20" customWidth="1"/>
    <col min="9737" max="9737" width="13.54296875" bestFit="1" customWidth="1"/>
    <col min="9738" max="9738" width="11.81640625" customWidth="1"/>
    <col min="9739" max="9739" width="21.81640625" bestFit="1" customWidth="1"/>
    <col min="9740" max="9740" width="10.1796875" bestFit="1" customWidth="1"/>
    <col min="9741" max="9742" width="8.54296875" bestFit="1" customWidth="1"/>
    <col min="9743" max="9743" width="8.26953125" bestFit="1" customWidth="1"/>
    <col min="9985" max="9985" width="57.7265625" customWidth="1"/>
    <col min="9987" max="9987" width="8" bestFit="1" customWidth="1"/>
    <col min="9988" max="9989" width="8.1796875" bestFit="1" customWidth="1"/>
    <col min="9990" max="9990" width="7.26953125" bestFit="1" customWidth="1"/>
    <col min="9991" max="9991" width="21.1796875" customWidth="1"/>
    <col min="9992" max="9992" width="20" customWidth="1"/>
    <col min="9993" max="9993" width="13.54296875" bestFit="1" customWidth="1"/>
    <col min="9994" max="9994" width="11.81640625" customWidth="1"/>
    <col min="9995" max="9995" width="21.81640625" bestFit="1" customWidth="1"/>
    <col min="9996" max="9996" width="10.1796875" bestFit="1" customWidth="1"/>
    <col min="9997" max="9998" width="8.54296875" bestFit="1" customWidth="1"/>
    <col min="9999" max="9999" width="8.26953125" bestFit="1" customWidth="1"/>
    <col min="10241" max="10241" width="57.7265625" customWidth="1"/>
    <col min="10243" max="10243" width="8" bestFit="1" customWidth="1"/>
    <col min="10244" max="10245" width="8.1796875" bestFit="1" customWidth="1"/>
    <col min="10246" max="10246" width="7.26953125" bestFit="1" customWidth="1"/>
    <col min="10247" max="10247" width="21.1796875" customWidth="1"/>
    <col min="10248" max="10248" width="20" customWidth="1"/>
    <col min="10249" max="10249" width="13.54296875" bestFit="1" customWidth="1"/>
    <col min="10250" max="10250" width="11.81640625" customWidth="1"/>
    <col min="10251" max="10251" width="21.81640625" bestFit="1" customWidth="1"/>
    <col min="10252" max="10252" width="10.1796875" bestFit="1" customWidth="1"/>
    <col min="10253" max="10254" width="8.54296875" bestFit="1" customWidth="1"/>
    <col min="10255" max="10255" width="8.26953125" bestFit="1" customWidth="1"/>
    <col min="10497" max="10497" width="57.7265625" customWidth="1"/>
    <col min="10499" max="10499" width="8" bestFit="1" customWidth="1"/>
    <col min="10500" max="10501" width="8.1796875" bestFit="1" customWidth="1"/>
    <col min="10502" max="10502" width="7.26953125" bestFit="1" customWidth="1"/>
    <col min="10503" max="10503" width="21.1796875" customWidth="1"/>
    <col min="10504" max="10504" width="20" customWidth="1"/>
    <col min="10505" max="10505" width="13.54296875" bestFit="1" customWidth="1"/>
    <col min="10506" max="10506" width="11.81640625" customWidth="1"/>
    <col min="10507" max="10507" width="21.81640625" bestFit="1" customWidth="1"/>
    <col min="10508" max="10508" width="10.1796875" bestFit="1" customWidth="1"/>
    <col min="10509" max="10510" width="8.54296875" bestFit="1" customWidth="1"/>
    <col min="10511" max="10511" width="8.26953125" bestFit="1" customWidth="1"/>
    <col min="10753" max="10753" width="57.7265625" customWidth="1"/>
    <col min="10755" max="10755" width="8" bestFit="1" customWidth="1"/>
    <col min="10756" max="10757" width="8.1796875" bestFit="1" customWidth="1"/>
    <col min="10758" max="10758" width="7.26953125" bestFit="1" customWidth="1"/>
    <col min="10759" max="10759" width="21.1796875" customWidth="1"/>
    <col min="10760" max="10760" width="20" customWidth="1"/>
    <col min="10761" max="10761" width="13.54296875" bestFit="1" customWidth="1"/>
    <col min="10762" max="10762" width="11.81640625" customWidth="1"/>
    <col min="10763" max="10763" width="21.81640625" bestFit="1" customWidth="1"/>
    <col min="10764" max="10764" width="10.1796875" bestFit="1" customWidth="1"/>
    <col min="10765" max="10766" width="8.54296875" bestFit="1" customWidth="1"/>
    <col min="10767" max="10767" width="8.26953125" bestFit="1" customWidth="1"/>
    <col min="11009" max="11009" width="57.7265625" customWidth="1"/>
    <col min="11011" max="11011" width="8" bestFit="1" customWidth="1"/>
    <col min="11012" max="11013" width="8.1796875" bestFit="1" customWidth="1"/>
    <col min="11014" max="11014" width="7.26953125" bestFit="1" customWidth="1"/>
    <col min="11015" max="11015" width="21.1796875" customWidth="1"/>
    <col min="11016" max="11016" width="20" customWidth="1"/>
    <col min="11017" max="11017" width="13.54296875" bestFit="1" customWidth="1"/>
    <col min="11018" max="11018" width="11.81640625" customWidth="1"/>
    <col min="11019" max="11019" width="21.81640625" bestFit="1" customWidth="1"/>
    <col min="11020" max="11020" width="10.1796875" bestFit="1" customWidth="1"/>
    <col min="11021" max="11022" width="8.54296875" bestFit="1" customWidth="1"/>
    <col min="11023" max="11023" width="8.26953125" bestFit="1" customWidth="1"/>
    <col min="11265" max="11265" width="57.7265625" customWidth="1"/>
    <col min="11267" max="11267" width="8" bestFit="1" customWidth="1"/>
    <col min="11268" max="11269" width="8.1796875" bestFit="1" customWidth="1"/>
    <col min="11270" max="11270" width="7.26953125" bestFit="1" customWidth="1"/>
    <col min="11271" max="11271" width="21.1796875" customWidth="1"/>
    <col min="11272" max="11272" width="20" customWidth="1"/>
    <col min="11273" max="11273" width="13.54296875" bestFit="1" customWidth="1"/>
    <col min="11274" max="11274" width="11.81640625" customWidth="1"/>
    <col min="11275" max="11275" width="21.81640625" bestFit="1" customWidth="1"/>
    <col min="11276" max="11276" width="10.1796875" bestFit="1" customWidth="1"/>
    <col min="11277" max="11278" width="8.54296875" bestFit="1" customWidth="1"/>
    <col min="11279" max="11279" width="8.26953125" bestFit="1" customWidth="1"/>
    <col min="11521" max="11521" width="57.7265625" customWidth="1"/>
    <col min="11523" max="11523" width="8" bestFit="1" customWidth="1"/>
    <col min="11524" max="11525" width="8.1796875" bestFit="1" customWidth="1"/>
    <col min="11526" max="11526" width="7.26953125" bestFit="1" customWidth="1"/>
    <col min="11527" max="11527" width="21.1796875" customWidth="1"/>
    <col min="11528" max="11528" width="20" customWidth="1"/>
    <col min="11529" max="11529" width="13.54296875" bestFit="1" customWidth="1"/>
    <col min="11530" max="11530" width="11.81640625" customWidth="1"/>
    <col min="11531" max="11531" width="21.81640625" bestFit="1" customWidth="1"/>
    <col min="11532" max="11532" width="10.1796875" bestFit="1" customWidth="1"/>
    <col min="11533" max="11534" width="8.54296875" bestFit="1" customWidth="1"/>
    <col min="11535" max="11535" width="8.26953125" bestFit="1" customWidth="1"/>
    <col min="11777" max="11777" width="57.7265625" customWidth="1"/>
    <col min="11779" max="11779" width="8" bestFit="1" customWidth="1"/>
    <col min="11780" max="11781" width="8.1796875" bestFit="1" customWidth="1"/>
    <col min="11782" max="11782" width="7.26953125" bestFit="1" customWidth="1"/>
    <col min="11783" max="11783" width="21.1796875" customWidth="1"/>
    <col min="11784" max="11784" width="20" customWidth="1"/>
    <col min="11785" max="11785" width="13.54296875" bestFit="1" customWidth="1"/>
    <col min="11786" max="11786" width="11.81640625" customWidth="1"/>
    <col min="11787" max="11787" width="21.81640625" bestFit="1" customWidth="1"/>
    <col min="11788" max="11788" width="10.1796875" bestFit="1" customWidth="1"/>
    <col min="11789" max="11790" width="8.54296875" bestFit="1" customWidth="1"/>
    <col min="11791" max="11791" width="8.26953125" bestFit="1" customWidth="1"/>
    <col min="12033" max="12033" width="57.7265625" customWidth="1"/>
    <col min="12035" max="12035" width="8" bestFit="1" customWidth="1"/>
    <col min="12036" max="12037" width="8.1796875" bestFit="1" customWidth="1"/>
    <col min="12038" max="12038" width="7.26953125" bestFit="1" customWidth="1"/>
    <col min="12039" max="12039" width="21.1796875" customWidth="1"/>
    <col min="12040" max="12040" width="20" customWidth="1"/>
    <col min="12041" max="12041" width="13.54296875" bestFit="1" customWidth="1"/>
    <col min="12042" max="12042" width="11.81640625" customWidth="1"/>
    <col min="12043" max="12043" width="21.81640625" bestFit="1" customWidth="1"/>
    <col min="12044" max="12044" width="10.1796875" bestFit="1" customWidth="1"/>
    <col min="12045" max="12046" width="8.54296875" bestFit="1" customWidth="1"/>
    <col min="12047" max="12047" width="8.26953125" bestFit="1" customWidth="1"/>
    <col min="12289" max="12289" width="57.7265625" customWidth="1"/>
    <col min="12291" max="12291" width="8" bestFit="1" customWidth="1"/>
    <col min="12292" max="12293" width="8.1796875" bestFit="1" customWidth="1"/>
    <col min="12294" max="12294" width="7.26953125" bestFit="1" customWidth="1"/>
    <col min="12295" max="12295" width="21.1796875" customWidth="1"/>
    <col min="12296" max="12296" width="20" customWidth="1"/>
    <col min="12297" max="12297" width="13.54296875" bestFit="1" customWidth="1"/>
    <col min="12298" max="12298" width="11.81640625" customWidth="1"/>
    <col min="12299" max="12299" width="21.81640625" bestFit="1" customWidth="1"/>
    <col min="12300" max="12300" width="10.1796875" bestFit="1" customWidth="1"/>
    <col min="12301" max="12302" width="8.54296875" bestFit="1" customWidth="1"/>
    <col min="12303" max="12303" width="8.26953125" bestFit="1" customWidth="1"/>
    <col min="12545" max="12545" width="57.7265625" customWidth="1"/>
    <col min="12547" max="12547" width="8" bestFit="1" customWidth="1"/>
    <col min="12548" max="12549" width="8.1796875" bestFit="1" customWidth="1"/>
    <col min="12550" max="12550" width="7.26953125" bestFit="1" customWidth="1"/>
    <col min="12551" max="12551" width="21.1796875" customWidth="1"/>
    <col min="12552" max="12552" width="20" customWidth="1"/>
    <col min="12553" max="12553" width="13.54296875" bestFit="1" customWidth="1"/>
    <col min="12554" max="12554" width="11.81640625" customWidth="1"/>
    <col min="12555" max="12555" width="21.81640625" bestFit="1" customWidth="1"/>
    <col min="12556" max="12556" width="10.1796875" bestFit="1" customWidth="1"/>
    <col min="12557" max="12558" width="8.54296875" bestFit="1" customWidth="1"/>
    <col min="12559" max="12559" width="8.26953125" bestFit="1" customWidth="1"/>
    <col min="12801" max="12801" width="57.7265625" customWidth="1"/>
    <col min="12803" max="12803" width="8" bestFit="1" customWidth="1"/>
    <col min="12804" max="12805" width="8.1796875" bestFit="1" customWidth="1"/>
    <col min="12806" max="12806" width="7.26953125" bestFit="1" customWidth="1"/>
    <col min="12807" max="12807" width="21.1796875" customWidth="1"/>
    <col min="12808" max="12808" width="20" customWidth="1"/>
    <col min="12809" max="12809" width="13.54296875" bestFit="1" customWidth="1"/>
    <col min="12810" max="12810" width="11.81640625" customWidth="1"/>
    <col min="12811" max="12811" width="21.81640625" bestFit="1" customWidth="1"/>
    <col min="12812" max="12812" width="10.1796875" bestFit="1" customWidth="1"/>
    <col min="12813" max="12814" width="8.54296875" bestFit="1" customWidth="1"/>
    <col min="12815" max="12815" width="8.26953125" bestFit="1" customWidth="1"/>
    <col min="13057" max="13057" width="57.7265625" customWidth="1"/>
    <col min="13059" max="13059" width="8" bestFit="1" customWidth="1"/>
    <col min="13060" max="13061" width="8.1796875" bestFit="1" customWidth="1"/>
    <col min="13062" max="13062" width="7.26953125" bestFit="1" customWidth="1"/>
    <col min="13063" max="13063" width="21.1796875" customWidth="1"/>
    <col min="13064" max="13064" width="20" customWidth="1"/>
    <col min="13065" max="13065" width="13.54296875" bestFit="1" customWidth="1"/>
    <col min="13066" max="13066" width="11.81640625" customWidth="1"/>
    <col min="13067" max="13067" width="21.81640625" bestFit="1" customWidth="1"/>
    <col min="13068" max="13068" width="10.1796875" bestFit="1" customWidth="1"/>
    <col min="13069" max="13070" width="8.54296875" bestFit="1" customWidth="1"/>
    <col min="13071" max="13071" width="8.26953125" bestFit="1" customWidth="1"/>
    <col min="13313" max="13313" width="57.7265625" customWidth="1"/>
    <col min="13315" max="13315" width="8" bestFit="1" customWidth="1"/>
    <col min="13316" max="13317" width="8.1796875" bestFit="1" customWidth="1"/>
    <col min="13318" max="13318" width="7.26953125" bestFit="1" customWidth="1"/>
    <col min="13319" max="13319" width="21.1796875" customWidth="1"/>
    <col min="13320" max="13320" width="20" customWidth="1"/>
    <col min="13321" max="13321" width="13.54296875" bestFit="1" customWidth="1"/>
    <col min="13322" max="13322" width="11.81640625" customWidth="1"/>
    <col min="13323" max="13323" width="21.81640625" bestFit="1" customWidth="1"/>
    <col min="13324" max="13324" width="10.1796875" bestFit="1" customWidth="1"/>
    <col min="13325" max="13326" width="8.54296875" bestFit="1" customWidth="1"/>
    <col min="13327" max="13327" width="8.26953125" bestFit="1" customWidth="1"/>
    <col min="13569" max="13569" width="57.7265625" customWidth="1"/>
    <col min="13571" max="13571" width="8" bestFit="1" customWidth="1"/>
    <col min="13572" max="13573" width="8.1796875" bestFit="1" customWidth="1"/>
    <col min="13574" max="13574" width="7.26953125" bestFit="1" customWidth="1"/>
    <col min="13575" max="13575" width="21.1796875" customWidth="1"/>
    <col min="13576" max="13576" width="20" customWidth="1"/>
    <col min="13577" max="13577" width="13.54296875" bestFit="1" customWidth="1"/>
    <col min="13578" max="13578" width="11.81640625" customWidth="1"/>
    <col min="13579" max="13579" width="21.81640625" bestFit="1" customWidth="1"/>
    <col min="13580" max="13580" width="10.1796875" bestFit="1" customWidth="1"/>
    <col min="13581" max="13582" width="8.54296875" bestFit="1" customWidth="1"/>
    <col min="13583" max="13583" width="8.26953125" bestFit="1" customWidth="1"/>
    <col min="13825" max="13825" width="57.7265625" customWidth="1"/>
    <col min="13827" max="13827" width="8" bestFit="1" customWidth="1"/>
    <col min="13828" max="13829" width="8.1796875" bestFit="1" customWidth="1"/>
    <col min="13830" max="13830" width="7.26953125" bestFit="1" customWidth="1"/>
    <col min="13831" max="13831" width="21.1796875" customWidth="1"/>
    <col min="13832" max="13832" width="20" customWidth="1"/>
    <col min="13833" max="13833" width="13.54296875" bestFit="1" customWidth="1"/>
    <col min="13834" max="13834" width="11.81640625" customWidth="1"/>
    <col min="13835" max="13835" width="21.81640625" bestFit="1" customWidth="1"/>
    <col min="13836" max="13836" width="10.1796875" bestFit="1" customWidth="1"/>
    <col min="13837" max="13838" width="8.54296875" bestFit="1" customWidth="1"/>
    <col min="13839" max="13839" width="8.26953125" bestFit="1" customWidth="1"/>
    <col min="14081" max="14081" width="57.7265625" customWidth="1"/>
    <col min="14083" max="14083" width="8" bestFit="1" customWidth="1"/>
    <col min="14084" max="14085" width="8.1796875" bestFit="1" customWidth="1"/>
    <col min="14086" max="14086" width="7.26953125" bestFit="1" customWidth="1"/>
    <col min="14087" max="14087" width="21.1796875" customWidth="1"/>
    <col min="14088" max="14088" width="20" customWidth="1"/>
    <col min="14089" max="14089" width="13.54296875" bestFit="1" customWidth="1"/>
    <col min="14090" max="14090" width="11.81640625" customWidth="1"/>
    <col min="14091" max="14091" width="21.81640625" bestFit="1" customWidth="1"/>
    <col min="14092" max="14092" width="10.1796875" bestFit="1" customWidth="1"/>
    <col min="14093" max="14094" width="8.54296875" bestFit="1" customWidth="1"/>
    <col min="14095" max="14095" width="8.26953125" bestFit="1" customWidth="1"/>
    <col min="14337" max="14337" width="57.7265625" customWidth="1"/>
    <col min="14339" max="14339" width="8" bestFit="1" customWidth="1"/>
    <col min="14340" max="14341" width="8.1796875" bestFit="1" customWidth="1"/>
    <col min="14342" max="14342" width="7.26953125" bestFit="1" customWidth="1"/>
    <col min="14343" max="14343" width="21.1796875" customWidth="1"/>
    <col min="14344" max="14344" width="20" customWidth="1"/>
    <col min="14345" max="14345" width="13.54296875" bestFit="1" customWidth="1"/>
    <col min="14346" max="14346" width="11.81640625" customWidth="1"/>
    <col min="14347" max="14347" width="21.81640625" bestFit="1" customWidth="1"/>
    <col min="14348" max="14348" width="10.1796875" bestFit="1" customWidth="1"/>
    <col min="14349" max="14350" width="8.54296875" bestFit="1" customWidth="1"/>
    <col min="14351" max="14351" width="8.26953125" bestFit="1" customWidth="1"/>
    <col min="14593" max="14593" width="57.7265625" customWidth="1"/>
    <col min="14595" max="14595" width="8" bestFit="1" customWidth="1"/>
    <col min="14596" max="14597" width="8.1796875" bestFit="1" customWidth="1"/>
    <col min="14598" max="14598" width="7.26953125" bestFit="1" customWidth="1"/>
    <col min="14599" max="14599" width="21.1796875" customWidth="1"/>
    <col min="14600" max="14600" width="20" customWidth="1"/>
    <col min="14601" max="14601" width="13.54296875" bestFit="1" customWidth="1"/>
    <col min="14602" max="14602" width="11.81640625" customWidth="1"/>
    <col min="14603" max="14603" width="21.81640625" bestFit="1" customWidth="1"/>
    <col min="14604" max="14604" width="10.1796875" bestFit="1" customWidth="1"/>
    <col min="14605" max="14606" width="8.54296875" bestFit="1" customWidth="1"/>
    <col min="14607" max="14607" width="8.26953125" bestFit="1" customWidth="1"/>
    <col min="14849" max="14849" width="57.7265625" customWidth="1"/>
    <col min="14851" max="14851" width="8" bestFit="1" customWidth="1"/>
    <col min="14852" max="14853" width="8.1796875" bestFit="1" customWidth="1"/>
    <col min="14854" max="14854" width="7.26953125" bestFit="1" customWidth="1"/>
    <col min="14855" max="14855" width="21.1796875" customWidth="1"/>
    <col min="14856" max="14856" width="20" customWidth="1"/>
    <col min="14857" max="14857" width="13.54296875" bestFit="1" customWidth="1"/>
    <col min="14858" max="14858" width="11.81640625" customWidth="1"/>
    <col min="14859" max="14859" width="21.81640625" bestFit="1" customWidth="1"/>
    <col min="14860" max="14860" width="10.1796875" bestFit="1" customWidth="1"/>
    <col min="14861" max="14862" width="8.54296875" bestFit="1" customWidth="1"/>
    <col min="14863" max="14863" width="8.26953125" bestFit="1" customWidth="1"/>
    <col min="15105" max="15105" width="57.7265625" customWidth="1"/>
    <col min="15107" max="15107" width="8" bestFit="1" customWidth="1"/>
    <col min="15108" max="15109" width="8.1796875" bestFit="1" customWidth="1"/>
    <col min="15110" max="15110" width="7.26953125" bestFit="1" customWidth="1"/>
    <col min="15111" max="15111" width="21.1796875" customWidth="1"/>
    <col min="15112" max="15112" width="20" customWidth="1"/>
    <col min="15113" max="15113" width="13.54296875" bestFit="1" customWidth="1"/>
    <col min="15114" max="15114" width="11.81640625" customWidth="1"/>
    <col min="15115" max="15115" width="21.81640625" bestFit="1" customWidth="1"/>
    <col min="15116" max="15116" width="10.1796875" bestFit="1" customWidth="1"/>
    <col min="15117" max="15118" width="8.54296875" bestFit="1" customWidth="1"/>
    <col min="15119" max="15119" width="8.26953125" bestFit="1" customWidth="1"/>
    <col min="15361" max="15361" width="57.7265625" customWidth="1"/>
    <col min="15363" max="15363" width="8" bestFit="1" customWidth="1"/>
    <col min="15364" max="15365" width="8.1796875" bestFit="1" customWidth="1"/>
    <col min="15366" max="15366" width="7.26953125" bestFit="1" customWidth="1"/>
    <col min="15367" max="15367" width="21.1796875" customWidth="1"/>
    <col min="15368" max="15368" width="20" customWidth="1"/>
    <col min="15369" max="15369" width="13.54296875" bestFit="1" customWidth="1"/>
    <col min="15370" max="15370" width="11.81640625" customWidth="1"/>
    <col min="15371" max="15371" width="21.81640625" bestFit="1" customWidth="1"/>
    <col min="15372" max="15372" width="10.1796875" bestFit="1" customWidth="1"/>
    <col min="15373" max="15374" width="8.54296875" bestFit="1" customWidth="1"/>
    <col min="15375" max="15375" width="8.26953125" bestFit="1" customWidth="1"/>
    <col min="15617" max="15617" width="57.7265625" customWidth="1"/>
    <col min="15619" max="15619" width="8" bestFit="1" customWidth="1"/>
    <col min="15620" max="15621" width="8.1796875" bestFit="1" customWidth="1"/>
    <col min="15622" max="15622" width="7.26953125" bestFit="1" customWidth="1"/>
    <col min="15623" max="15623" width="21.1796875" customWidth="1"/>
    <col min="15624" max="15624" width="20" customWidth="1"/>
    <col min="15625" max="15625" width="13.54296875" bestFit="1" customWidth="1"/>
    <col min="15626" max="15626" width="11.81640625" customWidth="1"/>
    <col min="15627" max="15627" width="21.81640625" bestFit="1" customWidth="1"/>
    <col min="15628" max="15628" width="10.1796875" bestFit="1" customWidth="1"/>
    <col min="15629" max="15630" width="8.54296875" bestFit="1" customWidth="1"/>
    <col min="15631" max="15631" width="8.26953125" bestFit="1" customWidth="1"/>
    <col min="15873" max="15873" width="57.7265625" customWidth="1"/>
    <col min="15875" max="15875" width="8" bestFit="1" customWidth="1"/>
    <col min="15876" max="15877" width="8.1796875" bestFit="1" customWidth="1"/>
    <col min="15878" max="15878" width="7.26953125" bestFit="1" customWidth="1"/>
    <col min="15879" max="15879" width="21.1796875" customWidth="1"/>
    <col min="15880" max="15880" width="20" customWidth="1"/>
    <col min="15881" max="15881" width="13.54296875" bestFit="1" customWidth="1"/>
    <col min="15882" max="15882" width="11.81640625" customWidth="1"/>
    <col min="15883" max="15883" width="21.81640625" bestFit="1" customWidth="1"/>
    <col min="15884" max="15884" width="10.1796875" bestFit="1" customWidth="1"/>
    <col min="15885" max="15886" width="8.54296875" bestFit="1" customWidth="1"/>
    <col min="15887" max="15887" width="8.26953125" bestFit="1" customWidth="1"/>
    <col min="16129" max="16129" width="57.7265625" customWidth="1"/>
    <col min="16131" max="16131" width="8" bestFit="1" customWidth="1"/>
    <col min="16132" max="16133" width="8.1796875" bestFit="1" customWidth="1"/>
    <col min="16134" max="16134" width="7.26953125" bestFit="1" customWidth="1"/>
    <col min="16135" max="16135" width="21.1796875" customWidth="1"/>
    <col min="16136" max="16136" width="20" customWidth="1"/>
    <col min="16137" max="16137" width="13.54296875" bestFit="1" customWidth="1"/>
    <col min="16138" max="16138" width="11.81640625" customWidth="1"/>
    <col min="16139" max="16139" width="21.81640625" bestFit="1" customWidth="1"/>
    <col min="16140" max="16140" width="10.1796875" bestFit="1" customWidth="1"/>
    <col min="16141" max="16142" width="8.54296875" bestFit="1" customWidth="1"/>
    <col min="16143" max="16143" width="8.26953125" bestFit="1" customWidth="1"/>
  </cols>
  <sheetData>
    <row r="1" spans="1:16" s="5" customFormat="1" ht="60.5">
      <c r="A1" s="1" t="s">
        <v>0</v>
      </c>
      <c r="B1" s="56" t="s">
        <v>1</v>
      </c>
      <c r="C1" s="1" t="s">
        <v>2</v>
      </c>
      <c r="D1" s="2" t="s">
        <v>3</v>
      </c>
      <c r="E1" s="2" t="s">
        <v>4</v>
      </c>
      <c r="F1" s="2" t="s">
        <v>5</v>
      </c>
      <c r="G1" s="3" t="s">
        <v>6</v>
      </c>
      <c r="H1" s="3" t="s">
        <v>702</v>
      </c>
      <c r="I1" s="2" t="s">
        <v>703</v>
      </c>
      <c r="J1" s="2" t="s">
        <v>704</v>
      </c>
      <c r="K1" s="2" t="s">
        <v>705</v>
      </c>
      <c r="L1" s="2" t="s">
        <v>10</v>
      </c>
      <c r="M1" s="2" t="s">
        <v>706</v>
      </c>
      <c r="N1" s="2" t="s">
        <v>12</v>
      </c>
      <c r="O1" s="159" t="s">
        <v>508</v>
      </c>
      <c r="P1" s="160" t="s">
        <v>707</v>
      </c>
    </row>
    <row r="2" spans="1:16" s="11" customFormat="1" ht="10.5">
      <c r="A2" s="6" t="s">
        <v>708</v>
      </c>
      <c r="B2" s="161" t="s">
        <v>14</v>
      </c>
      <c r="C2" s="162" t="s">
        <v>709</v>
      </c>
      <c r="D2" s="7">
        <v>1</v>
      </c>
      <c r="E2" s="7">
        <f>E8</f>
        <v>50</v>
      </c>
      <c r="F2" s="7">
        <f>SUM(F3:F8)</f>
        <v>50</v>
      </c>
      <c r="G2" s="8"/>
      <c r="H2" s="8"/>
      <c r="I2" s="9"/>
      <c r="J2" s="9"/>
      <c r="K2" s="7"/>
      <c r="L2" s="7"/>
      <c r="M2" s="7"/>
      <c r="N2" s="163"/>
      <c r="O2" s="164"/>
      <c r="P2" s="165"/>
    </row>
    <row r="3" spans="1:16" s="11" customFormat="1" ht="21">
      <c r="A3" s="12" t="s">
        <v>17</v>
      </c>
      <c r="B3" s="166" t="s">
        <v>18</v>
      </c>
      <c r="C3" s="167">
        <v>1</v>
      </c>
      <c r="D3" s="14">
        <v>1</v>
      </c>
      <c r="E3" s="14">
        <f t="shared" ref="E3:E8" si="0">D3+F3-1</f>
        <v>1</v>
      </c>
      <c r="F3" s="14">
        <v>1</v>
      </c>
      <c r="G3" s="15" t="s">
        <v>19</v>
      </c>
      <c r="H3" s="15"/>
      <c r="I3" s="16"/>
      <c r="J3" s="16"/>
      <c r="K3" s="14"/>
      <c r="L3" s="14"/>
      <c r="M3" s="14"/>
      <c r="N3" s="168" t="s">
        <v>290</v>
      </c>
      <c r="O3" s="22"/>
      <c r="P3" s="169"/>
    </row>
    <row r="4" spans="1:16" s="23" customFormat="1">
      <c r="A4" s="64" t="s">
        <v>710</v>
      </c>
      <c r="B4" s="170" t="s">
        <v>711</v>
      </c>
      <c r="C4" s="171">
        <v>2</v>
      </c>
      <c r="D4" s="19">
        <f>E3+1</f>
        <v>2</v>
      </c>
      <c r="E4" s="19">
        <f t="shared" si="0"/>
        <v>16</v>
      </c>
      <c r="F4" s="19">
        <v>15</v>
      </c>
      <c r="G4" s="20" t="s">
        <v>712</v>
      </c>
      <c r="H4" s="20"/>
      <c r="I4" s="66"/>
      <c r="J4" s="66"/>
      <c r="K4" s="19"/>
      <c r="L4" s="19"/>
      <c r="M4" s="19"/>
      <c r="N4" s="172"/>
      <c r="O4" s="22"/>
      <c r="P4" s="173"/>
    </row>
    <row r="5" spans="1:16" s="23" customFormat="1">
      <c r="A5" s="64" t="s">
        <v>713</v>
      </c>
      <c r="B5" s="170" t="s">
        <v>714</v>
      </c>
      <c r="C5" s="171">
        <v>3</v>
      </c>
      <c r="D5" s="19">
        <f>E4+1</f>
        <v>17</v>
      </c>
      <c r="E5" s="19">
        <f t="shared" si="0"/>
        <v>26</v>
      </c>
      <c r="F5" s="19">
        <v>10</v>
      </c>
      <c r="G5" s="20" t="s">
        <v>715</v>
      </c>
      <c r="H5" s="20"/>
      <c r="I5" s="66"/>
      <c r="J5" s="66"/>
      <c r="K5" s="19"/>
      <c r="L5" s="19"/>
      <c r="M5" s="19"/>
      <c r="N5" s="172"/>
      <c r="O5" s="22"/>
      <c r="P5" s="173"/>
    </row>
    <row r="6" spans="1:16" s="23" customFormat="1">
      <c r="A6" s="64" t="s">
        <v>215</v>
      </c>
      <c r="B6" s="170" t="s">
        <v>216</v>
      </c>
      <c r="C6" s="171">
        <v>4</v>
      </c>
      <c r="D6" s="19">
        <f>E7+1</f>
        <v>42</v>
      </c>
      <c r="E6" s="19">
        <f t="shared" si="0"/>
        <v>49</v>
      </c>
      <c r="F6" s="19">
        <v>8</v>
      </c>
      <c r="G6" s="20" t="s">
        <v>716</v>
      </c>
      <c r="H6" s="20"/>
      <c r="I6" s="174"/>
      <c r="J6" s="174"/>
      <c r="K6" s="19"/>
      <c r="L6" s="19"/>
      <c r="M6" s="19"/>
      <c r="N6" s="172"/>
      <c r="O6" s="22"/>
      <c r="P6" s="173"/>
    </row>
    <row r="7" spans="1:16" s="11" customFormat="1">
      <c r="A7" s="64" t="s">
        <v>717</v>
      </c>
      <c r="B7" s="170" t="s">
        <v>711</v>
      </c>
      <c r="C7" s="171">
        <v>5</v>
      </c>
      <c r="D7" s="19">
        <f>E5+1</f>
        <v>27</v>
      </c>
      <c r="E7" s="19">
        <f t="shared" si="0"/>
        <v>41</v>
      </c>
      <c r="F7" s="19">
        <v>15</v>
      </c>
      <c r="G7" s="25" t="s">
        <v>718</v>
      </c>
      <c r="H7" s="25"/>
      <c r="I7" s="26"/>
      <c r="J7" s="26"/>
      <c r="K7" s="14"/>
      <c r="L7" s="14"/>
      <c r="M7" s="14"/>
      <c r="N7" s="168"/>
      <c r="O7" s="22"/>
      <c r="P7" s="169"/>
    </row>
    <row r="8" spans="1:16" s="23" customFormat="1" ht="10">
      <c r="A8" s="80" t="s">
        <v>719</v>
      </c>
      <c r="B8" s="175" t="s">
        <v>720</v>
      </c>
      <c r="C8" s="171">
        <v>6</v>
      </c>
      <c r="D8" s="19">
        <f>E6+1</f>
        <v>50</v>
      </c>
      <c r="E8" s="19">
        <f t="shared" si="0"/>
        <v>50</v>
      </c>
      <c r="F8" s="19">
        <v>1</v>
      </c>
      <c r="G8" s="20" t="s">
        <v>721</v>
      </c>
      <c r="H8" s="20"/>
      <c r="I8" s="66"/>
      <c r="J8" s="66"/>
      <c r="K8" s="19"/>
      <c r="L8" s="19"/>
      <c r="M8" s="19"/>
      <c r="N8" s="172"/>
      <c r="O8" s="22"/>
      <c r="P8" s="173"/>
    </row>
    <row r="9" spans="1:16" s="11" customFormat="1" ht="10.5">
      <c r="A9" s="6" t="s">
        <v>722</v>
      </c>
      <c r="B9" s="161" t="s">
        <v>14</v>
      </c>
      <c r="C9" s="176" t="s">
        <v>709</v>
      </c>
      <c r="D9" s="7">
        <v>1</v>
      </c>
      <c r="E9" s="7">
        <f xml:space="preserve"> E43</f>
        <v>276</v>
      </c>
      <c r="F9" s="7">
        <f>SUM(F10:F43)</f>
        <v>281</v>
      </c>
      <c r="G9" s="28"/>
      <c r="H9" s="28"/>
      <c r="I9" s="29"/>
      <c r="J9" s="29"/>
      <c r="K9" s="7"/>
      <c r="L9" s="7"/>
      <c r="M9" s="7"/>
      <c r="N9" s="163"/>
      <c r="O9" s="164"/>
      <c r="P9" s="165"/>
    </row>
    <row r="10" spans="1:16" s="11" customFormat="1" ht="21">
      <c r="A10" s="30" t="s">
        <v>723</v>
      </c>
      <c r="B10" s="166" t="s">
        <v>18</v>
      </c>
      <c r="C10" s="167">
        <v>7</v>
      </c>
      <c r="D10" s="31">
        <v>1</v>
      </c>
      <c r="E10" s="14">
        <f t="shared" ref="E10:E41" si="1">D10+F10-1</f>
        <v>1</v>
      </c>
      <c r="F10" s="31">
        <v>1</v>
      </c>
      <c r="G10" s="15" t="s">
        <v>38</v>
      </c>
      <c r="H10" s="15"/>
      <c r="I10" s="16"/>
      <c r="J10" s="16"/>
      <c r="K10" s="31"/>
      <c r="L10" s="31"/>
      <c r="M10" s="31"/>
      <c r="N10" s="168" t="s">
        <v>724</v>
      </c>
      <c r="O10" s="22"/>
      <c r="P10" s="169"/>
    </row>
    <row r="11" spans="1:16" s="11" customFormat="1" ht="60.5">
      <c r="A11" s="177" t="s">
        <v>725</v>
      </c>
      <c r="B11" s="178" t="s">
        <v>726</v>
      </c>
      <c r="C11" s="167">
        <v>8</v>
      </c>
      <c r="D11" s="14">
        <f t="shared" ref="D11:D41" si="2">E10+1</f>
        <v>2</v>
      </c>
      <c r="E11" s="14">
        <f t="shared" si="1"/>
        <v>14</v>
      </c>
      <c r="F11" s="14">
        <v>13</v>
      </c>
      <c r="H11" s="15" t="s">
        <v>727</v>
      </c>
      <c r="I11" s="16" t="s">
        <v>297</v>
      </c>
      <c r="J11" s="16" t="s">
        <v>728</v>
      </c>
      <c r="K11" s="71" t="s">
        <v>729</v>
      </c>
      <c r="L11" s="14" t="s">
        <v>730</v>
      </c>
      <c r="M11" s="179" t="s">
        <v>731</v>
      </c>
      <c r="N11" s="168" t="s">
        <v>290</v>
      </c>
      <c r="O11" s="22" t="s">
        <v>732</v>
      </c>
      <c r="P11" s="169"/>
    </row>
    <row r="12" spans="1:16" s="11" customFormat="1" ht="20.5">
      <c r="A12" s="12" t="s">
        <v>733</v>
      </c>
      <c r="B12" s="166" t="s">
        <v>734</v>
      </c>
      <c r="C12" s="167">
        <v>9</v>
      </c>
      <c r="D12" s="14">
        <f t="shared" si="2"/>
        <v>15</v>
      </c>
      <c r="E12" s="14">
        <f t="shared" si="1"/>
        <v>94</v>
      </c>
      <c r="F12" s="14">
        <v>80</v>
      </c>
      <c r="G12" s="15"/>
      <c r="H12" s="15"/>
      <c r="I12" s="16" t="s">
        <v>297</v>
      </c>
      <c r="J12" s="16" t="s">
        <v>728</v>
      </c>
      <c r="K12" s="76" t="s">
        <v>735</v>
      </c>
      <c r="L12" s="14" t="s">
        <v>730</v>
      </c>
      <c r="M12" s="179" t="s">
        <v>736</v>
      </c>
      <c r="N12" s="168" t="s">
        <v>290</v>
      </c>
      <c r="O12" s="22" t="s">
        <v>732</v>
      </c>
      <c r="P12" s="169"/>
    </row>
    <row r="13" spans="1:16" s="11" customFormat="1" ht="20.5">
      <c r="A13" s="12" t="s">
        <v>737</v>
      </c>
      <c r="B13" s="166" t="s">
        <v>55</v>
      </c>
      <c r="C13" s="167">
        <v>10</v>
      </c>
      <c r="D13" s="14">
        <f t="shared" si="2"/>
        <v>95</v>
      </c>
      <c r="E13" s="14">
        <f t="shared" si="1"/>
        <v>154</v>
      </c>
      <c r="F13" s="14">
        <v>60</v>
      </c>
      <c r="H13" s="180" t="s">
        <v>738</v>
      </c>
      <c r="I13" s="16" t="s">
        <v>297</v>
      </c>
      <c r="J13" s="16" t="s">
        <v>728</v>
      </c>
      <c r="K13" s="76" t="s">
        <v>739</v>
      </c>
      <c r="L13" s="14" t="s">
        <v>730</v>
      </c>
      <c r="M13" s="179" t="s">
        <v>740</v>
      </c>
      <c r="N13" s="168" t="s">
        <v>290</v>
      </c>
      <c r="O13" s="22" t="s">
        <v>732</v>
      </c>
      <c r="P13" s="169"/>
    </row>
    <row r="14" spans="1:16" s="11" customFormat="1" ht="52.5">
      <c r="A14" s="33" t="s">
        <v>741</v>
      </c>
      <c r="B14" s="166" t="s">
        <v>742</v>
      </c>
      <c r="C14" s="167">
        <v>11</v>
      </c>
      <c r="D14" s="14">
        <f t="shared" si="2"/>
        <v>155</v>
      </c>
      <c r="E14" s="14">
        <f t="shared" si="1"/>
        <v>158</v>
      </c>
      <c r="F14" s="14">
        <v>4</v>
      </c>
      <c r="G14" s="73"/>
      <c r="H14" s="73" t="s">
        <v>743</v>
      </c>
      <c r="I14" s="16" t="s">
        <v>297</v>
      </c>
      <c r="J14" s="16" t="s">
        <v>744</v>
      </c>
      <c r="K14" s="75" t="s">
        <v>745</v>
      </c>
      <c r="L14" s="14" t="s">
        <v>730</v>
      </c>
      <c r="M14" s="36" t="s">
        <v>746</v>
      </c>
      <c r="N14" s="168" t="s">
        <v>290</v>
      </c>
      <c r="O14" s="22" t="s">
        <v>732</v>
      </c>
      <c r="P14" s="169"/>
    </row>
    <row r="15" spans="1:16" s="11" customFormat="1" ht="24.75" customHeight="1">
      <c r="A15" s="181" t="s">
        <v>747</v>
      </c>
      <c r="B15" s="166" t="s">
        <v>216</v>
      </c>
      <c r="C15" s="167">
        <v>12</v>
      </c>
      <c r="D15" s="14">
        <f t="shared" si="2"/>
        <v>159</v>
      </c>
      <c r="E15" s="14">
        <f t="shared" si="1"/>
        <v>166</v>
      </c>
      <c r="F15" s="14">
        <v>8</v>
      </c>
      <c r="G15" s="73"/>
      <c r="H15" s="73"/>
      <c r="I15" s="16" t="s">
        <v>297</v>
      </c>
      <c r="J15" s="16" t="s">
        <v>728</v>
      </c>
      <c r="K15" s="182" t="s">
        <v>748</v>
      </c>
      <c r="L15" s="14" t="s">
        <v>730</v>
      </c>
      <c r="M15" s="36" t="s">
        <v>749</v>
      </c>
      <c r="N15" s="168" t="s">
        <v>290</v>
      </c>
      <c r="O15" s="22" t="s">
        <v>732</v>
      </c>
      <c r="P15" s="169"/>
    </row>
    <row r="16" spans="1:16" s="11" customFormat="1" ht="20.5">
      <c r="A16" s="69" t="s">
        <v>750</v>
      </c>
      <c r="B16" s="166" t="s">
        <v>751</v>
      </c>
      <c r="C16" s="167">
        <v>13</v>
      </c>
      <c r="D16" s="14">
        <f t="shared" si="2"/>
        <v>167</v>
      </c>
      <c r="E16" s="14">
        <f t="shared" si="1"/>
        <v>168</v>
      </c>
      <c r="F16" s="14">
        <v>2</v>
      </c>
      <c r="G16" s="73" t="s">
        <v>752</v>
      </c>
      <c r="H16" s="73"/>
      <c r="I16" s="16" t="s">
        <v>297</v>
      </c>
      <c r="J16" s="16" t="s">
        <v>728</v>
      </c>
      <c r="K16" s="182" t="s">
        <v>753</v>
      </c>
      <c r="L16" s="14" t="s">
        <v>730</v>
      </c>
      <c r="M16" s="36" t="s">
        <v>754</v>
      </c>
      <c r="N16" s="168" t="s">
        <v>290</v>
      </c>
      <c r="O16" s="22" t="s">
        <v>732</v>
      </c>
      <c r="P16" s="169"/>
    </row>
    <row r="17" spans="1:16" s="11" customFormat="1" ht="20.5">
      <c r="A17" s="33" t="s">
        <v>755</v>
      </c>
      <c r="B17" s="166" t="s">
        <v>756</v>
      </c>
      <c r="C17" s="167">
        <v>14</v>
      </c>
      <c r="D17" s="14">
        <f t="shared" si="2"/>
        <v>169</v>
      </c>
      <c r="E17" s="14">
        <f t="shared" si="1"/>
        <v>188</v>
      </c>
      <c r="F17" s="14">
        <v>20</v>
      </c>
      <c r="G17" s="73"/>
      <c r="H17" s="73"/>
      <c r="I17" s="16" t="s">
        <v>297</v>
      </c>
      <c r="J17" s="16" t="s">
        <v>728</v>
      </c>
      <c r="K17" s="182" t="s">
        <v>757</v>
      </c>
      <c r="L17" s="14" t="s">
        <v>730</v>
      </c>
      <c r="M17" s="36" t="s">
        <v>758</v>
      </c>
      <c r="N17" s="168" t="s">
        <v>290</v>
      </c>
      <c r="O17" s="22" t="s">
        <v>732</v>
      </c>
      <c r="P17" s="169"/>
    </row>
    <row r="18" spans="1:16" s="11" customFormat="1" ht="20.5">
      <c r="A18" s="12" t="s">
        <v>759</v>
      </c>
      <c r="B18" s="166" t="s">
        <v>760</v>
      </c>
      <c r="C18" s="167">
        <v>15</v>
      </c>
      <c r="D18" s="14">
        <f t="shared" si="2"/>
        <v>189</v>
      </c>
      <c r="E18" s="14">
        <f t="shared" si="1"/>
        <v>191</v>
      </c>
      <c r="F18" s="14">
        <v>3</v>
      </c>
      <c r="G18" s="73" t="s">
        <v>761</v>
      </c>
      <c r="H18" s="73"/>
      <c r="I18" s="16" t="s">
        <v>297</v>
      </c>
      <c r="J18" s="16" t="s">
        <v>728</v>
      </c>
      <c r="K18" s="71" t="s">
        <v>762</v>
      </c>
      <c r="L18" s="14" t="s">
        <v>730</v>
      </c>
      <c r="M18" s="179" t="s">
        <v>763</v>
      </c>
      <c r="N18" s="168" t="s">
        <v>290</v>
      </c>
      <c r="O18" s="22" t="s">
        <v>732</v>
      </c>
      <c r="P18" s="169"/>
    </row>
    <row r="19" spans="1:16" s="11" customFormat="1" ht="20.5">
      <c r="A19" s="33" t="s">
        <v>764</v>
      </c>
      <c r="B19" s="166" t="s">
        <v>742</v>
      </c>
      <c r="C19" s="167">
        <v>19</v>
      </c>
      <c r="D19" s="14">
        <f t="shared" si="2"/>
        <v>192</v>
      </c>
      <c r="E19" s="14">
        <f t="shared" si="1"/>
        <v>195</v>
      </c>
      <c r="F19" s="14">
        <v>4</v>
      </c>
      <c r="G19" s="73" t="s">
        <v>765</v>
      </c>
      <c r="H19" s="73"/>
      <c r="I19" s="16" t="s">
        <v>297</v>
      </c>
      <c r="J19" s="16" t="s">
        <v>728</v>
      </c>
      <c r="K19" s="182" t="s">
        <v>766</v>
      </c>
      <c r="L19" s="14" t="s">
        <v>730</v>
      </c>
      <c r="M19" s="36" t="s">
        <v>767</v>
      </c>
      <c r="N19" s="168" t="s">
        <v>290</v>
      </c>
      <c r="O19" s="22" t="s">
        <v>732</v>
      </c>
      <c r="P19" s="169"/>
    </row>
    <row r="20" spans="1:16" s="11" customFormat="1" ht="26">
      <c r="A20" s="33" t="s">
        <v>768</v>
      </c>
      <c r="B20" s="178" t="s">
        <v>769</v>
      </c>
      <c r="C20" s="167">
        <v>20</v>
      </c>
      <c r="D20" s="14">
        <f t="shared" si="2"/>
        <v>196</v>
      </c>
      <c r="E20" s="14">
        <f t="shared" si="1"/>
        <v>199</v>
      </c>
      <c r="F20" s="183">
        <v>4</v>
      </c>
      <c r="G20" s="73" t="s">
        <v>770</v>
      </c>
      <c r="H20" s="73"/>
      <c r="I20" s="16" t="s">
        <v>297</v>
      </c>
      <c r="J20" s="16" t="s">
        <v>728</v>
      </c>
      <c r="K20" s="184" t="s">
        <v>771</v>
      </c>
      <c r="L20" s="14" t="s">
        <v>730</v>
      </c>
      <c r="M20" s="36" t="s">
        <v>772</v>
      </c>
      <c r="N20" s="168" t="s">
        <v>290</v>
      </c>
      <c r="O20" s="22" t="s">
        <v>732</v>
      </c>
      <c r="P20" s="169"/>
    </row>
    <row r="21" spans="1:16" s="11" customFormat="1" ht="20.5">
      <c r="A21" s="69" t="s">
        <v>773</v>
      </c>
      <c r="B21" s="166" t="s">
        <v>774</v>
      </c>
      <c r="C21" s="167">
        <v>21</v>
      </c>
      <c r="D21" s="14">
        <f t="shared" si="2"/>
        <v>200</v>
      </c>
      <c r="E21" s="14">
        <f t="shared" si="1"/>
        <v>205</v>
      </c>
      <c r="F21" s="14">
        <v>6</v>
      </c>
      <c r="G21" s="73" t="s">
        <v>775</v>
      </c>
      <c r="H21" s="73"/>
      <c r="I21" s="16" t="s">
        <v>297</v>
      </c>
      <c r="J21" s="16" t="s">
        <v>728</v>
      </c>
      <c r="K21" s="182" t="s">
        <v>776</v>
      </c>
      <c r="L21" s="14" t="s">
        <v>730</v>
      </c>
      <c r="M21" s="36" t="s">
        <v>777</v>
      </c>
      <c r="N21" s="168" t="s">
        <v>290</v>
      </c>
      <c r="O21" s="22" t="s">
        <v>732</v>
      </c>
      <c r="P21" s="169"/>
    </row>
    <row r="22" spans="1:16" s="11" customFormat="1" ht="20.5">
      <c r="A22" s="185" t="s">
        <v>778</v>
      </c>
      <c r="B22" s="166" t="s">
        <v>779</v>
      </c>
      <c r="C22" s="167">
        <v>22</v>
      </c>
      <c r="D22" s="14">
        <f t="shared" si="2"/>
        <v>206</v>
      </c>
      <c r="E22" s="14">
        <f t="shared" si="1"/>
        <v>211</v>
      </c>
      <c r="F22" s="14">
        <v>6</v>
      </c>
      <c r="G22" s="15" t="s">
        <v>780</v>
      </c>
      <c r="H22" s="15"/>
      <c r="I22" s="16" t="s">
        <v>297</v>
      </c>
      <c r="J22" s="16" t="s">
        <v>728</v>
      </c>
      <c r="K22" s="61" t="s">
        <v>781</v>
      </c>
      <c r="L22" s="14" t="s">
        <v>730</v>
      </c>
      <c r="M22" s="179" t="s">
        <v>782</v>
      </c>
      <c r="N22" s="168" t="s">
        <v>290</v>
      </c>
      <c r="O22" s="22" t="s">
        <v>732</v>
      </c>
      <c r="P22" s="169"/>
    </row>
    <row r="23" spans="1:16" s="11" customFormat="1" ht="20.5">
      <c r="A23" s="12" t="s">
        <v>783</v>
      </c>
      <c r="B23" s="178" t="s">
        <v>760</v>
      </c>
      <c r="C23" s="167">
        <v>23</v>
      </c>
      <c r="D23" s="14">
        <f t="shared" si="2"/>
        <v>212</v>
      </c>
      <c r="E23" s="14">
        <f t="shared" si="1"/>
        <v>216</v>
      </c>
      <c r="F23" s="14">
        <v>5</v>
      </c>
      <c r="G23" s="15" t="s">
        <v>308</v>
      </c>
      <c r="H23" s="15"/>
      <c r="I23" s="16" t="s">
        <v>297</v>
      </c>
      <c r="J23" s="16" t="s">
        <v>728</v>
      </c>
      <c r="K23" s="69" t="s">
        <v>784</v>
      </c>
      <c r="L23" s="14" t="s">
        <v>730</v>
      </c>
      <c r="M23" s="179" t="s">
        <v>785</v>
      </c>
      <c r="N23" s="168" t="s">
        <v>290</v>
      </c>
      <c r="O23" s="22" t="s">
        <v>732</v>
      </c>
      <c r="P23" s="169"/>
    </row>
    <row r="24" spans="1:16" s="11" customFormat="1" ht="20.5">
      <c r="A24" s="186" t="s">
        <v>786</v>
      </c>
      <c r="B24" s="166" t="s">
        <v>216</v>
      </c>
      <c r="C24" s="167">
        <v>24</v>
      </c>
      <c r="D24" s="14">
        <f t="shared" si="2"/>
        <v>217</v>
      </c>
      <c r="E24" s="14">
        <f t="shared" si="1"/>
        <v>224</v>
      </c>
      <c r="F24" s="14">
        <v>8</v>
      </c>
      <c r="H24" s="15" t="s">
        <v>716</v>
      </c>
      <c r="I24" s="16" t="s">
        <v>297</v>
      </c>
      <c r="J24" s="16" t="s">
        <v>728</v>
      </c>
      <c r="K24" s="61" t="s">
        <v>787</v>
      </c>
      <c r="L24" s="14" t="s">
        <v>730</v>
      </c>
      <c r="M24" s="179" t="s">
        <v>749</v>
      </c>
      <c r="N24" s="168" t="s">
        <v>290</v>
      </c>
      <c r="O24" s="22" t="s">
        <v>732</v>
      </c>
      <c r="P24" s="169"/>
    </row>
    <row r="25" spans="1:16" s="11" customFormat="1" ht="20.5">
      <c r="A25" s="12" t="s">
        <v>788</v>
      </c>
      <c r="B25" s="166" t="s">
        <v>609</v>
      </c>
      <c r="C25" s="167">
        <v>25</v>
      </c>
      <c r="D25" s="14">
        <f t="shared" si="2"/>
        <v>225</v>
      </c>
      <c r="E25" s="14">
        <f t="shared" si="1"/>
        <v>226</v>
      </c>
      <c r="F25" s="14">
        <v>2</v>
      </c>
      <c r="G25" s="15" t="s">
        <v>752</v>
      </c>
      <c r="H25" s="15"/>
      <c r="I25" s="16" t="s">
        <v>297</v>
      </c>
      <c r="J25" s="16" t="s">
        <v>728</v>
      </c>
      <c r="K25" s="76" t="s">
        <v>789</v>
      </c>
      <c r="L25" s="14" t="s">
        <v>730</v>
      </c>
      <c r="M25" s="179" t="s">
        <v>754</v>
      </c>
      <c r="N25" s="168" t="s">
        <v>290</v>
      </c>
      <c r="O25" s="22" t="s">
        <v>732</v>
      </c>
      <c r="P25" s="169"/>
    </row>
    <row r="26" spans="1:16" s="11" customFormat="1" ht="20.5">
      <c r="A26" s="186" t="s">
        <v>790</v>
      </c>
      <c r="B26" s="166" t="s">
        <v>216</v>
      </c>
      <c r="C26" s="167">
        <v>26</v>
      </c>
      <c r="D26" s="14">
        <f t="shared" si="2"/>
        <v>227</v>
      </c>
      <c r="E26" s="14">
        <f t="shared" si="1"/>
        <v>234</v>
      </c>
      <c r="F26" s="14">
        <v>8</v>
      </c>
      <c r="H26" s="15" t="s">
        <v>716</v>
      </c>
      <c r="I26" s="16" t="s">
        <v>297</v>
      </c>
      <c r="J26" s="16" t="s">
        <v>728</v>
      </c>
      <c r="K26" s="61" t="s">
        <v>791</v>
      </c>
      <c r="L26" s="14" t="s">
        <v>730</v>
      </c>
      <c r="M26" s="179" t="s">
        <v>792</v>
      </c>
      <c r="N26" s="168" t="s">
        <v>290</v>
      </c>
      <c r="O26" s="22" t="s">
        <v>732</v>
      </c>
      <c r="P26" s="169"/>
    </row>
    <row r="27" spans="1:16" s="11" customFormat="1" ht="20.5">
      <c r="A27" s="186" t="s">
        <v>793</v>
      </c>
      <c r="B27" s="166" t="s">
        <v>216</v>
      </c>
      <c r="C27" s="167">
        <v>27</v>
      </c>
      <c r="D27" s="14">
        <f t="shared" si="2"/>
        <v>235</v>
      </c>
      <c r="E27" s="14">
        <f t="shared" si="1"/>
        <v>242</v>
      </c>
      <c r="F27" s="14">
        <v>8</v>
      </c>
      <c r="H27" s="15" t="s">
        <v>716</v>
      </c>
      <c r="I27" s="16" t="s">
        <v>297</v>
      </c>
      <c r="J27" s="16" t="s">
        <v>728</v>
      </c>
      <c r="K27" s="61" t="s">
        <v>794</v>
      </c>
      <c r="L27" s="14" t="s">
        <v>730</v>
      </c>
      <c r="M27" s="179" t="s">
        <v>795</v>
      </c>
      <c r="N27" s="168" t="s">
        <v>290</v>
      </c>
      <c r="O27" s="22" t="s">
        <v>732</v>
      </c>
      <c r="P27" s="169"/>
    </row>
    <row r="28" spans="1:16" s="11" customFormat="1" ht="20.5">
      <c r="A28" s="187" t="s">
        <v>796</v>
      </c>
      <c r="B28" s="166" t="s">
        <v>797</v>
      </c>
      <c r="C28" s="167">
        <v>28</v>
      </c>
      <c r="D28" s="14">
        <f t="shared" si="2"/>
        <v>243</v>
      </c>
      <c r="E28" s="14">
        <f t="shared" si="1"/>
        <v>248</v>
      </c>
      <c r="F28" s="14">
        <v>6</v>
      </c>
      <c r="G28" s="33"/>
      <c r="H28" s="33"/>
      <c r="I28" s="16" t="s">
        <v>798</v>
      </c>
      <c r="J28" s="16" t="s">
        <v>728</v>
      </c>
      <c r="K28" s="33" t="s">
        <v>799</v>
      </c>
      <c r="L28" s="14" t="s">
        <v>730</v>
      </c>
      <c r="M28" s="179" t="s">
        <v>800</v>
      </c>
      <c r="N28" s="168" t="s">
        <v>290</v>
      </c>
      <c r="O28" s="22" t="s">
        <v>732</v>
      </c>
      <c r="P28" s="169"/>
    </row>
    <row r="29" spans="1:16" s="11" customFormat="1" ht="20.5">
      <c r="A29" s="187" t="s">
        <v>801</v>
      </c>
      <c r="B29" s="166" t="s">
        <v>18</v>
      </c>
      <c r="C29" s="167">
        <v>29</v>
      </c>
      <c r="D29" s="14">
        <f t="shared" si="2"/>
        <v>249</v>
      </c>
      <c r="E29" s="14">
        <f t="shared" si="1"/>
        <v>249</v>
      </c>
      <c r="F29" s="14">
        <v>1</v>
      </c>
      <c r="G29" s="33" t="s">
        <v>802</v>
      </c>
      <c r="H29" s="33"/>
      <c r="I29" s="16" t="s">
        <v>798</v>
      </c>
      <c r="J29" s="16" t="s">
        <v>728</v>
      </c>
      <c r="K29" s="33" t="s">
        <v>803</v>
      </c>
      <c r="L29" s="14" t="s">
        <v>730</v>
      </c>
      <c r="M29" s="179" t="s">
        <v>804</v>
      </c>
      <c r="N29" s="168" t="s">
        <v>290</v>
      </c>
      <c r="O29" s="22" t="s">
        <v>732</v>
      </c>
      <c r="P29" s="169"/>
    </row>
    <row r="30" spans="1:16" s="11" customFormat="1" ht="70">
      <c r="A30" s="185" t="s">
        <v>805</v>
      </c>
      <c r="B30" s="166" t="s">
        <v>806</v>
      </c>
      <c r="C30" s="167">
        <v>30</v>
      </c>
      <c r="D30" s="14">
        <f t="shared" si="2"/>
        <v>250</v>
      </c>
      <c r="E30" s="14">
        <f t="shared" si="1"/>
        <v>250</v>
      </c>
      <c r="F30" s="14">
        <v>1</v>
      </c>
      <c r="G30" s="75" t="s">
        <v>807</v>
      </c>
      <c r="H30" s="33"/>
      <c r="I30" s="16" t="s">
        <v>798</v>
      </c>
      <c r="J30" s="16" t="s">
        <v>728</v>
      </c>
      <c r="K30" s="33" t="s">
        <v>808</v>
      </c>
      <c r="L30" s="14" t="s">
        <v>730</v>
      </c>
      <c r="M30" s="179" t="s">
        <v>809</v>
      </c>
      <c r="N30" s="168" t="s">
        <v>290</v>
      </c>
      <c r="O30" s="22" t="s">
        <v>732</v>
      </c>
      <c r="P30" s="169"/>
    </row>
    <row r="31" spans="1:16" s="11" customFormat="1" ht="20.5">
      <c r="A31" s="187" t="s">
        <v>810</v>
      </c>
      <c r="B31" s="166" t="s">
        <v>18</v>
      </c>
      <c r="C31" s="167">
        <v>31</v>
      </c>
      <c r="D31" s="14">
        <f t="shared" si="2"/>
        <v>251</v>
      </c>
      <c r="E31" s="14">
        <f t="shared" si="1"/>
        <v>251</v>
      </c>
      <c r="F31" s="14">
        <v>1</v>
      </c>
      <c r="G31" s="33" t="s">
        <v>811</v>
      </c>
      <c r="H31" s="33"/>
      <c r="I31" s="16" t="s">
        <v>798</v>
      </c>
      <c r="J31" s="16" t="s">
        <v>728</v>
      </c>
      <c r="K31" s="33" t="s">
        <v>812</v>
      </c>
      <c r="L31" s="14" t="s">
        <v>730</v>
      </c>
      <c r="M31" s="179" t="s">
        <v>813</v>
      </c>
      <c r="N31" s="168" t="s">
        <v>290</v>
      </c>
      <c r="O31" s="22" t="s">
        <v>732</v>
      </c>
      <c r="P31" s="169"/>
    </row>
    <row r="32" spans="1:16" s="11" customFormat="1" ht="20.5">
      <c r="A32" s="187" t="s">
        <v>814</v>
      </c>
      <c r="B32" s="166" t="s">
        <v>18</v>
      </c>
      <c r="C32" s="167">
        <v>32</v>
      </c>
      <c r="D32" s="14">
        <f t="shared" si="2"/>
        <v>252</v>
      </c>
      <c r="E32" s="14">
        <f t="shared" si="1"/>
        <v>252</v>
      </c>
      <c r="F32" s="14">
        <v>1</v>
      </c>
      <c r="G32" s="33" t="s">
        <v>815</v>
      </c>
      <c r="H32" s="33"/>
      <c r="I32" s="16" t="s">
        <v>798</v>
      </c>
      <c r="J32" s="16" t="s">
        <v>728</v>
      </c>
      <c r="K32" s="33" t="s">
        <v>816</v>
      </c>
      <c r="L32" s="14" t="s">
        <v>730</v>
      </c>
      <c r="M32" s="179" t="s">
        <v>817</v>
      </c>
      <c r="N32" s="168" t="s">
        <v>290</v>
      </c>
      <c r="O32" s="22" t="s">
        <v>732</v>
      </c>
      <c r="P32" s="169"/>
    </row>
    <row r="33" spans="1:16" s="11" customFormat="1" ht="20.5">
      <c r="A33" s="187" t="s">
        <v>818</v>
      </c>
      <c r="B33" s="166" t="s">
        <v>18</v>
      </c>
      <c r="C33" s="167">
        <v>33</v>
      </c>
      <c r="D33" s="14">
        <f t="shared" si="2"/>
        <v>253</v>
      </c>
      <c r="E33" s="14">
        <f t="shared" si="1"/>
        <v>253</v>
      </c>
      <c r="F33" s="14">
        <v>1</v>
      </c>
      <c r="G33" s="33" t="s">
        <v>819</v>
      </c>
      <c r="H33" s="33"/>
      <c r="I33" s="16" t="s">
        <v>798</v>
      </c>
      <c r="J33" s="16" t="s">
        <v>728</v>
      </c>
      <c r="K33" s="33" t="s">
        <v>820</v>
      </c>
      <c r="L33" s="14" t="s">
        <v>730</v>
      </c>
      <c r="M33" s="179" t="s">
        <v>821</v>
      </c>
      <c r="N33" s="168" t="s">
        <v>290</v>
      </c>
      <c r="O33" s="22" t="s">
        <v>732</v>
      </c>
      <c r="P33" s="169"/>
    </row>
    <row r="34" spans="1:16" s="11" customFormat="1" ht="20.5">
      <c r="A34" s="187" t="s">
        <v>822</v>
      </c>
      <c r="B34" s="166" t="s">
        <v>18</v>
      </c>
      <c r="C34" s="167">
        <v>34</v>
      </c>
      <c r="D34" s="14">
        <f t="shared" si="2"/>
        <v>254</v>
      </c>
      <c r="E34" s="14">
        <f t="shared" si="1"/>
        <v>254</v>
      </c>
      <c r="F34" s="14">
        <v>1</v>
      </c>
      <c r="G34" s="75" t="s">
        <v>823</v>
      </c>
      <c r="H34" s="75"/>
      <c r="I34" s="16" t="s">
        <v>798</v>
      </c>
      <c r="J34" s="16" t="s">
        <v>728</v>
      </c>
      <c r="K34" s="33" t="s">
        <v>824</v>
      </c>
      <c r="L34" s="14" t="s">
        <v>730</v>
      </c>
      <c r="M34" s="179" t="s">
        <v>825</v>
      </c>
      <c r="N34" s="168" t="s">
        <v>290</v>
      </c>
      <c r="O34" s="22" t="s">
        <v>732</v>
      </c>
      <c r="P34" s="169"/>
    </row>
    <row r="35" spans="1:16" s="11" customFormat="1" ht="20.5">
      <c r="A35" s="187" t="s">
        <v>826</v>
      </c>
      <c r="B35" s="166" t="s">
        <v>760</v>
      </c>
      <c r="C35" s="167">
        <v>35</v>
      </c>
      <c r="D35" s="14">
        <f t="shared" si="2"/>
        <v>255</v>
      </c>
      <c r="E35" s="14">
        <f t="shared" si="1"/>
        <v>257</v>
      </c>
      <c r="F35" s="14">
        <v>3</v>
      </c>
      <c r="G35" s="33" t="s">
        <v>827</v>
      </c>
      <c r="H35" s="33"/>
      <c r="I35" s="16" t="s">
        <v>798</v>
      </c>
      <c r="J35" s="16" t="s">
        <v>728</v>
      </c>
      <c r="K35" s="33" t="s">
        <v>828</v>
      </c>
      <c r="L35" s="14" t="s">
        <v>730</v>
      </c>
      <c r="M35" s="179" t="s">
        <v>829</v>
      </c>
      <c r="N35" s="168" t="s">
        <v>290</v>
      </c>
      <c r="O35" s="22" t="s">
        <v>732</v>
      </c>
      <c r="P35" s="169"/>
    </row>
    <row r="36" spans="1:16" s="11" customFormat="1" ht="20.5">
      <c r="A36" s="187" t="s">
        <v>830</v>
      </c>
      <c r="B36" s="166" t="s">
        <v>547</v>
      </c>
      <c r="C36" s="167">
        <v>36</v>
      </c>
      <c r="D36" s="14">
        <f t="shared" si="2"/>
        <v>258</v>
      </c>
      <c r="E36" s="14">
        <f t="shared" si="1"/>
        <v>259</v>
      </c>
      <c r="F36" s="14">
        <v>2</v>
      </c>
      <c r="G36" s="33" t="s">
        <v>831</v>
      </c>
      <c r="H36" s="33"/>
      <c r="I36" s="16" t="s">
        <v>798</v>
      </c>
      <c r="J36" s="16" t="s">
        <v>728</v>
      </c>
      <c r="K36" s="33" t="s">
        <v>832</v>
      </c>
      <c r="L36" s="14" t="s">
        <v>730</v>
      </c>
      <c r="M36" s="179" t="s">
        <v>833</v>
      </c>
      <c r="N36" s="168" t="s">
        <v>290</v>
      </c>
      <c r="O36" s="22" t="s">
        <v>732</v>
      </c>
      <c r="P36" s="169"/>
    </row>
    <row r="37" spans="1:16" s="11" customFormat="1" ht="20.5">
      <c r="A37" s="187" t="s">
        <v>834</v>
      </c>
      <c r="B37" s="166" t="s">
        <v>835</v>
      </c>
      <c r="C37" s="167">
        <v>37</v>
      </c>
      <c r="D37" s="14">
        <f t="shared" si="2"/>
        <v>260</v>
      </c>
      <c r="E37" s="14">
        <f t="shared" si="1"/>
        <v>265</v>
      </c>
      <c r="F37" s="14">
        <v>6</v>
      </c>
      <c r="G37" s="33"/>
      <c r="H37" s="33"/>
      <c r="I37" s="16" t="s">
        <v>798</v>
      </c>
      <c r="J37" s="16" t="s">
        <v>728</v>
      </c>
      <c r="K37" s="33" t="s">
        <v>836</v>
      </c>
      <c r="L37" s="14" t="s">
        <v>730</v>
      </c>
      <c r="M37" s="179" t="s">
        <v>837</v>
      </c>
      <c r="N37" s="168" t="s">
        <v>290</v>
      </c>
      <c r="O37" s="22" t="s">
        <v>732</v>
      </c>
      <c r="P37" s="169"/>
    </row>
    <row r="38" spans="1:16" s="11" customFormat="1" ht="20.5">
      <c r="A38" s="187" t="s">
        <v>838</v>
      </c>
      <c r="B38" s="166" t="s">
        <v>760</v>
      </c>
      <c r="C38" s="167">
        <v>38</v>
      </c>
      <c r="D38" s="14">
        <f t="shared" si="2"/>
        <v>266</v>
      </c>
      <c r="E38" s="14">
        <f t="shared" si="1"/>
        <v>270</v>
      </c>
      <c r="F38" s="14">
        <v>5</v>
      </c>
      <c r="G38" s="15" t="s">
        <v>308</v>
      </c>
      <c r="H38" s="15"/>
      <c r="I38" s="16" t="s">
        <v>798</v>
      </c>
      <c r="J38" s="16" t="s">
        <v>728</v>
      </c>
      <c r="K38" s="33" t="s">
        <v>839</v>
      </c>
      <c r="L38" s="14" t="s">
        <v>730</v>
      </c>
      <c r="M38" s="179" t="s">
        <v>840</v>
      </c>
      <c r="N38" s="168" t="s">
        <v>290</v>
      </c>
      <c r="O38" s="22" t="s">
        <v>732</v>
      </c>
      <c r="P38" s="169"/>
    </row>
    <row r="39" spans="1:16" s="11" customFormat="1" ht="30.5">
      <c r="A39" s="187" t="s">
        <v>841</v>
      </c>
      <c r="B39" s="178" t="s">
        <v>842</v>
      </c>
      <c r="C39" s="167">
        <v>39</v>
      </c>
      <c r="D39" s="14">
        <f t="shared" si="2"/>
        <v>271</v>
      </c>
      <c r="E39" s="14">
        <f t="shared" si="1"/>
        <v>275</v>
      </c>
      <c r="F39" s="14">
        <v>5</v>
      </c>
      <c r="G39" s="15" t="s">
        <v>843</v>
      </c>
      <c r="H39" s="15"/>
      <c r="I39" s="16" t="s">
        <v>798</v>
      </c>
      <c r="J39" s="188" t="s">
        <v>844</v>
      </c>
      <c r="K39" s="189" t="s">
        <v>845</v>
      </c>
      <c r="L39" s="14" t="s">
        <v>846</v>
      </c>
      <c r="M39" s="179">
        <v>568</v>
      </c>
      <c r="N39" s="168" t="s">
        <v>724</v>
      </c>
      <c r="O39" s="22" t="s">
        <v>732</v>
      </c>
      <c r="P39" s="169"/>
    </row>
    <row r="40" spans="1:16" s="199" customFormat="1" ht="13.5" customHeight="1">
      <c r="A40" s="190" t="s">
        <v>3187</v>
      </c>
      <c r="B40" s="191" t="s">
        <v>847</v>
      </c>
      <c r="C40" s="192">
        <v>40</v>
      </c>
      <c r="D40" s="192">
        <f t="shared" si="2"/>
        <v>276</v>
      </c>
      <c r="E40" s="192">
        <f t="shared" si="1"/>
        <v>278</v>
      </c>
      <c r="F40" s="192">
        <v>3</v>
      </c>
      <c r="G40" s="193"/>
      <c r="H40" s="194" t="s">
        <v>848</v>
      </c>
      <c r="I40" s="195" t="s">
        <v>798</v>
      </c>
      <c r="J40" s="195" t="s">
        <v>849</v>
      </c>
      <c r="K40" s="196" t="s">
        <v>850</v>
      </c>
      <c r="L40" s="195" t="s">
        <v>851</v>
      </c>
      <c r="M40" s="197" t="s">
        <v>852</v>
      </c>
      <c r="N40" s="198" t="s">
        <v>724</v>
      </c>
    </row>
    <row r="41" spans="1:16" s="199" customFormat="1" ht="90.5">
      <c r="A41" s="190" t="s">
        <v>853</v>
      </c>
      <c r="B41" s="191" t="s">
        <v>854</v>
      </c>
      <c r="C41" s="192">
        <v>41</v>
      </c>
      <c r="D41" s="192">
        <f t="shared" si="2"/>
        <v>279</v>
      </c>
      <c r="E41" s="192">
        <f t="shared" si="1"/>
        <v>280</v>
      </c>
      <c r="F41" s="192">
        <v>2</v>
      </c>
      <c r="G41" s="193" t="s">
        <v>855</v>
      </c>
      <c r="H41" s="194" t="s">
        <v>856</v>
      </c>
      <c r="I41" s="195" t="s">
        <v>798</v>
      </c>
      <c r="J41" s="195" t="s">
        <v>849</v>
      </c>
      <c r="K41" s="196" t="s">
        <v>857</v>
      </c>
      <c r="L41" s="195" t="s">
        <v>851</v>
      </c>
      <c r="M41" s="197" t="s">
        <v>852</v>
      </c>
      <c r="N41" s="198" t="s">
        <v>724</v>
      </c>
    </row>
    <row r="43" spans="1:16" s="23" customFormat="1" ht="10">
      <c r="A43" s="80" t="s">
        <v>719</v>
      </c>
      <c r="B43" s="175" t="s">
        <v>720</v>
      </c>
      <c r="C43" s="167">
        <v>40</v>
      </c>
      <c r="D43" s="14">
        <f>E39+1</f>
        <v>276</v>
      </c>
      <c r="E43" s="14">
        <f>D43+F43-1</f>
        <v>276</v>
      </c>
      <c r="F43" s="19">
        <v>1</v>
      </c>
      <c r="G43" s="20" t="s">
        <v>721</v>
      </c>
      <c r="H43" s="20"/>
      <c r="I43" s="66"/>
      <c r="J43" s="66"/>
      <c r="K43" s="19"/>
      <c r="L43" s="19"/>
      <c r="M43" s="19"/>
      <c r="N43" s="172"/>
      <c r="O43" s="22"/>
      <c r="P43" s="173"/>
    </row>
    <row r="44" spans="1:16" s="11" customFormat="1" ht="18.75" customHeight="1">
      <c r="A44" s="6" t="s">
        <v>858</v>
      </c>
      <c r="B44" s="161" t="s">
        <v>14</v>
      </c>
      <c r="C44" s="176" t="s">
        <v>709</v>
      </c>
      <c r="D44" s="7">
        <v>1</v>
      </c>
      <c r="E44" s="7">
        <f>E47</f>
        <v>11</v>
      </c>
      <c r="F44" s="7">
        <f>SUM(F45:F47)</f>
        <v>11</v>
      </c>
      <c r="G44" s="28"/>
      <c r="H44" s="28"/>
      <c r="I44" s="29"/>
      <c r="J44" s="29"/>
      <c r="K44" s="7"/>
      <c r="L44" s="41" t="s">
        <v>204</v>
      </c>
      <c r="M44" s="41"/>
      <c r="N44" s="163"/>
      <c r="O44" s="164"/>
      <c r="P44" s="165"/>
    </row>
    <row r="45" spans="1:16" s="11" customFormat="1" ht="21">
      <c r="A45" s="30" t="s">
        <v>723</v>
      </c>
      <c r="B45" s="166" t="s">
        <v>18</v>
      </c>
      <c r="C45" s="167">
        <v>40</v>
      </c>
      <c r="D45" s="14">
        <v>1</v>
      </c>
      <c r="E45" s="14">
        <v>1</v>
      </c>
      <c r="F45" s="14">
        <v>1</v>
      </c>
      <c r="G45" s="15" t="s">
        <v>205</v>
      </c>
      <c r="H45" s="15"/>
      <c r="I45" s="16"/>
      <c r="J45" s="16"/>
      <c r="K45" s="14"/>
      <c r="L45" s="14"/>
      <c r="M45" s="14"/>
      <c r="N45" s="168"/>
      <c r="O45" s="22"/>
      <c r="P45" s="169"/>
    </row>
    <row r="46" spans="1:16" s="11" customFormat="1">
      <c r="A46" s="42" t="s">
        <v>206</v>
      </c>
      <c r="B46" s="166" t="s">
        <v>207</v>
      </c>
      <c r="C46" s="167">
        <v>41</v>
      </c>
      <c r="D46" s="14">
        <f>E45+1</f>
        <v>2</v>
      </c>
      <c r="E46" s="14">
        <f>D46+F46-1</f>
        <v>10</v>
      </c>
      <c r="F46" s="14">
        <v>9</v>
      </c>
      <c r="G46" s="15" t="s">
        <v>208</v>
      </c>
      <c r="H46" s="15"/>
      <c r="I46" s="16"/>
      <c r="J46" s="16"/>
      <c r="K46" s="14"/>
      <c r="L46" s="14"/>
      <c r="M46" s="14"/>
      <c r="N46" s="168"/>
      <c r="O46" s="22"/>
      <c r="P46" s="169"/>
    </row>
    <row r="47" spans="1:16" s="23" customFormat="1" ht="10.5" thickBot="1">
      <c r="A47" s="81" t="s">
        <v>719</v>
      </c>
      <c r="B47" s="200" t="s">
        <v>720</v>
      </c>
      <c r="C47" s="201">
        <v>42</v>
      </c>
      <c r="D47" s="52">
        <f>E46+1</f>
        <v>11</v>
      </c>
      <c r="E47" s="202">
        <f>D47+F47-1</f>
        <v>11</v>
      </c>
      <c r="F47" s="202">
        <v>1</v>
      </c>
      <c r="G47" s="83" t="s">
        <v>721</v>
      </c>
      <c r="H47" s="83"/>
      <c r="I47" s="203"/>
      <c r="J47" s="203"/>
      <c r="K47" s="202"/>
      <c r="L47" s="202"/>
      <c r="M47" s="202"/>
      <c r="N47" s="204"/>
      <c r="O47" s="205"/>
      <c r="P47" s="206"/>
    </row>
  </sheetData>
  <pageMargins left="0.75" right="0.75" top="1" bottom="1" header="0.5" footer="0.5"/>
  <pageSetup paperSize="9" orientation="portrait" horizontalDpi="300" verticalDpi="300" r:id="rId1"/>
  <headerFooter alignWithMargins="0">
    <oddHeader>&amp;L&amp;"Arial"&amp;9&amp;K0078D7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0AF6-A5EA-4613-BFAD-D70C1E41EE94}">
  <sheetPr codeName="Sheet9">
    <tabColor rgb="FFFF0000"/>
  </sheetPr>
  <dimension ref="A1:N100"/>
  <sheetViews>
    <sheetView workbookViewId="0">
      <selection activeCell="H3" sqref="H3"/>
    </sheetView>
  </sheetViews>
  <sheetFormatPr defaultColWidth="9.1796875" defaultRowHeight="10"/>
  <cols>
    <col min="1" max="1" width="24.7265625" style="255" bestFit="1" customWidth="1"/>
    <col min="2" max="2" width="18.7265625" style="256" bestFit="1" customWidth="1"/>
    <col min="3" max="3" width="8.1796875" style="256" bestFit="1" customWidth="1"/>
    <col min="4" max="5" width="8.26953125" style="256" bestFit="1" customWidth="1"/>
    <col min="6" max="6" width="7.26953125" style="256" bestFit="1" customWidth="1"/>
    <col min="7" max="7" width="26.1796875" style="257" bestFit="1" customWidth="1"/>
    <col min="8" max="8" width="20.7265625" style="257" bestFit="1" customWidth="1"/>
    <col min="9" max="9" width="20.81640625" style="257" bestFit="1" customWidth="1"/>
    <col min="10" max="10" width="24" style="256" customWidth="1"/>
    <col min="11" max="11" width="17.1796875" style="256" bestFit="1" customWidth="1"/>
    <col min="12" max="12" width="22.1796875" style="258" customWidth="1"/>
    <col min="13" max="13" width="13.26953125" style="221" customWidth="1"/>
    <col min="14" max="14" width="11" style="221" customWidth="1"/>
    <col min="15" max="256" width="9.1796875" style="221"/>
    <col min="257" max="257" width="24.7265625" style="221" bestFit="1" customWidth="1"/>
    <col min="258" max="258" width="18.7265625" style="221" bestFit="1" customWidth="1"/>
    <col min="259" max="259" width="8.1796875" style="221" bestFit="1" customWidth="1"/>
    <col min="260" max="261" width="8.26953125" style="221" bestFit="1" customWidth="1"/>
    <col min="262" max="262" width="7.26953125" style="221" bestFit="1" customWidth="1"/>
    <col min="263" max="263" width="26.1796875" style="221" bestFit="1" customWidth="1"/>
    <col min="264" max="264" width="20.7265625" style="221" bestFit="1" customWidth="1"/>
    <col min="265" max="265" width="20.81640625" style="221" bestFit="1" customWidth="1"/>
    <col min="266" max="266" width="24" style="221" customWidth="1"/>
    <col min="267" max="267" width="17.1796875" style="221" bestFit="1" customWidth="1"/>
    <col min="268" max="268" width="22.1796875" style="221" customWidth="1"/>
    <col min="269" max="269" width="13.26953125" style="221" customWidth="1"/>
    <col min="270" max="270" width="11" style="221" customWidth="1"/>
    <col min="271" max="512" width="9.1796875" style="221"/>
    <col min="513" max="513" width="24.7265625" style="221" bestFit="1" customWidth="1"/>
    <col min="514" max="514" width="18.7265625" style="221" bestFit="1" customWidth="1"/>
    <col min="515" max="515" width="8.1796875" style="221" bestFit="1" customWidth="1"/>
    <col min="516" max="517" width="8.26953125" style="221" bestFit="1" customWidth="1"/>
    <col min="518" max="518" width="7.26953125" style="221" bestFit="1" customWidth="1"/>
    <col min="519" max="519" width="26.1796875" style="221" bestFit="1" customWidth="1"/>
    <col min="520" max="520" width="20.7265625" style="221" bestFit="1" customWidth="1"/>
    <col min="521" max="521" width="20.81640625" style="221" bestFit="1" customWidth="1"/>
    <col min="522" max="522" width="24" style="221" customWidth="1"/>
    <col min="523" max="523" width="17.1796875" style="221" bestFit="1" customWidth="1"/>
    <col min="524" max="524" width="22.1796875" style="221" customWidth="1"/>
    <col min="525" max="525" width="13.26953125" style="221" customWidth="1"/>
    <col min="526" max="526" width="11" style="221" customWidth="1"/>
    <col min="527" max="768" width="9.1796875" style="221"/>
    <col min="769" max="769" width="24.7265625" style="221" bestFit="1" customWidth="1"/>
    <col min="770" max="770" width="18.7265625" style="221" bestFit="1" customWidth="1"/>
    <col min="771" max="771" width="8.1796875" style="221" bestFit="1" customWidth="1"/>
    <col min="772" max="773" width="8.26953125" style="221" bestFit="1" customWidth="1"/>
    <col min="774" max="774" width="7.26953125" style="221" bestFit="1" customWidth="1"/>
    <col min="775" max="775" width="26.1796875" style="221" bestFit="1" customWidth="1"/>
    <col min="776" max="776" width="20.7265625" style="221" bestFit="1" customWidth="1"/>
    <col min="777" max="777" width="20.81640625" style="221" bestFit="1" customWidth="1"/>
    <col min="778" max="778" width="24" style="221" customWidth="1"/>
    <col min="779" max="779" width="17.1796875" style="221" bestFit="1" customWidth="1"/>
    <col min="780" max="780" width="22.1796875" style="221" customWidth="1"/>
    <col min="781" max="781" width="13.26953125" style="221" customWidth="1"/>
    <col min="782" max="782" width="11" style="221" customWidth="1"/>
    <col min="783" max="1024" width="9.1796875" style="221"/>
    <col min="1025" max="1025" width="24.7265625" style="221" bestFit="1" customWidth="1"/>
    <col min="1026" max="1026" width="18.7265625" style="221" bestFit="1" customWidth="1"/>
    <col min="1027" max="1027" width="8.1796875" style="221" bestFit="1" customWidth="1"/>
    <col min="1028" max="1029" width="8.26953125" style="221" bestFit="1" customWidth="1"/>
    <col min="1030" max="1030" width="7.26953125" style="221" bestFit="1" customWidth="1"/>
    <col min="1031" max="1031" width="26.1796875" style="221" bestFit="1" customWidth="1"/>
    <col min="1032" max="1032" width="20.7265625" style="221" bestFit="1" customWidth="1"/>
    <col min="1033" max="1033" width="20.81640625" style="221" bestFit="1" customWidth="1"/>
    <col min="1034" max="1034" width="24" style="221" customWidth="1"/>
    <col min="1035" max="1035" width="17.1796875" style="221" bestFit="1" customWidth="1"/>
    <col min="1036" max="1036" width="22.1796875" style="221" customWidth="1"/>
    <col min="1037" max="1037" width="13.26953125" style="221" customWidth="1"/>
    <col min="1038" max="1038" width="11" style="221" customWidth="1"/>
    <col min="1039" max="1280" width="9.1796875" style="221"/>
    <col min="1281" max="1281" width="24.7265625" style="221" bestFit="1" customWidth="1"/>
    <col min="1282" max="1282" width="18.7265625" style="221" bestFit="1" customWidth="1"/>
    <col min="1283" max="1283" width="8.1796875" style="221" bestFit="1" customWidth="1"/>
    <col min="1284" max="1285" width="8.26953125" style="221" bestFit="1" customWidth="1"/>
    <col min="1286" max="1286" width="7.26953125" style="221" bestFit="1" customWidth="1"/>
    <col min="1287" max="1287" width="26.1796875" style="221" bestFit="1" customWidth="1"/>
    <col min="1288" max="1288" width="20.7265625" style="221" bestFit="1" customWidth="1"/>
    <col min="1289" max="1289" width="20.81640625" style="221" bestFit="1" customWidth="1"/>
    <col min="1290" max="1290" width="24" style="221" customWidth="1"/>
    <col min="1291" max="1291" width="17.1796875" style="221" bestFit="1" customWidth="1"/>
    <col min="1292" max="1292" width="22.1796875" style="221" customWidth="1"/>
    <col min="1293" max="1293" width="13.26953125" style="221" customWidth="1"/>
    <col min="1294" max="1294" width="11" style="221" customWidth="1"/>
    <col min="1295" max="1536" width="9.1796875" style="221"/>
    <col min="1537" max="1537" width="24.7265625" style="221" bestFit="1" customWidth="1"/>
    <col min="1538" max="1538" width="18.7265625" style="221" bestFit="1" customWidth="1"/>
    <col min="1539" max="1539" width="8.1796875" style="221" bestFit="1" customWidth="1"/>
    <col min="1540" max="1541" width="8.26953125" style="221" bestFit="1" customWidth="1"/>
    <col min="1542" max="1542" width="7.26953125" style="221" bestFit="1" customWidth="1"/>
    <col min="1543" max="1543" width="26.1796875" style="221" bestFit="1" customWidth="1"/>
    <col min="1544" max="1544" width="20.7265625" style="221" bestFit="1" customWidth="1"/>
    <col min="1545" max="1545" width="20.81640625" style="221" bestFit="1" customWidth="1"/>
    <col min="1546" max="1546" width="24" style="221" customWidth="1"/>
    <col min="1547" max="1547" width="17.1796875" style="221" bestFit="1" customWidth="1"/>
    <col min="1548" max="1548" width="22.1796875" style="221" customWidth="1"/>
    <col min="1549" max="1549" width="13.26953125" style="221" customWidth="1"/>
    <col min="1550" max="1550" width="11" style="221" customWidth="1"/>
    <col min="1551" max="1792" width="9.1796875" style="221"/>
    <col min="1793" max="1793" width="24.7265625" style="221" bestFit="1" customWidth="1"/>
    <col min="1794" max="1794" width="18.7265625" style="221" bestFit="1" customWidth="1"/>
    <col min="1795" max="1795" width="8.1796875" style="221" bestFit="1" customWidth="1"/>
    <col min="1796" max="1797" width="8.26953125" style="221" bestFit="1" customWidth="1"/>
    <col min="1798" max="1798" width="7.26953125" style="221" bestFit="1" customWidth="1"/>
    <col min="1799" max="1799" width="26.1796875" style="221" bestFit="1" customWidth="1"/>
    <col min="1800" max="1800" width="20.7265625" style="221" bestFit="1" customWidth="1"/>
    <col min="1801" max="1801" width="20.81640625" style="221" bestFit="1" customWidth="1"/>
    <col min="1802" max="1802" width="24" style="221" customWidth="1"/>
    <col min="1803" max="1803" width="17.1796875" style="221" bestFit="1" customWidth="1"/>
    <col min="1804" max="1804" width="22.1796875" style="221" customWidth="1"/>
    <col min="1805" max="1805" width="13.26953125" style="221" customWidth="1"/>
    <col min="1806" max="1806" width="11" style="221" customWidth="1"/>
    <col min="1807" max="2048" width="9.1796875" style="221"/>
    <col min="2049" max="2049" width="24.7265625" style="221" bestFit="1" customWidth="1"/>
    <col min="2050" max="2050" width="18.7265625" style="221" bestFit="1" customWidth="1"/>
    <col min="2051" max="2051" width="8.1796875" style="221" bestFit="1" customWidth="1"/>
    <col min="2052" max="2053" width="8.26953125" style="221" bestFit="1" customWidth="1"/>
    <col min="2054" max="2054" width="7.26953125" style="221" bestFit="1" customWidth="1"/>
    <col min="2055" max="2055" width="26.1796875" style="221" bestFit="1" customWidth="1"/>
    <col min="2056" max="2056" width="20.7265625" style="221" bestFit="1" customWidth="1"/>
    <col min="2057" max="2057" width="20.81640625" style="221" bestFit="1" customWidth="1"/>
    <col min="2058" max="2058" width="24" style="221" customWidth="1"/>
    <col min="2059" max="2059" width="17.1796875" style="221" bestFit="1" customWidth="1"/>
    <col min="2060" max="2060" width="22.1796875" style="221" customWidth="1"/>
    <col min="2061" max="2061" width="13.26953125" style="221" customWidth="1"/>
    <col min="2062" max="2062" width="11" style="221" customWidth="1"/>
    <col min="2063" max="2304" width="9.1796875" style="221"/>
    <col min="2305" max="2305" width="24.7265625" style="221" bestFit="1" customWidth="1"/>
    <col min="2306" max="2306" width="18.7265625" style="221" bestFit="1" customWidth="1"/>
    <col min="2307" max="2307" width="8.1796875" style="221" bestFit="1" customWidth="1"/>
    <col min="2308" max="2309" width="8.26953125" style="221" bestFit="1" customWidth="1"/>
    <col min="2310" max="2310" width="7.26953125" style="221" bestFit="1" customWidth="1"/>
    <col min="2311" max="2311" width="26.1796875" style="221" bestFit="1" customWidth="1"/>
    <col min="2312" max="2312" width="20.7265625" style="221" bestFit="1" customWidth="1"/>
    <col min="2313" max="2313" width="20.81640625" style="221" bestFit="1" customWidth="1"/>
    <col min="2314" max="2314" width="24" style="221" customWidth="1"/>
    <col min="2315" max="2315" width="17.1796875" style="221" bestFit="1" customWidth="1"/>
    <col min="2316" max="2316" width="22.1796875" style="221" customWidth="1"/>
    <col min="2317" max="2317" width="13.26953125" style="221" customWidth="1"/>
    <col min="2318" max="2318" width="11" style="221" customWidth="1"/>
    <col min="2319" max="2560" width="9.1796875" style="221"/>
    <col min="2561" max="2561" width="24.7265625" style="221" bestFit="1" customWidth="1"/>
    <col min="2562" max="2562" width="18.7265625" style="221" bestFit="1" customWidth="1"/>
    <col min="2563" max="2563" width="8.1796875" style="221" bestFit="1" customWidth="1"/>
    <col min="2564" max="2565" width="8.26953125" style="221" bestFit="1" customWidth="1"/>
    <col min="2566" max="2566" width="7.26953125" style="221" bestFit="1" customWidth="1"/>
    <col min="2567" max="2567" width="26.1796875" style="221" bestFit="1" customWidth="1"/>
    <col min="2568" max="2568" width="20.7265625" style="221" bestFit="1" customWidth="1"/>
    <col min="2569" max="2569" width="20.81640625" style="221" bestFit="1" customWidth="1"/>
    <col min="2570" max="2570" width="24" style="221" customWidth="1"/>
    <col min="2571" max="2571" width="17.1796875" style="221" bestFit="1" customWidth="1"/>
    <col min="2572" max="2572" width="22.1796875" style="221" customWidth="1"/>
    <col min="2573" max="2573" width="13.26953125" style="221" customWidth="1"/>
    <col min="2574" max="2574" width="11" style="221" customWidth="1"/>
    <col min="2575" max="2816" width="9.1796875" style="221"/>
    <col min="2817" max="2817" width="24.7265625" style="221" bestFit="1" customWidth="1"/>
    <col min="2818" max="2818" width="18.7265625" style="221" bestFit="1" customWidth="1"/>
    <col min="2819" max="2819" width="8.1796875" style="221" bestFit="1" customWidth="1"/>
    <col min="2820" max="2821" width="8.26953125" style="221" bestFit="1" customWidth="1"/>
    <col min="2822" max="2822" width="7.26953125" style="221" bestFit="1" customWidth="1"/>
    <col min="2823" max="2823" width="26.1796875" style="221" bestFit="1" customWidth="1"/>
    <col min="2824" max="2824" width="20.7265625" style="221" bestFit="1" customWidth="1"/>
    <col min="2825" max="2825" width="20.81640625" style="221" bestFit="1" customWidth="1"/>
    <col min="2826" max="2826" width="24" style="221" customWidth="1"/>
    <col min="2827" max="2827" width="17.1796875" style="221" bestFit="1" customWidth="1"/>
    <col min="2828" max="2828" width="22.1796875" style="221" customWidth="1"/>
    <col min="2829" max="2829" width="13.26953125" style="221" customWidth="1"/>
    <col min="2830" max="2830" width="11" style="221" customWidth="1"/>
    <col min="2831" max="3072" width="9.1796875" style="221"/>
    <col min="3073" max="3073" width="24.7265625" style="221" bestFit="1" customWidth="1"/>
    <col min="3074" max="3074" width="18.7265625" style="221" bestFit="1" customWidth="1"/>
    <col min="3075" max="3075" width="8.1796875" style="221" bestFit="1" customWidth="1"/>
    <col min="3076" max="3077" width="8.26953125" style="221" bestFit="1" customWidth="1"/>
    <col min="3078" max="3078" width="7.26953125" style="221" bestFit="1" customWidth="1"/>
    <col min="3079" max="3079" width="26.1796875" style="221" bestFit="1" customWidth="1"/>
    <col min="3080" max="3080" width="20.7265625" style="221" bestFit="1" customWidth="1"/>
    <col min="3081" max="3081" width="20.81640625" style="221" bestFit="1" customWidth="1"/>
    <col min="3082" max="3082" width="24" style="221" customWidth="1"/>
    <col min="3083" max="3083" width="17.1796875" style="221" bestFit="1" customWidth="1"/>
    <col min="3084" max="3084" width="22.1796875" style="221" customWidth="1"/>
    <col min="3085" max="3085" width="13.26953125" style="221" customWidth="1"/>
    <col min="3086" max="3086" width="11" style="221" customWidth="1"/>
    <col min="3087" max="3328" width="9.1796875" style="221"/>
    <col min="3329" max="3329" width="24.7265625" style="221" bestFit="1" customWidth="1"/>
    <col min="3330" max="3330" width="18.7265625" style="221" bestFit="1" customWidth="1"/>
    <col min="3331" max="3331" width="8.1796875" style="221" bestFit="1" customWidth="1"/>
    <col min="3332" max="3333" width="8.26953125" style="221" bestFit="1" customWidth="1"/>
    <col min="3334" max="3334" width="7.26953125" style="221" bestFit="1" customWidth="1"/>
    <col min="3335" max="3335" width="26.1796875" style="221" bestFit="1" customWidth="1"/>
    <col min="3336" max="3336" width="20.7265625" style="221" bestFit="1" customWidth="1"/>
    <col min="3337" max="3337" width="20.81640625" style="221" bestFit="1" customWidth="1"/>
    <col min="3338" max="3338" width="24" style="221" customWidth="1"/>
    <col min="3339" max="3339" width="17.1796875" style="221" bestFit="1" customWidth="1"/>
    <col min="3340" max="3340" width="22.1796875" style="221" customWidth="1"/>
    <col min="3341" max="3341" width="13.26953125" style="221" customWidth="1"/>
    <col min="3342" max="3342" width="11" style="221" customWidth="1"/>
    <col min="3343" max="3584" width="9.1796875" style="221"/>
    <col min="3585" max="3585" width="24.7265625" style="221" bestFit="1" customWidth="1"/>
    <col min="3586" max="3586" width="18.7265625" style="221" bestFit="1" customWidth="1"/>
    <col min="3587" max="3587" width="8.1796875" style="221" bestFit="1" customWidth="1"/>
    <col min="3588" max="3589" width="8.26953125" style="221" bestFit="1" customWidth="1"/>
    <col min="3590" max="3590" width="7.26953125" style="221" bestFit="1" customWidth="1"/>
    <col min="3591" max="3591" width="26.1796875" style="221" bestFit="1" customWidth="1"/>
    <col min="3592" max="3592" width="20.7265625" style="221" bestFit="1" customWidth="1"/>
    <col min="3593" max="3593" width="20.81640625" style="221" bestFit="1" customWidth="1"/>
    <col min="3594" max="3594" width="24" style="221" customWidth="1"/>
    <col min="3595" max="3595" width="17.1796875" style="221" bestFit="1" customWidth="1"/>
    <col min="3596" max="3596" width="22.1796875" style="221" customWidth="1"/>
    <col min="3597" max="3597" width="13.26953125" style="221" customWidth="1"/>
    <col min="3598" max="3598" width="11" style="221" customWidth="1"/>
    <col min="3599" max="3840" width="9.1796875" style="221"/>
    <col min="3841" max="3841" width="24.7265625" style="221" bestFit="1" customWidth="1"/>
    <col min="3842" max="3842" width="18.7265625" style="221" bestFit="1" customWidth="1"/>
    <col min="3843" max="3843" width="8.1796875" style="221" bestFit="1" customWidth="1"/>
    <col min="3844" max="3845" width="8.26953125" style="221" bestFit="1" customWidth="1"/>
    <col min="3846" max="3846" width="7.26953125" style="221" bestFit="1" customWidth="1"/>
    <col min="3847" max="3847" width="26.1796875" style="221" bestFit="1" customWidth="1"/>
    <col min="3848" max="3848" width="20.7265625" style="221" bestFit="1" customWidth="1"/>
    <col min="3849" max="3849" width="20.81640625" style="221" bestFit="1" customWidth="1"/>
    <col min="3850" max="3850" width="24" style="221" customWidth="1"/>
    <col min="3851" max="3851" width="17.1796875" style="221" bestFit="1" customWidth="1"/>
    <col min="3852" max="3852" width="22.1796875" style="221" customWidth="1"/>
    <col min="3853" max="3853" width="13.26953125" style="221" customWidth="1"/>
    <col min="3854" max="3854" width="11" style="221" customWidth="1"/>
    <col min="3855" max="4096" width="9.1796875" style="221"/>
    <col min="4097" max="4097" width="24.7265625" style="221" bestFit="1" customWidth="1"/>
    <col min="4098" max="4098" width="18.7265625" style="221" bestFit="1" customWidth="1"/>
    <col min="4099" max="4099" width="8.1796875" style="221" bestFit="1" customWidth="1"/>
    <col min="4100" max="4101" width="8.26953125" style="221" bestFit="1" customWidth="1"/>
    <col min="4102" max="4102" width="7.26953125" style="221" bestFit="1" customWidth="1"/>
    <col min="4103" max="4103" width="26.1796875" style="221" bestFit="1" customWidth="1"/>
    <col min="4104" max="4104" width="20.7265625" style="221" bestFit="1" customWidth="1"/>
    <col min="4105" max="4105" width="20.81640625" style="221" bestFit="1" customWidth="1"/>
    <col min="4106" max="4106" width="24" style="221" customWidth="1"/>
    <col min="4107" max="4107" width="17.1796875" style="221" bestFit="1" customWidth="1"/>
    <col min="4108" max="4108" width="22.1796875" style="221" customWidth="1"/>
    <col min="4109" max="4109" width="13.26953125" style="221" customWidth="1"/>
    <col min="4110" max="4110" width="11" style="221" customWidth="1"/>
    <col min="4111" max="4352" width="9.1796875" style="221"/>
    <col min="4353" max="4353" width="24.7265625" style="221" bestFit="1" customWidth="1"/>
    <col min="4354" max="4354" width="18.7265625" style="221" bestFit="1" customWidth="1"/>
    <col min="4355" max="4355" width="8.1796875" style="221" bestFit="1" customWidth="1"/>
    <col min="4356" max="4357" width="8.26953125" style="221" bestFit="1" customWidth="1"/>
    <col min="4358" max="4358" width="7.26953125" style="221" bestFit="1" customWidth="1"/>
    <col min="4359" max="4359" width="26.1796875" style="221" bestFit="1" customWidth="1"/>
    <col min="4360" max="4360" width="20.7265625" style="221" bestFit="1" customWidth="1"/>
    <col min="4361" max="4361" width="20.81640625" style="221" bestFit="1" customWidth="1"/>
    <col min="4362" max="4362" width="24" style="221" customWidth="1"/>
    <col min="4363" max="4363" width="17.1796875" style="221" bestFit="1" customWidth="1"/>
    <col min="4364" max="4364" width="22.1796875" style="221" customWidth="1"/>
    <col min="4365" max="4365" width="13.26953125" style="221" customWidth="1"/>
    <col min="4366" max="4366" width="11" style="221" customWidth="1"/>
    <col min="4367" max="4608" width="9.1796875" style="221"/>
    <col min="4609" max="4609" width="24.7265625" style="221" bestFit="1" customWidth="1"/>
    <col min="4610" max="4610" width="18.7265625" style="221" bestFit="1" customWidth="1"/>
    <col min="4611" max="4611" width="8.1796875" style="221" bestFit="1" customWidth="1"/>
    <col min="4612" max="4613" width="8.26953125" style="221" bestFit="1" customWidth="1"/>
    <col min="4614" max="4614" width="7.26953125" style="221" bestFit="1" customWidth="1"/>
    <col min="4615" max="4615" width="26.1796875" style="221" bestFit="1" customWidth="1"/>
    <col min="4616" max="4616" width="20.7265625" style="221" bestFit="1" customWidth="1"/>
    <col min="4617" max="4617" width="20.81640625" style="221" bestFit="1" customWidth="1"/>
    <col min="4618" max="4618" width="24" style="221" customWidth="1"/>
    <col min="4619" max="4619" width="17.1796875" style="221" bestFit="1" customWidth="1"/>
    <col min="4620" max="4620" width="22.1796875" style="221" customWidth="1"/>
    <col min="4621" max="4621" width="13.26953125" style="221" customWidth="1"/>
    <col min="4622" max="4622" width="11" style="221" customWidth="1"/>
    <col min="4623" max="4864" width="9.1796875" style="221"/>
    <col min="4865" max="4865" width="24.7265625" style="221" bestFit="1" customWidth="1"/>
    <col min="4866" max="4866" width="18.7265625" style="221" bestFit="1" customWidth="1"/>
    <col min="4867" max="4867" width="8.1796875" style="221" bestFit="1" customWidth="1"/>
    <col min="4868" max="4869" width="8.26953125" style="221" bestFit="1" customWidth="1"/>
    <col min="4870" max="4870" width="7.26953125" style="221" bestFit="1" customWidth="1"/>
    <col min="4871" max="4871" width="26.1796875" style="221" bestFit="1" customWidth="1"/>
    <col min="4872" max="4872" width="20.7265625" style="221" bestFit="1" customWidth="1"/>
    <col min="4873" max="4873" width="20.81640625" style="221" bestFit="1" customWidth="1"/>
    <col min="4874" max="4874" width="24" style="221" customWidth="1"/>
    <col min="4875" max="4875" width="17.1796875" style="221" bestFit="1" customWidth="1"/>
    <col min="4876" max="4876" width="22.1796875" style="221" customWidth="1"/>
    <col min="4877" max="4877" width="13.26953125" style="221" customWidth="1"/>
    <col min="4878" max="4878" width="11" style="221" customWidth="1"/>
    <col min="4879" max="5120" width="9.1796875" style="221"/>
    <col min="5121" max="5121" width="24.7265625" style="221" bestFit="1" customWidth="1"/>
    <col min="5122" max="5122" width="18.7265625" style="221" bestFit="1" customWidth="1"/>
    <col min="5123" max="5123" width="8.1796875" style="221" bestFit="1" customWidth="1"/>
    <col min="5124" max="5125" width="8.26953125" style="221" bestFit="1" customWidth="1"/>
    <col min="5126" max="5126" width="7.26953125" style="221" bestFit="1" customWidth="1"/>
    <col min="5127" max="5127" width="26.1796875" style="221" bestFit="1" customWidth="1"/>
    <col min="5128" max="5128" width="20.7265625" style="221" bestFit="1" customWidth="1"/>
    <col min="5129" max="5129" width="20.81640625" style="221" bestFit="1" customWidth="1"/>
    <col min="5130" max="5130" width="24" style="221" customWidth="1"/>
    <col min="5131" max="5131" width="17.1796875" style="221" bestFit="1" customWidth="1"/>
    <col min="5132" max="5132" width="22.1796875" style="221" customWidth="1"/>
    <col min="5133" max="5133" width="13.26953125" style="221" customWidth="1"/>
    <col min="5134" max="5134" width="11" style="221" customWidth="1"/>
    <col min="5135" max="5376" width="9.1796875" style="221"/>
    <col min="5377" max="5377" width="24.7265625" style="221" bestFit="1" customWidth="1"/>
    <col min="5378" max="5378" width="18.7265625" style="221" bestFit="1" customWidth="1"/>
    <col min="5379" max="5379" width="8.1796875" style="221" bestFit="1" customWidth="1"/>
    <col min="5380" max="5381" width="8.26953125" style="221" bestFit="1" customWidth="1"/>
    <col min="5382" max="5382" width="7.26953125" style="221" bestFit="1" customWidth="1"/>
    <col min="5383" max="5383" width="26.1796875" style="221" bestFit="1" customWidth="1"/>
    <col min="5384" max="5384" width="20.7265625" style="221" bestFit="1" customWidth="1"/>
    <col min="5385" max="5385" width="20.81640625" style="221" bestFit="1" customWidth="1"/>
    <col min="5386" max="5386" width="24" style="221" customWidth="1"/>
    <col min="5387" max="5387" width="17.1796875" style="221" bestFit="1" customWidth="1"/>
    <col min="5388" max="5388" width="22.1796875" style="221" customWidth="1"/>
    <col min="5389" max="5389" width="13.26953125" style="221" customWidth="1"/>
    <col min="5390" max="5390" width="11" style="221" customWidth="1"/>
    <col min="5391" max="5632" width="9.1796875" style="221"/>
    <col min="5633" max="5633" width="24.7265625" style="221" bestFit="1" customWidth="1"/>
    <col min="5634" max="5634" width="18.7265625" style="221" bestFit="1" customWidth="1"/>
    <col min="5635" max="5635" width="8.1796875" style="221" bestFit="1" customWidth="1"/>
    <col min="5636" max="5637" width="8.26953125" style="221" bestFit="1" customWidth="1"/>
    <col min="5638" max="5638" width="7.26953125" style="221" bestFit="1" customWidth="1"/>
    <col min="5639" max="5639" width="26.1796875" style="221" bestFit="1" customWidth="1"/>
    <col min="5640" max="5640" width="20.7265625" style="221" bestFit="1" customWidth="1"/>
    <col min="5641" max="5641" width="20.81640625" style="221" bestFit="1" customWidth="1"/>
    <col min="5642" max="5642" width="24" style="221" customWidth="1"/>
    <col min="5643" max="5643" width="17.1796875" style="221" bestFit="1" customWidth="1"/>
    <col min="5644" max="5644" width="22.1796875" style="221" customWidth="1"/>
    <col min="5645" max="5645" width="13.26953125" style="221" customWidth="1"/>
    <col min="5646" max="5646" width="11" style="221" customWidth="1"/>
    <col min="5647" max="5888" width="9.1796875" style="221"/>
    <col min="5889" max="5889" width="24.7265625" style="221" bestFit="1" customWidth="1"/>
    <col min="5890" max="5890" width="18.7265625" style="221" bestFit="1" customWidth="1"/>
    <col min="5891" max="5891" width="8.1796875" style="221" bestFit="1" customWidth="1"/>
    <col min="5892" max="5893" width="8.26953125" style="221" bestFit="1" customWidth="1"/>
    <col min="5894" max="5894" width="7.26953125" style="221" bestFit="1" customWidth="1"/>
    <col min="5895" max="5895" width="26.1796875" style="221" bestFit="1" customWidth="1"/>
    <col min="5896" max="5896" width="20.7265625" style="221" bestFit="1" customWidth="1"/>
    <col min="5897" max="5897" width="20.81640625" style="221" bestFit="1" customWidth="1"/>
    <col min="5898" max="5898" width="24" style="221" customWidth="1"/>
    <col min="5899" max="5899" width="17.1796875" style="221" bestFit="1" customWidth="1"/>
    <col min="5900" max="5900" width="22.1796875" style="221" customWidth="1"/>
    <col min="5901" max="5901" width="13.26953125" style="221" customWidth="1"/>
    <col min="5902" max="5902" width="11" style="221" customWidth="1"/>
    <col min="5903" max="6144" width="9.1796875" style="221"/>
    <col min="6145" max="6145" width="24.7265625" style="221" bestFit="1" customWidth="1"/>
    <col min="6146" max="6146" width="18.7265625" style="221" bestFit="1" customWidth="1"/>
    <col min="6147" max="6147" width="8.1796875" style="221" bestFit="1" customWidth="1"/>
    <col min="6148" max="6149" width="8.26953125" style="221" bestFit="1" customWidth="1"/>
    <col min="6150" max="6150" width="7.26953125" style="221" bestFit="1" customWidth="1"/>
    <col min="6151" max="6151" width="26.1796875" style="221" bestFit="1" customWidth="1"/>
    <col min="6152" max="6152" width="20.7265625" style="221" bestFit="1" customWidth="1"/>
    <col min="6153" max="6153" width="20.81640625" style="221" bestFit="1" customWidth="1"/>
    <col min="6154" max="6154" width="24" style="221" customWidth="1"/>
    <col min="6155" max="6155" width="17.1796875" style="221" bestFit="1" customWidth="1"/>
    <col min="6156" max="6156" width="22.1796875" style="221" customWidth="1"/>
    <col min="6157" max="6157" width="13.26953125" style="221" customWidth="1"/>
    <col min="6158" max="6158" width="11" style="221" customWidth="1"/>
    <col min="6159" max="6400" width="9.1796875" style="221"/>
    <col min="6401" max="6401" width="24.7265625" style="221" bestFit="1" customWidth="1"/>
    <col min="6402" max="6402" width="18.7265625" style="221" bestFit="1" customWidth="1"/>
    <col min="6403" max="6403" width="8.1796875" style="221" bestFit="1" customWidth="1"/>
    <col min="6404" max="6405" width="8.26953125" style="221" bestFit="1" customWidth="1"/>
    <col min="6406" max="6406" width="7.26953125" style="221" bestFit="1" customWidth="1"/>
    <col min="6407" max="6407" width="26.1796875" style="221" bestFit="1" customWidth="1"/>
    <col min="6408" max="6408" width="20.7265625" style="221" bestFit="1" customWidth="1"/>
    <col min="6409" max="6409" width="20.81640625" style="221" bestFit="1" customWidth="1"/>
    <col min="6410" max="6410" width="24" style="221" customWidth="1"/>
    <col min="6411" max="6411" width="17.1796875" style="221" bestFit="1" customWidth="1"/>
    <col min="6412" max="6412" width="22.1796875" style="221" customWidth="1"/>
    <col min="6413" max="6413" width="13.26953125" style="221" customWidth="1"/>
    <col min="6414" max="6414" width="11" style="221" customWidth="1"/>
    <col min="6415" max="6656" width="9.1796875" style="221"/>
    <col min="6657" max="6657" width="24.7265625" style="221" bestFit="1" customWidth="1"/>
    <col min="6658" max="6658" width="18.7265625" style="221" bestFit="1" customWidth="1"/>
    <col min="6659" max="6659" width="8.1796875" style="221" bestFit="1" customWidth="1"/>
    <col min="6660" max="6661" width="8.26953125" style="221" bestFit="1" customWidth="1"/>
    <col min="6662" max="6662" width="7.26953125" style="221" bestFit="1" customWidth="1"/>
    <col min="6663" max="6663" width="26.1796875" style="221" bestFit="1" customWidth="1"/>
    <col min="6664" max="6664" width="20.7265625" style="221" bestFit="1" customWidth="1"/>
    <col min="6665" max="6665" width="20.81640625" style="221" bestFit="1" customWidth="1"/>
    <col min="6666" max="6666" width="24" style="221" customWidth="1"/>
    <col min="6667" max="6667" width="17.1796875" style="221" bestFit="1" customWidth="1"/>
    <col min="6668" max="6668" width="22.1796875" style="221" customWidth="1"/>
    <col min="6669" max="6669" width="13.26953125" style="221" customWidth="1"/>
    <col min="6670" max="6670" width="11" style="221" customWidth="1"/>
    <col min="6671" max="6912" width="9.1796875" style="221"/>
    <col min="6913" max="6913" width="24.7265625" style="221" bestFit="1" customWidth="1"/>
    <col min="6914" max="6914" width="18.7265625" style="221" bestFit="1" customWidth="1"/>
    <col min="6915" max="6915" width="8.1796875" style="221" bestFit="1" customWidth="1"/>
    <col min="6916" max="6917" width="8.26953125" style="221" bestFit="1" customWidth="1"/>
    <col min="6918" max="6918" width="7.26953125" style="221" bestFit="1" customWidth="1"/>
    <col min="6919" max="6919" width="26.1796875" style="221" bestFit="1" customWidth="1"/>
    <col min="6920" max="6920" width="20.7265625" style="221" bestFit="1" customWidth="1"/>
    <col min="6921" max="6921" width="20.81640625" style="221" bestFit="1" customWidth="1"/>
    <col min="6922" max="6922" width="24" style="221" customWidth="1"/>
    <col min="6923" max="6923" width="17.1796875" style="221" bestFit="1" customWidth="1"/>
    <col min="6924" max="6924" width="22.1796875" style="221" customWidth="1"/>
    <col min="6925" max="6925" width="13.26953125" style="221" customWidth="1"/>
    <col min="6926" max="6926" width="11" style="221" customWidth="1"/>
    <col min="6927" max="7168" width="9.1796875" style="221"/>
    <col min="7169" max="7169" width="24.7265625" style="221" bestFit="1" customWidth="1"/>
    <col min="7170" max="7170" width="18.7265625" style="221" bestFit="1" customWidth="1"/>
    <col min="7171" max="7171" width="8.1796875" style="221" bestFit="1" customWidth="1"/>
    <col min="7172" max="7173" width="8.26953125" style="221" bestFit="1" customWidth="1"/>
    <col min="7174" max="7174" width="7.26953125" style="221" bestFit="1" customWidth="1"/>
    <col min="7175" max="7175" width="26.1796875" style="221" bestFit="1" customWidth="1"/>
    <col min="7176" max="7176" width="20.7265625" style="221" bestFit="1" customWidth="1"/>
    <col min="7177" max="7177" width="20.81640625" style="221" bestFit="1" customWidth="1"/>
    <col min="7178" max="7178" width="24" style="221" customWidth="1"/>
    <col min="7179" max="7179" width="17.1796875" style="221" bestFit="1" customWidth="1"/>
    <col min="7180" max="7180" width="22.1796875" style="221" customWidth="1"/>
    <col min="7181" max="7181" width="13.26953125" style="221" customWidth="1"/>
    <col min="7182" max="7182" width="11" style="221" customWidth="1"/>
    <col min="7183" max="7424" width="9.1796875" style="221"/>
    <col min="7425" max="7425" width="24.7265625" style="221" bestFit="1" customWidth="1"/>
    <col min="7426" max="7426" width="18.7265625" style="221" bestFit="1" customWidth="1"/>
    <col min="7427" max="7427" width="8.1796875" style="221" bestFit="1" customWidth="1"/>
    <col min="7428" max="7429" width="8.26953125" style="221" bestFit="1" customWidth="1"/>
    <col min="7430" max="7430" width="7.26953125" style="221" bestFit="1" customWidth="1"/>
    <col min="7431" max="7431" width="26.1796875" style="221" bestFit="1" customWidth="1"/>
    <col min="7432" max="7432" width="20.7265625" style="221" bestFit="1" customWidth="1"/>
    <col min="7433" max="7433" width="20.81640625" style="221" bestFit="1" customWidth="1"/>
    <col min="7434" max="7434" width="24" style="221" customWidth="1"/>
    <col min="7435" max="7435" width="17.1796875" style="221" bestFit="1" customWidth="1"/>
    <col min="7436" max="7436" width="22.1796875" style="221" customWidth="1"/>
    <col min="7437" max="7437" width="13.26953125" style="221" customWidth="1"/>
    <col min="7438" max="7438" width="11" style="221" customWidth="1"/>
    <col min="7439" max="7680" width="9.1796875" style="221"/>
    <col min="7681" max="7681" width="24.7265625" style="221" bestFit="1" customWidth="1"/>
    <col min="7682" max="7682" width="18.7265625" style="221" bestFit="1" customWidth="1"/>
    <col min="7683" max="7683" width="8.1796875" style="221" bestFit="1" customWidth="1"/>
    <col min="7684" max="7685" width="8.26953125" style="221" bestFit="1" customWidth="1"/>
    <col min="7686" max="7686" width="7.26953125" style="221" bestFit="1" customWidth="1"/>
    <col min="7687" max="7687" width="26.1796875" style="221" bestFit="1" customWidth="1"/>
    <col min="7688" max="7688" width="20.7265625" style="221" bestFit="1" customWidth="1"/>
    <col min="7689" max="7689" width="20.81640625" style="221" bestFit="1" customWidth="1"/>
    <col min="7690" max="7690" width="24" style="221" customWidth="1"/>
    <col min="7691" max="7691" width="17.1796875" style="221" bestFit="1" customWidth="1"/>
    <col min="7692" max="7692" width="22.1796875" style="221" customWidth="1"/>
    <col min="7693" max="7693" width="13.26953125" style="221" customWidth="1"/>
    <col min="7694" max="7694" width="11" style="221" customWidth="1"/>
    <col min="7695" max="7936" width="9.1796875" style="221"/>
    <col min="7937" max="7937" width="24.7265625" style="221" bestFit="1" customWidth="1"/>
    <col min="7938" max="7938" width="18.7265625" style="221" bestFit="1" customWidth="1"/>
    <col min="7939" max="7939" width="8.1796875" style="221" bestFit="1" customWidth="1"/>
    <col min="7940" max="7941" width="8.26953125" style="221" bestFit="1" customWidth="1"/>
    <col min="7942" max="7942" width="7.26953125" style="221" bestFit="1" customWidth="1"/>
    <col min="7943" max="7943" width="26.1796875" style="221" bestFit="1" customWidth="1"/>
    <col min="7944" max="7944" width="20.7265625" style="221" bestFit="1" customWidth="1"/>
    <col min="7945" max="7945" width="20.81640625" style="221" bestFit="1" customWidth="1"/>
    <col min="7946" max="7946" width="24" style="221" customWidth="1"/>
    <col min="7947" max="7947" width="17.1796875" style="221" bestFit="1" customWidth="1"/>
    <col min="7948" max="7948" width="22.1796875" style="221" customWidth="1"/>
    <col min="7949" max="7949" width="13.26953125" style="221" customWidth="1"/>
    <col min="7950" max="7950" width="11" style="221" customWidth="1"/>
    <col min="7951" max="8192" width="9.1796875" style="221"/>
    <col min="8193" max="8193" width="24.7265625" style="221" bestFit="1" customWidth="1"/>
    <col min="8194" max="8194" width="18.7265625" style="221" bestFit="1" customWidth="1"/>
    <col min="8195" max="8195" width="8.1796875" style="221" bestFit="1" customWidth="1"/>
    <col min="8196" max="8197" width="8.26953125" style="221" bestFit="1" customWidth="1"/>
    <col min="8198" max="8198" width="7.26953125" style="221" bestFit="1" customWidth="1"/>
    <col min="8199" max="8199" width="26.1796875" style="221" bestFit="1" customWidth="1"/>
    <col min="8200" max="8200" width="20.7265625" style="221" bestFit="1" customWidth="1"/>
    <col min="8201" max="8201" width="20.81640625" style="221" bestFit="1" customWidth="1"/>
    <col min="8202" max="8202" width="24" style="221" customWidth="1"/>
    <col min="8203" max="8203" width="17.1796875" style="221" bestFit="1" customWidth="1"/>
    <col min="8204" max="8204" width="22.1796875" style="221" customWidth="1"/>
    <col min="8205" max="8205" width="13.26953125" style="221" customWidth="1"/>
    <col min="8206" max="8206" width="11" style="221" customWidth="1"/>
    <col min="8207" max="8448" width="9.1796875" style="221"/>
    <col min="8449" max="8449" width="24.7265625" style="221" bestFit="1" customWidth="1"/>
    <col min="8450" max="8450" width="18.7265625" style="221" bestFit="1" customWidth="1"/>
    <col min="8451" max="8451" width="8.1796875" style="221" bestFit="1" customWidth="1"/>
    <col min="8452" max="8453" width="8.26953125" style="221" bestFit="1" customWidth="1"/>
    <col min="8454" max="8454" width="7.26953125" style="221" bestFit="1" customWidth="1"/>
    <col min="8455" max="8455" width="26.1796875" style="221" bestFit="1" customWidth="1"/>
    <col min="8456" max="8456" width="20.7265625" style="221" bestFit="1" customWidth="1"/>
    <col min="8457" max="8457" width="20.81640625" style="221" bestFit="1" customWidth="1"/>
    <col min="8458" max="8458" width="24" style="221" customWidth="1"/>
    <col min="8459" max="8459" width="17.1796875" style="221" bestFit="1" customWidth="1"/>
    <col min="8460" max="8460" width="22.1796875" style="221" customWidth="1"/>
    <col min="8461" max="8461" width="13.26953125" style="221" customWidth="1"/>
    <col min="8462" max="8462" width="11" style="221" customWidth="1"/>
    <col min="8463" max="8704" width="9.1796875" style="221"/>
    <col min="8705" max="8705" width="24.7265625" style="221" bestFit="1" customWidth="1"/>
    <col min="8706" max="8706" width="18.7265625" style="221" bestFit="1" customWidth="1"/>
    <col min="8707" max="8707" width="8.1796875" style="221" bestFit="1" customWidth="1"/>
    <col min="8708" max="8709" width="8.26953125" style="221" bestFit="1" customWidth="1"/>
    <col min="8710" max="8710" width="7.26953125" style="221" bestFit="1" customWidth="1"/>
    <col min="8711" max="8711" width="26.1796875" style="221" bestFit="1" customWidth="1"/>
    <col min="8712" max="8712" width="20.7265625" style="221" bestFit="1" customWidth="1"/>
    <col min="8713" max="8713" width="20.81640625" style="221" bestFit="1" customWidth="1"/>
    <col min="8714" max="8714" width="24" style="221" customWidth="1"/>
    <col min="8715" max="8715" width="17.1796875" style="221" bestFit="1" customWidth="1"/>
    <col min="8716" max="8716" width="22.1796875" style="221" customWidth="1"/>
    <col min="8717" max="8717" width="13.26953125" style="221" customWidth="1"/>
    <col min="8718" max="8718" width="11" style="221" customWidth="1"/>
    <col min="8719" max="8960" width="9.1796875" style="221"/>
    <col min="8961" max="8961" width="24.7265625" style="221" bestFit="1" customWidth="1"/>
    <col min="8962" max="8962" width="18.7265625" style="221" bestFit="1" customWidth="1"/>
    <col min="8963" max="8963" width="8.1796875" style="221" bestFit="1" customWidth="1"/>
    <col min="8964" max="8965" width="8.26953125" style="221" bestFit="1" customWidth="1"/>
    <col min="8966" max="8966" width="7.26953125" style="221" bestFit="1" customWidth="1"/>
    <col min="8967" max="8967" width="26.1796875" style="221" bestFit="1" customWidth="1"/>
    <col min="8968" max="8968" width="20.7265625" style="221" bestFit="1" customWidth="1"/>
    <col min="8969" max="8969" width="20.81640625" style="221" bestFit="1" customWidth="1"/>
    <col min="8970" max="8970" width="24" style="221" customWidth="1"/>
    <col min="8971" max="8971" width="17.1796875" style="221" bestFit="1" customWidth="1"/>
    <col min="8972" max="8972" width="22.1796875" style="221" customWidth="1"/>
    <col min="8973" max="8973" width="13.26953125" style="221" customWidth="1"/>
    <col min="8974" max="8974" width="11" style="221" customWidth="1"/>
    <col min="8975" max="9216" width="9.1796875" style="221"/>
    <col min="9217" max="9217" width="24.7265625" style="221" bestFit="1" customWidth="1"/>
    <col min="9218" max="9218" width="18.7265625" style="221" bestFit="1" customWidth="1"/>
    <col min="9219" max="9219" width="8.1796875" style="221" bestFit="1" customWidth="1"/>
    <col min="9220" max="9221" width="8.26953125" style="221" bestFit="1" customWidth="1"/>
    <col min="9222" max="9222" width="7.26953125" style="221" bestFit="1" customWidth="1"/>
    <col min="9223" max="9223" width="26.1796875" style="221" bestFit="1" customWidth="1"/>
    <col min="9224" max="9224" width="20.7265625" style="221" bestFit="1" customWidth="1"/>
    <col min="9225" max="9225" width="20.81640625" style="221" bestFit="1" customWidth="1"/>
    <col min="9226" max="9226" width="24" style="221" customWidth="1"/>
    <col min="9227" max="9227" width="17.1796875" style="221" bestFit="1" customWidth="1"/>
    <col min="9228" max="9228" width="22.1796875" style="221" customWidth="1"/>
    <col min="9229" max="9229" width="13.26953125" style="221" customWidth="1"/>
    <col min="9230" max="9230" width="11" style="221" customWidth="1"/>
    <col min="9231" max="9472" width="9.1796875" style="221"/>
    <col min="9473" max="9473" width="24.7265625" style="221" bestFit="1" customWidth="1"/>
    <col min="9474" max="9474" width="18.7265625" style="221" bestFit="1" customWidth="1"/>
    <col min="9475" max="9475" width="8.1796875" style="221" bestFit="1" customWidth="1"/>
    <col min="9476" max="9477" width="8.26953125" style="221" bestFit="1" customWidth="1"/>
    <col min="9478" max="9478" width="7.26953125" style="221" bestFit="1" customWidth="1"/>
    <col min="9479" max="9479" width="26.1796875" style="221" bestFit="1" customWidth="1"/>
    <col min="9480" max="9480" width="20.7265625" style="221" bestFit="1" customWidth="1"/>
    <col min="9481" max="9481" width="20.81640625" style="221" bestFit="1" customWidth="1"/>
    <col min="9482" max="9482" width="24" style="221" customWidth="1"/>
    <col min="9483" max="9483" width="17.1796875" style="221" bestFit="1" customWidth="1"/>
    <col min="9484" max="9484" width="22.1796875" style="221" customWidth="1"/>
    <col min="9485" max="9485" width="13.26953125" style="221" customWidth="1"/>
    <col min="9486" max="9486" width="11" style="221" customWidth="1"/>
    <col min="9487" max="9728" width="9.1796875" style="221"/>
    <col min="9729" max="9729" width="24.7265625" style="221" bestFit="1" customWidth="1"/>
    <col min="9730" max="9730" width="18.7265625" style="221" bestFit="1" customWidth="1"/>
    <col min="9731" max="9731" width="8.1796875" style="221" bestFit="1" customWidth="1"/>
    <col min="9732" max="9733" width="8.26953125" style="221" bestFit="1" customWidth="1"/>
    <col min="9734" max="9734" width="7.26953125" style="221" bestFit="1" customWidth="1"/>
    <col min="9735" max="9735" width="26.1796875" style="221" bestFit="1" customWidth="1"/>
    <col min="9736" max="9736" width="20.7265625" style="221" bestFit="1" customWidth="1"/>
    <col min="9737" max="9737" width="20.81640625" style="221" bestFit="1" customWidth="1"/>
    <col min="9738" max="9738" width="24" style="221" customWidth="1"/>
    <col min="9739" max="9739" width="17.1796875" style="221" bestFit="1" customWidth="1"/>
    <col min="9740" max="9740" width="22.1796875" style="221" customWidth="1"/>
    <col min="9741" max="9741" width="13.26953125" style="221" customWidth="1"/>
    <col min="9742" max="9742" width="11" style="221" customWidth="1"/>
    <col min="9743" max="9984" width="9.1796875" style="221"/>
    <col min="9985" max="9985" width="24.7265625" style="221" bestFit="1" customWidth="1"/>
    <col min="9986" max="9986" width="18.7265625" style="221" bestFit="1" customWidth="1"/>
    <col min="9987" max="9987" width="8.1796875" style="221" bestFit="1" customWidth="1"/>
    <col min="9988" max="9989" width="8.26953125" style="221" bestFit="1" customWidth="1"/>
    <col min="9990" max="9990" width="7.26953125" style="221" bestFit="1" customWidth="1"/>
    <col min="9991" max="9991" width="26.1796875" style="221" bestFit="1" customWidth="1"/>
    <col min="9992" max="9992" width="20.7265625" style="221" bestFit="1" customWidth="1"/>
    <col min="9993" max="9993" width="20.81640625" style="221" bestFit="1" customWidth="1"/>
    <col min="9994" max="9994" width="24" style="221" customWidth="1"/>
    <col min="9995" max="9995" width="17.1796875" style="221" bestFit="1" customWidth="1"/>
    <col min="9996" max="9996" width="22.1796875" style="221" customWidth="1"/>
    <col min="9997" max="9997" width="13.26953125" style="221" customWidth="1"/>
    <col min="9998" max="9998" width="11" style="221" customWidth="1"/>
    <col min="9999" max="10240" width="9.1796875" style="221"/>
    <col min="10241" max="10241" width="24.7265625" style="221" bestFit="1" customWidth="1"/>
    <col min="10242" max="10242" width="18.7265625" style="221" bestFit="1" customWidth="1"/>
    <col min="10243" max="10243" width="8.1796875" style="221" bestFit="1" customWidth="1"/>
    <col min="10244" max="10245" width="8.26953125" style="221" bestFit="1" customWidth="1"/>
    <col min="10246" max="10246" width="7.26953125" style="221" bestFit="1" customWidth="1"/>
    <col min="10247" max="10247" width="26.1796875" style="221" bestFit="1" customWidth="1"/>
    <col min="10248" max="10248" width="20.7265625" style="221" bestFit="1" customWidth="1"/>
    <col min="10249" max="10249" width="20.81640625" style="221" bestFit="1" customWidth="1"/>
    <col min="10250" max="10250" width="24" style="221" customWidth="1"/>
    <col min="10251" max="10251" width="17.1796875" style="221" bestFit="1" customWidth="1"/>
    <col min="10252" max="10252" width="22.1796875" style="221" customWidth="1"/>
    <col min="10253" max="10253" width="13.26953125" style="221" customWidth="1"/>
    <col min="10254" max="10254" width="11" style="221" customWidth="1"/>
    <col min="10255" max="10496" width="9.1796875" style="221"/>
    <col min="10497" max="10497" width="24.7265625" style="221" bestFit="1" customWidth="1"/>
    <col min="10498" max="10498" width="18.7265625" style="221" bestFit="1" customWidth="1"/>
    <col min="10499" max="10499" width="8.1796875" style="221" bestFit="1" customWidth="1"/>
    <col min="10500" max="10501" width="8.26953125" style="221" bestFit="1" customWidth="1"/>
    <col min="10502" max="10502" width="7.26953125" style="221" bestFit="1" customWidth="1"/>
    <col min="10503" max="10503" width="26.1796875" style="221" bestFit="1" customWidth="1"/>
    <col min="10504" max="10504" width="20.7265625" style="221" bestFit="1" customWidth="1"/>
    <col min="10505" max="10505" width="20.81640625" style="221" bestFit="1" customWidth="1"/>
    <col min="10506" max="10506" width="24" style="221" customWidth="1"/>
    <col min="10507" max="10507" width="17.1796875" style="221" bestFit="1" customWidth="1"/>
    <col min="10508" max="10508" width="22.1796875" style="221" customWidth="1"/>
    <col min="10509" max="10509" width="13.26953125" style="221" customWidth="1"/>
    <col min="10510" max="10510" width="11" style="221" customWidth="1"/>
    <col min="10511" max="10752" width="9.1796875" style="221"/>
    <col min="10753" max="10753" width="24.7265625" style="221" bestFit="1" customWidth="1"/>
    <col min="10754" max="10754" width="18.7265625" style="221" bestFit="1" customWidth="1"/>
    <col min="10755" max="10755" width="8.1796875" style="221" bestFit="1" customWidth="1"/>
    <col min="10756" max="10757" width="8.26953125" style="221" bestFit="1" customWidth="1"/>
    <col min="10758" max="10758" width="7.26953125" style="221" bestFit="1" customWidth="1"/>
    <col min="10759" max="10759" width="26.1796875" style="221" bestFit="1" customWidth="1"/>
    <col min="10760" max="10760" width="20.7265625" style="221" bestFit="1" customWidth="1"/>
    <col min="10761" max="10761" width="20.81640625" style="221" bestFit="1" customWidth="1"/>
    <col min="10762" max="10762" width="24" style="221" customWidth="1"/>
    <col min="10763" max="10763" width="17.1796875" style="221" bestFit="1" customWidth="1"/>
    <col min="10764" max="10764" width="22.1796875" style="221" customWidth="1"/>
    <col min="10765" max="10765" width="13.26953125" style="221" customWidth="1"/>
    <col min="10766" max="10766" width="11" style="221" customWidth="1"/>
    <col min="10767" max="11008" width="9.1796875" style="221"/>
    <col min="11009" max="11009" width="24.7265625" style="221" bestFit="1" customWidth="1"/>
    <col min="11010" max="11010" width="18.7265625" style="221" bestFit="1" customWidth="1"/>
    <col min="11011" max="11011" width="8.1796875" style="221" bestFit="1" customWidth="1"/>
    <col min="11012" max="11013" width="8.26953125" style="221" bestFit="1" customWidth="1"/>
    <col min="11014" max="11014" width="7.26953125" style="221" bestFit="1" customWidth="1"/>
    <col min="11015" max="11015" width="26.1796875" style="221" bestFit="1" customWidth="1"/>
    <col min="11016" max="11016" width="20.7265625" style="221" bestFit="1" customWidth="1"/>
    <col min="11017" max="11017" width="20.81640625" style="221" bestFit="1" customWidth="1"/>
    <col min="11018" max="11018" width="24" style="221" customWidth="1"/>
    <col min="11019" max="11019" width="17.1796875" style="221" bestFit="1" customWidth="1"/>
    <col min="11020" max="11020" width="22.1796875" style="221" customWidth="1"/>
    <col min="11021" max="11021" width="13.26953125" style="221" customWidth="1"/>
    <col min="11022" max="11022" width="11" style="221" customWidth="1"/>
    <col min="11023" max="11264" width="9.1796875" style="221"/>
    <col min="11265" max="11265" width="24.7265625" style="221" bestFit="1" customWidth="1"/>
    <col min="11266" max="11266" width="18.7265625" style="221" bestFit="1" customWidth="1"/>
    <col min="11267" max="11267" width="8.1796875" style="221" bestFit="1" customWidth="1"/>
    <col min="11268" max="11269" width="8.26953125" style="221" bestFit="1" customWidth="1"/>
    <col min="11270" max="11270" width="7.26953125" style="221" bestFit="1" customWidth="1"/>
    <col min="11271" max="11271" width="26.1796875" style="221" bestFit="1" customWidth="1"/>
    <col min="11272" max="11272" width="20.7265625" style="221" bestFit="1" customWidth="1"/>
    <col min="11273" max="11273" width="20.81640625" style="221" bestFit="1" customWidth="1"/>
    <col min="11274" max="11274" width="24" style="221" customWidth="1"/>
    <col min="11275" max="11275" width="17.1796875" style="221" bestFit="1" customWidth="1"/>
    <col min="11276" max="11276" width="22.1796875" style="221" customWidth="1"/>
    <col min="11277" max="11277" width="13.26953125" style="221" customWidth="1"/>
    <col min="11278" max="11278" width="11" style="221" customWidth="1"/>
    <col min="11279" max="11520" width="9.1796875" style="221"/>
    <col min="11521" max="11521" width="24.7265625" style="221" bestFit="1" customWidth="1"/>
    <col min="11522" max="11522" width="18.7265625" style="221" bestFit="1" customWidth="1"/>
    <col min="11523" max="11523" width="8.1796875" style="221" bestFit="1" customWidth="1"/>
    <col min="11524" max="11525" width="8.26953125" style="221" bestFit="1" customWidth="1"/>
    <col min="11526" max="11526" width="7.26953125" style="221" bestFit="1" customWidth="1"/>
    <col min="11527" max="11527" width="26.1796875" style="221" bestFit="1" customWidth="1"/>
    <col min="11528" max="11528" width="20.7265625" style="221" bestFit="1" customWidth="1"/>
    <col min="11529" max="11529" width="20.81640625" style="221" bestFit="1" customWidth="1"/>
    <col min="11530" max="11530" width="24" style="221" customWidth="1"/>
    <col min="11531" max="11531" width="17.1796875" style="221" bestFit="1" customWidth="1"/>
    <col min="11532" max="11532" width="22.1796875" style="221" customWidth="1"/>
    <col min="11533" max="11533" width="13.26953125" style="221" customWidth="1"/>
    <col min="11534" max="11534" width="11" style="221" customWidth="1"/>
    <col min="11535" max="11776" width="9.1796875" style="221"/>
    <col min="11777" max="11777" width="24.7265625" style="221" bestFit="1" customWidth="1"/>
    <col min="11778" max="11778" width="18.7265625" style="221" bestFit="1" customWidth="1"/>
    <col min="11779" max="11779" width="8.1796875" style="221" bestFit="1" customWidth="1"/>
    <col min="11780" max="11781" width="8.26953125" style="221" bestFit="1" customWidth="1"/>
    <col min="11782" max="11782" width="7.26953125" style="221" bestFit="1" customWidth="1"/>
    <col min="11783" max="11783" width="26.1796875" style="221" bestFit="1" customWidth="1"/>
    <col min="11784" max="11784" width="20.7265625" style="221" bestFit="1" customWidth="1"/>
    <col min="11785" max="11785" width="20.81640625" style="221" bestFit="1" customWidth="1"/>
    <col min="11786" max="11786" width="24" style="221" customWidth="1"/>
    <col min="11787" max="11787" width="17.1796875" style="221" bestFit="1" customWidth="1"/>
    <col min="11788" max="11788" width="22.1796875" style="221" customWidth="1"/>
    <col min="11789" max="11789" width="13.26953125" style="221" customWidth="1"/>
    <col min="11790" max="11790" width="11" style="221" customWidth="1"/>
    <col min="11791" max="12032" width="9.1796875" style="221"/>
    <col min="12033" max="12033" width="24.7265625" style="221" bestFit="1" customWidth="1"/>
    <col min="12034" max="12034" width="18.7265625" style="221" bestFit="1" customWidth="1"/>
    <col min="12035" max="12035" width="8.1796875" style="221" bestFit="1" customWidth="1"/>
    <col min="12036" max="12037" width="8.26953125" style="221" bestFit="1" customWidth="1"/>
    <col min="12038" max="12038" width="7.26953125" style="221" bestFit="1" customWidth="1"/>
    <col min="12039" max="12039" width="26.1796875" style="221" bestFit="1" customWidth="1"/>
    <col min="12040" max="12040" width="20.7265625" style="221" bestFit="1" customWidth="1"/>
    <col min="12041" max="12041" width="20.81640625" style="221" bestFit="1" customWidth="1"/>
    <col min="12042" max="12042" width="24" style="221" customWidth="1"/>
    <col min="12043" max="12043" width="17.1796875" style="221" bestFit="1" customWidth="1"/>
    <col min="12044" max="12044" width="22.1796875" style="221" customWidth="1"/>
    <col min="12045" max="12045" width="13.26953125" style="221" customWidth="1"/>
    <col min="12046" max="12046" width="11" style="221" customWidth="1"/>
    <col min="12047" max="12288" width="9.1796875" style="221"/>
    <col min="12289" max="12289" width="24.7265625" style="221" bestFit="1" customWidth="1"/>
    <col min="12290" max="12290" width="18.7265625" style="221" bestFit="1" customWidth="1"/>
    <col min="12291" max="12291" width="8.1796875" style="221" bestFit="1" customWidth="1"/>
    <col min="12292" max="12293" width="8.26953125" style="221" bestFit="1" customWidth="1"/>
    <col min="12294" max="12294" width="7.26953125" style="221" bestFit="1" customWidth="1"/>
    <col min="12295" max="12295" width="26.1796875" style="221" bestFit="1" customWidth="1"/>
    <col min="12296" max="12296" width="20.7265625" style="221" bestFit="1" customWidth="1"/>
    <col min="12297" max="12297" width="20.81640625" style="221" bestFit="1" customWidth="1"/>
    <col min="12298" max="12298" width="24" style="221" customWidth="1"/>
    <col min="12299" max="12299" width="17.1796875" style="221" bestFit="1" customWidth="1"/>
    <col min="12300" max="12300" width="22.1796875" style="221" customWidth="1"/>
    <col min="12301" max="12301" width="13.26953125" style="221" customWidth="1"/>
    <col min="12302" max="12302" width="11" style="221" customWidth="1"/>
    <col min="12303" max="12544" width="9.1796875" style="221"/>
    <col min="12545" max="12545" width="24.7265625" style="221" bestFit="1" customWidth="1"/>
    <col min="12546" max="12546" width="18.7265625" style="221" bestFit="1" customWidth="1"/>
    <col min="12547" max="12547" width="8.1796875" style="221" bestFit="1" customWidth="1"/>
    <col min="12548" max="12549" width="8.26953125" style="221" bestFit="1" customWidth="1"/>
    <col min="12550" max="12550" width="7.26953125" style="221" bestFit="1" customWidth="1"/>
    <col min="12551" max="12551" width="26.1796875" style="221" bestFit="1" customWidth="1"/>
    <col min="12552" max="12552" width="20.7265625" style="221" bestFit="1" customWidth="1"/>
    <col min="12553" max="12553" width="20.81640625" style="221" bestFit="1" customWidth="1"/>
    <col min="12554" max="12554" width="24" style="221" customWidth="1"/>
    <col min="12555" max="12555" width="17.1796875" style="221" bestFit="1" customWidth="1"/>
    <col min="12556" max="12556" width="22.1796875" style="221" customWidth="1"/>
    <col min="12557" max="12557" width="13.26953125" style="221" customWidth="1"/>
    <col min="12558" max="12558" width="11" style="221" customWidth="1"/>
    <col min="12559" max="12800" width="9.1796875" style="221"/>
    <col min="12801" max="12801" width="24.7265625" style="221" bestFit="1" customWidth="1"/>
    <col min="12802" max="12802" width="18.7265625" style="221" bestFit="1" customWidth="1"/>
    <col min="12803" max="12803" width="8.1796875" style="221" bestFit="1" customWidth="1"/>
    <col min="12804" max="12805" width="8.26953125" style="221" bestFit="1" customWidth="1"/>
    <col min="12806" max="12806" width="7.26953125" style="221" bestFit="1" customWidth="1"/>
    <col min="12807" max="12807" width="26.1796875" style="221" bestFit="1" customWidth="1"/>
    <col min="12808" max="12808" width="20.7265625" style="221" bestFit="1" customWidth="1"/>
    <col min="12809" max="12809" width="20.81640625" style="221" bestFit="1" customWidth="1"/>
    <col min="12810" max="12810" width="24" style="221" customWidth="1"/>
    <col min="12811" max="12811" width="17.1796875" style="221" bestFit="1" customWidth="1"/>
    <col min="12812" max="12812" width="22.1796875" style="221" customWidth="1"/>
    <col min="12813" max="12813" width="13.26953125" style="221" customWidth="1"/>
    <col min="12814" max="12814" width="11" style="221" customWidth="1"/>
    <col min="12815" max="13056" width="9.1796875" style="221"/>
    <col min="13057" max="13057" width="24.7265625" style="221" bestFit="1" customWidth="1"/>
    <col min="13058" max="13058" width="18.7265625" style="221" bestFit="1" customWidth="1"/>
    <col min="13059" max="13059" width="8.1796875" style="221" bestFit="1" customWidth="1"/>
    <col min="13060" max="13061" width="8.26953125" style="221" bestFit="1" customWidth="1"/>
    <col min="13062" max="13062" width="7.26953125" style="221" bestFit="1" customWidth="1"/>
    <col min="13063" max="13063" width="26.1796875" style="221" bestFit="1" customWidth="1"/>
    <col min="13064" max="13064" width="20.7265625" style="221" bestFit="1" customWidth="1"/>
    <col min="13065" max="13065" width="20.81640625" style="221" bestFit="1" customWidth="1"/>
    <col min="13066" max="13066" width="24" style="221" customWidth="1"/>
    <col min="13067" max="13067" width="17.1796875" style="221" bestFit="1" customWidth="1"/>
    <col min="13068" max="13068" width="22.1796875" style="221" customWidth="1"/>
    <col min="13069" max="13069" width="13.26953125" style="221" customWidth="1"/>
    <col min="13070" max="13070" width="11" style="221" customWidth="1"/>
    <col min="13071" max="13312" width="9.1796875" style="221"/>
    <col min="13313" max="13313" width="24.7265625" style="221" bestFit="1" customWidth="1"/>
    <col min="13314" max="13314" width="18.7265625" style="221" bestFit="1" customWidth="1"/>
    <col min="13315" max="13315" width="8.1796875" style="221" bestFit="1" customWidth="1"/>
    <col min="13316" max="13317" width="8.26953125" style="221" bestFit="1" customWidth="1"/>
    <col min="13318" max="13318" width="7.26953125" style="221" bestFit="1" customWidth="1"/>
    <col min="13319" max="13319" width="26.1796875" style="221" bestFit="1" customWidth="1"/>
    <col min="13320" max="13320" width="20.7265625" style="221" bestFit="1" customWidth="1"/>
    <col min="13321" max="13321" width="20.81640625" style="221" bestFit="1" customWidth="1"/>
    <col min="13322" max="13322" width="24" style="221" customWidth="1"/>
    <col min="13323" max="13323" width="17.1796875" style="221" bestFit="1" customWidth="1"/>
    <col min="13324" max="13324" width="22.1796875" style="221" customWidth="1"/>
    <col min="13325" max="13325" width="13.26953125" style="221" customWidth="1"/>
    <col min="13326" max="13326" width="11" style="221" customWidth="1"/>
    <col min="13327" max="13568" width="9.1796875" style="221"/>
    <col min="13569" max="13569" width="24.7265625" style="221" bestFit="1" customWidth="1"/>
    <col min="13570" max="13570" width="18.7265625" style="221" bestFit="1" customWidth="1"/>
    <col min="13571" max="13571" width="8.1796875" style="221" bestFit="1" customWidth="1"/>
    <col min="13572" max="13573" width="8.26953125" style="221" bestFit="1" customWidth="1"/>
    <col min="13574" max="13574" width="7.26953125" style="221" bestFit="1" customWidth="1"/>
    <col min="13575" max="13575" width="26.1796875" style="221" bestFit="1" customWidth="1"/>
    <col min="13576" max="13576" width="20.7265625" style="221" bestFit="1" customWidth="1"/>
    <col min="13577" max="13577" width="20.81640625" style="221" bestFit="1" customWidth="1"/>
    <col min="13578" max="13578" width="24" style="221" customWidth="1"/>
    <col min="13579" max="13579" width="17.1796875" style="221" bestFit="1" customWidth="1"/>
    <col min="13580" max="13580" width="22.1796875" style="221" customWidth="1"/>
    <col min="13581" max="13581" width="13.26953125" style="221" customWidth="1"/>
    <col min="13582" max="13582" width="11" style="221" customWidth="1"/>
    <col min="13583" max="13824" width="9.1796875" style="221"/>
    <col min="13825" max="13825" width="24.7265625" style="221" bestFit="1" customWidth="1"/>
    <col min="13826" max="13826" width="18.7265625" style="221" bestFit="1" customWidth="1"/>
    <col min="13827" max="13827" width="8.1796875" style="221" bestFit="1" customWidth="1"/>
    <col min="13828" max="13829" width="8.26953125" style="221" bestFit="1" customWidth="1"/>
    <col min="13830" max="13830" width="7.26953125" style="221" bestFit="1" customWidth="1"/>
    <col min="13831" max="13831" width="26.1796875" style="221" bestFit="1" customWidth="1"/>
    <col min="13832" max="13832" width="20.7265625" style="221" bestFit="1" customWidth="1"/>
    <col min="13833" max="13833" width="20.81640625" style="221" bestFit="1" customWidth="1"/>
    <col min="13834" max="13834" width="24" style="221" customWidth="1"/>
    <col min="13835" max="13835" width="17.1796875" style="221" bestFit="1" customWidth="1"/>
    <col min="13836" max="13836" width="22.1796875" style="221" customWidth="1"/>
    <col min="13837" max="13837" width="13.26953125" style="221" customWidth="1"/>
    <col min="13838" max="13838" width="11" style="221" customWidth="1"/>
    <col min="13839" max="14080" width="9.1796875" style="221"/>
    <col min="14081" max="14081" width="24.7265625" style="221" bestFit="1" customWidth="1"/>
    <col min="14082" max="14082" width="18.7265625" style="221" bestFit="1" customWidth="1"/>
    <col min="14083" max="14083" width="8.1796875" style="221" bestFit="1" customWidth="1"/>
    <col min="14084" max="14085" width="8.26953125" style="221" bestFit="1" customWidth="1"/>
    <col min="14086" max="14086" width="7.26953125" style="221" bestFit="1" customWidth="1"/>
    <col min="14087" max="14087" width="26.1796875" style="221" bestFit="1" customWidth="1"/>
    <col min="14088" max="14088" width="20.7265625" style="221" bestFit="1" customWidth="1"/>
    <col min="14089" max="14089" width="20.81640625" style="221" bestFit="1" customWidth="1"/>
    <col min="14090" max="14090" width="24" style="221" customWidth="1"/>
    <col min="14091" max="14091" width="17.1796875" style="221" bestFit="1" customWidth="1"/>
    <col min="14092" max="14092" width="22.1796875" style="221" customWidth="1"/>
    <col min="14093" max="14093" width="13.26953125" style="221" customWidth="1"/>
    <col min="14094" max="14094" width="11" style="221" customWidth="1"/>
    <col min="14095" max="14336" width="9.1796875" style="221"/>
    <col min="14337" max="14337" width="24.7265625" style="221" bestFit="1" customWidth="1"/>
    <col min="14338" max="14338" width="18.7265625" style="221" bestFit="1" customWidth="1"/>
    <col min="14339" max="14339" width="8.1796875" style="221" bestFit="1" customWidth="1"/>
    <col min="14340" max="14341" width="8.26953125" style="221" bestFit="1" customWidth="1"/>
    <col min="14342" max="14342" width="7.26953125" style="221" bestFit="1" customWidth="1"/>
    <col min="14343" max="14343" width="26.1796875" style="221" bestFit="1" customWidth="1"/>
    <col min="14344" max="14344" width="20.7265625" style="221" bestFit="1" customWidth="1"/>
    <col min="14345" max="14345" width="20.81640625" style="221" bestFit="1" customWidth="1"/>
    <col min="14346" max="14346" width="24" style="221" customWidth="1"/>
    <col min="14347" max="14347" width="17.1796875" style="221" bestFit="1" customWidth="1"/>
    <col min="14348" max="14348" width="22.1796875" style="221" customWidth="1"/>
    <col min="14349" max="14349" width="13.26953125" style="221" customWidth="1"/>
    <col min="14350" max="14350" width="11" style="221" customWidth="1"/>
    <col min="14351" max="14592" width="9.1796875" style="221"/>
    <col min="14593" max="14593" width="24.7265625" style="221" bestFit="1" customWidth="1"/>
    <col min="14594" max="14594" width="18.7265625" style="221" bestFit="1" customWidth="1"/>
    <col min="14595" max="14595" width="8.1796875" style="221" bestFit="1" customWidth="1"/>
    <col min="14596" max="14597" width="8.26953125" style="221" bestFit="1" customWidth="1"/>
    <col min="14598" max="14598" width="7.26953125" style="221" bestFit="1" customWidth="1"/>
    <col min="14599" max="14599" width="26.1796875" style="221" bestFit="1" customWidth="1"/>
    <col min="14600" max="14600" width="20.7265625" style="221" bestFit="1" customWidth="1"/>
    <col min="14601" max="14601" width="20.81640625" style="221" bestFit="1" customWidth="1"/>
    <col min="14602" max="14602" width="24" style="221" customWidth="1"/>
    <col min="14603" max="14603" width="17.1796875" style="221" bestFit="1" customWidth="1"/>
    <col min="14604" max="14604" width="22.1796875" style="221" customWidth="1"/>
    <col min="14605" max="14605" width="13.26953125" style="221" customWidth="1"/>
    <col min="14606" max="14606" width="11" style="221" customWidth="1"/>
    <col min="14607" max="14848" width="9.1796875" style="221"/>
    <col min="14849" max="14849" width="24.7265625" style="221" bestFit="1" customWidth="1"/>
    <col min="14850" max="14850" width="18.7265625" style="221" bestFit="1" customWidth="1"/>
    <col min="14851" max="14851" width="8.1796875" style="221" bestFit="1" customWidth="1"/>
    <col min="14852" max="14853" width="8.26953125" style="221" bestFit="1" customWidth="1"/>
    <col min="14854" max="14854" width="7.26953125" style="221" bestFit="1" customWidth="1"/>
    <col min="14855" max="14855" width="26.1796875" style="221" bestFit="1" customWidth="1"/>
    <col min="14856" max="14856" width="20.7265625" style="221" bestFit="1" customWidth="1"/>
    <col min="14857" max="14857" width="20.81640625" style="221" bestFit="1" customWidth="1"/>
    <col min="14858" max="14858" width="24" style="221" customWidth="1"/>
    <col min="14859" max="14859" width="17.1796875" style="221" bestFit="1" customWidth="1"/>
    <col min="14860" max="14860" width="22.1796875" style="221" customWidth="1"/>
    <col min="14861" max="14861" width="13.26953125" style="221" customWidth="1"/>
    <col min="14862" max="14862" width="11" style="221" customWidth="1"/>
    <col min="14863" max="15104" width="9.1796875" style="221"/>
    <col min="15105" max="15105" width="24.7265625" style="221" bestFit="1" customWidth="1"/>
    <col min="15106" max="15106" width="18.7265625" style="221" bestFit="1" customWidth="1"/>
    <col min="15107" max="15107" width="8.1796875" style="221" bestFit="1" customWidth="1"/>
    <col min="15108" max="15109" width="8.26953125" style="221" bestFit="1" customWidth="1"/>
    <col min="15110" max="15110" width="7.26953125" style="221" bestFit="1" customWidth="1"/>
    <col min="15111" max="15111" width="26.1796875" style="221" bestFit="1" customWidth="1"/>
    <col min="15112" max="15112" width="20.7265625" style="221" bestFit="1" customWidth="1"/>
    <col min="15113" max="15113" width="20.81640625" style="221" bestFit="1" customWidth="1"/>
    <col min="15114" max="15114" width="24" style="221" customWidth="1"/>
    <col min="15115" max="15115" width="17.1796875" style="221" bestFit="1" customWidth="1"/>
    <col min="15116" max="15116" width="22.1796875" style="221" customWidth="1"/>
    <col min="15117" max="15117" width="13.26953125" style="221" customWidth="1"/>
    <col min="15118" max="15118" width="11" style="221" customWidth="1"/>
    <col min="15119" max="15360" width="9.1796875" style="221"/>
    <col min="15361" max="15361" width="24.7265625" style="221" bestFit="1" customWidth="1"/>
    <col min="15362" max="15362" width="18.7265625" style="221" bestFit="1" customWidth="1"/>
    <col min="15363" max="15363" width="8.1796875" style="221" bestFit="1" customWidth="1"/>
    <col min="15364" max="15365" width="8.26953125" style="221" bestFit="1" customWidth="1"/>
    <col min="15366" max="15366" width="7.26953125" style="221" bestFit="1" customWidth="1"/>
    <col min="15367" max="15367" width="26.1796875" style="221" bestFit="1" customWidth="1"/>
    <col min="15368" max="15368" width="20.7265625" style="221" bestFit="1" customWidth="1"/>
    <col min="15369" max="15369" width="20.81640625" style="221" bestFit="1" customWidth="1"/>
    <col min="15370" max="15370" width="24" style="221" customWidth="1"/>
    <col min="15371" max="15371" width="17.1796875" style="221" bestFit="1" customWidth="1"/>
    <col min="15372" max="15372" width="22.1796875" style="221" customWidth="1"/>
    <col min="15373" max="15373" width="13.26953125" style="221" customWidth="1"/>
    <col min="15374" max="15374" width="11" style="221" customWidth="1"/>
    <col min="15375" max="15616" width="9.1796875" style="221"/>
    <col min="15617" max="15617" width="24.7265625" style="221" bestFit="1" customWidth="1"/>
    <col min="15618" max="15618" width="18.7265625" style="221" bestFit="1" customWidth="1"/>
    <col min="15619" max="15619" width="8.1796875" style="221" bestFit="1" customWidth="1"/>
    <col min="15620" max="15621" width="8.26953125" style="221" bestFit="1" customWidth="1"/>
    <col min="15622" max="15622" width="7.26953125" style="221" bestFit="1" customWidth="1"/>
    <col min="15623" max="15623" width="26.1796875" style="221" bestFit="1" customWidth="1"/>
    <col min="15624" max="15624" width="20.7265625" style="221" bestFit="1" customWidth="1"/>
    <col min="15625" max="15625" width="20.81640625" style="221" bestFit="1" customWidth="1"/>
    <col min="15626" max="15626" width="24" style="221" customWidth="1"/>
    <col min="15627" max="15627" width="17.1796875" style="221" bestFit="1" customWidth="1"/>
    <col min="15628" max="15628" width="22.1796875" style="221" customWidth="1"/>
    <col min="15629" max="15629" width="13.26953125" style="221" customWidth="1"/>
    <col min="15630" max="15630" width="11" style="221" customWidth="1"/>
    <col min="15631" max="15872" width="9.1796875" style="221"/>
    <col min="15873" max="15873" width="24.7265625" style="221" bestFit="1" customWidth="1"/>
    <col min="15874" max="15874" width="18.7265625" style="221" bestFit="1" customWidth="1"/>
    <col min="15875" max="15875" width="8.1796875" style="221" bestFit="1" customWidth="1"/>
    <col min="15876" max="15877" width="8.26953125" style="221" bestFit="1" customWidth="1"/>
    <col min="15878" max="15878" width="7.26953125" style="221" bestFit="1" customWidth="1"/>
    <col min="15879" max="15879" width="26.1796875" style="221" bestFit="1" customWidth="1"/>
    <col min="15880" max="15880" width="20.7265625" style="221" bestFit="1" customWidth="1"/>
    <col min="15881" max="15881" width="20.81640625" style="221" bestFit="1" customWidth="1"/>
    <col min="15882" max="15882" width="24" style="221" customWidth="1"/>
    <col min="15883" max="15883" width="17.1796875" style="221" bestFit="1" customWidth="1"/>
    <col min="15884" max="15884" width="22.1796875" style="221" customWidth="1"/>
    <col min="15885" max="15885" width="13.26953125" style="221" customWidth="1"/>
    <col min="15886" max="15886" width="11" style="221" customWidth="1"/>
    <col min="15887" max="16128" width="9.1796875" style="221"/>
    <col min="16129" max="16129" width="24.7265625" style="221" bestFit="1" customWidth="1"/>
    <col min="16130" max="16130" width="18.7265625" style="221" bestFit="1" customWidth="1"/>
    <col min="16131" max="16131" width="8.1796875" style="221" bestFit="1" customWidth="1"/>
    <col min="16132" max="16133" width="8.26953125" style="221" bestFit="1" customWidth="1"/>
    <col min="16134" max="16134" width="7.26953125" style="221" bestFit="1" customWidth="1"/>
    <col min="16135" max="16135" width="26.1796875" style="221" bestFit="1" customWidth="1"/>
    <col min="16136" max="16136" width="20.7265625" style="221" bestFit="1" customWidth="1"/>
    <col min="16137" max="16137" width="20.81640625" style="221" bestFit="1" customWidth="1"/>
    <col min="16138" max="16138" width="24" style="221" customWidth="1"/>
    <col min="16139" max="16139" width="17.1796875" style="221" bestFit="1" customWidth="1"/>
    <col min="16140" max="16140" width="22.1796875" style="221" customWidth="1"/>
    <col min="16141" max="16141" width="13.26953125" style="221" customWidth="1"/>
    <col min="16142" max="16142" width="11" style="221" customWidth="1"/>
    <col min="16143" max="16384" width="9.1796875" style="221"/>
  </cols>
  <sheetData>
    <row r="1" spans="1:14" s="214" customFormat="1" ht="40">
      <c r="A1" s="209" t="s">
        <v>0</v>
      </c>
      <c r="B1" s="210" t="s">
        <v>1</v>
      </c>
      <c r="C1" s="210" t="s">
        <v>2</v>
      </c>
      <c r="D1" s="210" t="s">
        <v>3</v>
      </c>
      <c r="E1" s="210" t="s">
        <v>4</v>
      </c>
      <c r="F1" s="210" t="s">
        <v>5</v>
      </c>
      <c r="G1" s="210" t="s">
        <v>6</v>
      </c>
      <c r="H1" s="210" t="s">
        <v>505</v>
      </c>
      <c r="I1" s="210" t="s">
        <v>506</v>
      </c>
      <c r="J1" s="210" t="s">
        <v>286</v>
      </c>
      <c r="K1" s="210" t="s">
        <v>10</v>
      </c>
      <c r="L1" s="211" t="s">
        <v>507</v>
      </c>
      <c r="M1" s="212" t="s">
        <v>12</v>
      </c>
      <c r="N1" s="213" t="s">
        <v>287</v>
      </c>
    </row>
    <row r="2" spans="1:14" ht="20">
      <c r="A2" s="215" t="s">
        <v>859</v>
      </c>
      <c r="B2" s="216" t="s">
        <v>14</v>
      </c>
      <c r="C2" s="216"/>
      <c r="D2" s="216">
        <v>1</v>
      </c>
      <c r="E2" s="216">
        <f>E8</f>
        <v>50</v>
      </c>
      <c r="F2" s="216">
        <f>SUM(F3:F8)</f>
        <v>50</v>
      </c>
      <c r="G2" s="95" t="s">
        <v>510</v>
      </c>
      <c r="H2" s="217"/>
      <c r="I2" s="217"/>
      <c r="J2" s="216"/>
      <c r="K2" s="216"/>
      <c r="L2" s="218"/>
      <c r="M2" s="219" t="s">
        <v>511</v>
      </c>
      <c r="N2" s="220"/>
    </row>
    <row r="3" spans="1:14" ht="21">
      <c r="A3" s="222" t="s">
        <v>17</v>
      </c>
      <c r="B3" s="223" t="s">
        <v>18</v>
      </c>
      <c r="C3" s="224">
        <v>1</v>
      </c>
      <c r="D3" s="225">
        <v>1</v>
      </c>
      <c r="E3" s="225">
        <f t="shared" ref="E3:E8" si="0">D3+F3-1</f>
        <v>1</v>
      </c>
      <c r="F3" s="225">
        <v>1</v>
      </c>
      <c r="G3" s="226" t="s">
        <v>19</v>
      </c>
      <c r="H3" s="226"/>
      <c r="I3" s="226"/>
      <c r="J3" s="225"/>
      <c r="K3" s="225"/>
      <c r="L3" s="227"/>
      <c r="M3" s="219" t="s">
        <v>511</v>
      </c>
      <c r="N3" s="220"/>
    </row>
    <row r="4" spans="1:14" s="23" customFormat="1">
      <c r="A4" s="18" t="s">
        <v>513</v>
      </c>
      <c r="B4" s="18" t="s">
        <v>514</v>
      </c>
      <c r="C4" s="19">
        <v>2</v>
      </c>
      <c r="D4" s="19">
        <f>E3+1</f>
        <v>2</v>
      </c>
      <c r="E4" s="19">
        <f t="shared" si="0"/>
        <v>16</v>
      </c>
      <c r="F4" s="19">
        <v>15</v>
      </c>
      <c r="G4" s="18" t="s">
        <v>515</v>
      </c>
      <c r="H4" s="20"/>
      <c r="I4" s="20"/>
      <c r="J4" s="18"/>
      <c r="K4" s="19"/>
      <c r="L4" s="19"/>
      <c r="M4" s="21"/>
      <c r="N4" s="22"/>
    </row>
    <row r="5" spans="1:14" s="23" customFormat="1">
      <c r="A5" s="18" t="s">
        <v>516</v>
      </c>
      <c r="B5" s="18" t="s">
        <v>517</v>
      </c>
      <c r="C5" s="19">
        <v>3</v>
      </c>
      <c r="D5" s="19">
        <f>E4+1</f>
        <v>17</v>
      </c>
      <c r="E5" s="19">
        <f t="shared" si="0"/>
        <v>26</v>
      </c>
      <c r="F5" s="19">
        <v>10</v>
      </c>
      <c r="G5" s="18" t="s">
        <v>518</v>
      </c>
      <c r="H5" s="20"/>
      <c r="I5" s="20"/>
      <c r="J5" s="18"/>
      <c r="K5" s="19"/>
      <c r="L5" s="19"/>
      <c r="M5" s="21"/>
      <c r="N5" s="22"/>
    </row>
    <row r="6" spans="1:14" s="23" customFormat="1" ht="10.5">
      <c r="A6" s="18" t="s">
        <v>215</v>
      </c>
      <c r="B6" s="18" t="s">
        <v>216</v>
      </c>
      <c r="C6" s="19">
        <v>4</v>
      </c>
      <c r="D6" s="19">
        <f>E5+1</f>
        <v>27</v>
      </c>
      <c r="E6" s="19">
        <f t="shared" si="0"/>
        <v>34</v>
      </c>
      <c r="F6" s="19">
        <v>8</v>
      </c>
      <c r="G6" s="18" t="s">
        <v>519</v>
      </c>
      <c r="H6" s="24"/>
      <c r="I6" s="24"/>
      <c r="J6" s="18"/>
      <c r="K6" s="19"/>
      <c r="L6" s="19"/>
      <c r="M6" s="21"/>
      <c r="N6" s="22"/>
    </row>
    <row r="7" spans="1:14" s="235" customFormat="1" ht="10.5">
      <c r="A7" s="18" t="s">
        <v>520</v>
      </c>
      <c r="B7" s="18" t="s">
        <v>514</v>
      </c>
      <c r="C7" s="228">
        <v>5</v>
      </c>
      <c r="D7" s="19">
        <f>E6+1</f>
        <v>35</v>
      </c>
      <c r="E7" s="19">
        <f t="shared" si="0"/>
        <v>49</v>
      </c>
      <c r="F7" s="229">
        <v>15</v>
      </c>
      <c r="G7" s="230" t="s">
        <v>860</v>
      </c>
      <c r="H7" s="231"/>
      <c r="I7" s="231"/>
      <c r="J7" s="229"/>
      <c r="K7" s="229"/>
      <c r="L7" s="232"/>
      <c r="M7" s="233" t="s">
        <v>511</v>
      </c>
      <c r="N7" s="234"/>
    </row>
    <row r="8" spans="1:14" s="23" customFormat="1">
      <c r="A8" s="18" t="s">
        <v>522</v>
      </c>
      <c r="B8" s="18" t="s">
        <v>18</v>
      </c>
      <c r="C8" s="19">
        <v>6</v>
      </c>
      <c r="D8" s="19">
        <f>E7+1</f>
        <v>50</v>
      </c>
      <c r="E8" s="19">
        <f t="shared" si="0"/>
        <v>50</v>
      </c>
      <c r="F8" s="19">
        <v>1</v>
      </c>
      <c r="G8" s="18" t="s">
        <v>523</v>
      </c>
      <c r="H8" s="20"/>
      <c r="I8" s="20"/>
      <c r="J8" s="18"/>
      <c r="K8" s="19"/>
      <c r="L8" s="19"/>
      <c r="M8" s="21"/>
      <c r="N8" s="22"/>
    </row>
    <row r="9" spans="1:14" ht="10.5">
      <c r="A9" s="215" t="s">
        <v>861</v>
      </c>
      <c r="B9" s="216" t="s">
        <v>14</v>
      </c>
      <c r="C9" s="216"/>
      <c r="D9" s="216">
        <v>1</v>
      </c>
      <c r="E9" s="216">
        <f>E15</f>
        <v>59</v>
      </c>
      <c r="F9" s="216">
        <f>SUM(F10:F15)</f>
        <v>59</v>
      </c>
      <c r="G9" s="236"/>
      <c r="H9" s="236"/>
      <c r="I9" s="236"/>
      <c r="J9" s="216"/>
      <c r="K9" s="216"/>
      <c r="L9" s="218"/>
      <c r="M9" s="219" t="s">
        <v>511</v>
      </c>
      <c r="N9" s="220"/>
    </row>
    <row r="10" spans="1:14" s="235" customFormat="1" ht="20.5">
      <c r="A10" s="237" t="s">
        <v>17</v>
      </c>
      <c r="B10" s="238" t="s">
        <v>18</v>
      </c>
      <c r="C10" s="228">
        <v>7</v>
      </c>
      <c r="D10" s="228">
        <v>1</v>
      </c>
      <c r="E10" s="229">
        <f t="shared" ref="E10:E15" si="1">D10+F10-1</f>
        <v>1</v>
      </c>
      <c r="F10" s="228">
        <v>1</v>
      </c>
      <c r="G10" s="239" t="s">
        <v>38</v>
      </c>
      <c r="H10" s="239"/>
      <c r="I10" s="239"/>
      <c r="J10" s="228"/>
      <c r="K10" s="228"/>
      <c r="L10" s="240"/>
      <c r="M10" s="233" t="s">
        <v>511</v>
      </c>
      <c r="N10" s="234"/>
    </row>
    <row r="11" spans="1:14" s="248" customFormat="1" ht="10.5">
      <c r="A11" s="241" t="s">
        <v>862</v>
      </c>
      <c r="B11" s="241" t="s">
        <v>540</v>
      </c>
      <c r="C11" s="242">
        <v>8</v>
      </c>
      <c r="D11" s="242">
        <f>E10+1</f>
        <v>2</v>
      </c>
      <c r="E11" s="242">
        <f t="shared" si="1"/>
        <v>31</v>
      </c>
      <c r="F11" s="242">
        <v>30</v>
      </c>
      <c r="G11" s="243" t="s">
        <v>863</v>
      </c>
      <c r="H11" s="243" t="s">
        <v>526</v>
      </c>
      <c r="I11" s="243" t="s">
        <v>864</v>
      </c>
      <c r="J11" s="244" t="s">
        <v>865</v>
      </c>
      <c r="K11" s="242"/>
      <c r="L11" s="245" t="s">
        <v>866</v>
      </c>
      <c r="M11" s="246" t="s">
        <v>511</v>
      </c>
      <c r="N11" s="247"/>
    </row>
    <row r="12" spans="1:14" s="248" customFormat="1" ht="10.5">
      <c r="A12" s="241" t="s">
        <v>867</v>
      </c>
      <c r="B12" s="241" t="s">
        <v>582</v>
      </c>
      <c r="C12" s="242">
        <v>9</v>
      </c>
      <c r="D12" s="242">
        <f>E11+1</f>
        <v>32</v>
      </c>
      <c r="E12" s="242">
        <f t="shared" si="1"/>
        <v>41</v>
      </c>
      <c r="F12" s="242">
        <v>10</v>
      </c>
      <c r="G12" s="243" t="s">
        <v>868</v>
      </c>
      <c r="H12" s="243" t="s">
        <v>526</v>
      </c>
      <c r="I12" s="243" t="s">
        <v>864</v>
      </c>
      <c r="J12" s="244" t="s">
        <v>869</v>
      </c>
      <c r="K12" s="242"/>
      <c r="L12" s="245" t="s">
        <v>866</v>
      </c>
      <c r="M12" s="246"/>
      <c r="N12" s="247"/>
    </row>
    <row r="13" spans="1:14" s="248" customFormat="1" ht="10.5">
      <c r="A13" s="241" t="s">
        <v>870</v>
      </c>
      <c r="B13" s="241" t="s">
        <v>871</v>
      </c>
      <c r="C13" s="242">
        <v>10</v>
      </c>
      <c r="D13" s="242">
        <f>E12+1</f>
        <v>42</v>
      </c>
      <c r="E13" s="242">
        <f t="shared" si="1"/>
        <v>53</v>
      </c>
      <c r="F13" s="242">
        <v>12</v>
      </c>
      <c r="G13" s="243" t="s">
        <v>872</v>
      </c>
      <c r="H13" s="243" t="s">
        <v>526</v>
      </c>
      <c r="I13" s="243" t="s">
        <v>864</v>
      </c>
      <c r="J13" s="244" t="s">
        <v>873</v>
      </c>
      <c r="K13" s="242"/>
      <c r="L13" s="245" t="s">
        <v>866</v>
      </c>
      <c r="M13" s="246"/>
      <c r="N13" s="247"/>
    </row>
    <row r="14" spans="1:14" s="248" customFormat="1" ht="10.5">
      <c r="A14" s="241" t="s">
        <v>874</v>
      </c>
      <c r="B14" s="241" t="s">
        <v>577</v>
      </c>
      <c r="C14" s="242">
        <v>11</v>
      </c>
      <c r="D14" s="242">
        <f>E13+1</f>
        <v>54</v>
      </c>
      <c r="E14" s="242">
        <f t="shared" si="1"/>
        <v>58</v>
      </c>
      <c r="F14" s="242">
        <v>5</v>
      </c>
      <c r="G14" s="243" t="s">
        <v>875</v>
      </c>
      <c r="H14" s="243" t="s">
        <v>526</v>
      </c>
      <c r="I14" s="243" t="s">
        <v>864</v>
      </c>
      <c r="J14" s="244" t="s">
        <v>876</v>
      </c>
      <c r="K14" s="242"/>
      <c r="L14" s="245" t="s">
        <v>866</v>
      </c>
      <c r="M14" s="246"/>
      <c r="N14" s="247"/>
    </row>
    <row r="15" spans="1:14" s="23" customFormat="1" ht="10.5">
      <c r="A15" s="238" t="s">
        <v>522</v>
      </c>
      <c r="B15" s="238" t="s">
        <v>18</v>
      </c>
      <c r="C15" s="242">
        <v>12</v>
      </c>
      <c r="D15" s="242">
        <f>E14+1</f>
        <v>59</v>
      </c>
      <c r="E15" s="242">
        <f t="shared" si="1"/>
        <v>59</v>
      </c>
      <c r="F15" s="19">
        <v>1</v>
      </c>
      <c r="G15" s="18" t="s">
        <v>523</v>
      </c>
      <c r="H15" s="20"/>
      <c r="I15" s="20"/>
      <c r="J15" s="18"/>
      <c r="K15" s="19"/>
      <c r="L15" s="19"/>
      <c r="M15" s="21"/>
      <c r="N15" s="22"/>
    </row>
    <row r="16" spans="1:14" s="235" customFormat="1" ht="31.5">
      <c r="A16" s="215" t="s">
        <v>877</v>
      </c>
      <c r="B16" s="249" t="s">
        <v>14</v>
      </c>
      <c r="C16" s="249"/>
      <c r="D16" s="249">
        <v>1</v>
      </c>
      <c r="E16" s="249">
        <f>E19</f>
        <v>11</v>
      </c>
      <c r="F16" s="249">
        <f>SUM(F17:F19)</f>
        <v>11</v>
      </c>
      <c r="G16" s="250"/>
      <c r="H16" s="250"/>
      <c r="I16" s="250"/>
      <c r="J16" s="250"/>
      <c r="K16" s="250" t="s">
        <v>204</v>
      </c>
      <c r="L16" s="250"/>
      <c r="M16" s="233" t="s">
        <v>511</v>
      </c>
      <c r="N16" s="234"/>
    </row>
    <row r="17" spans="1:14" s="235" customFormat="1" ht="20.5">
      <c r="A17" s="237" t="s">
        <v>17</v>
      </c>
      <c r="B17" s="251" t="s">
        <v>18</v>
      </c>
      <c r="C17" s="228">
        <v>13</v>
      </c>
      <c r="D17" s="229">
        <v>1</v>
      </c>
      <c r="E17" s="229">
        <v>1</v>
      </c>
      <c r="F17" s="229">
        <v>1</v>
      </c>
      <c r="G17" s="239" t="s">
        <v>701</v>
      </c>
      <c r="H17" s="239"/>
      <c r="I17" s="239"/>
      <c r="J17" s="229"/>
      <c r="K17" s="229"/>
      <c r="L17" s="232"/>
      <c r="M17" s="233" t="s">
        <v>511</v>
      </c>
      <c r="N17" s="234"/>
    </row>
    <row r="18" spans="1:14" s="235" customFormat="1">
      <c r="A18" s="252" t="s">
        <v>206</v>
      </c>
      <c r="B18" s="253" t="s">
        <v>207</v>
      </c>
      <c r="C18" s="229">
        <v>14</v>
      </c>
      <c r="D18" s="229">
        <v>2</v>
      </c>
      <c r="E18" s="229">
        <f>D18+F18-1</f>
        <v>10</v>
      </c>
      <c r="F18" s="229">
        <v>9</v>
      </c>
      <c r="G18" s="239" t="s">
        <v>233</v>
      </c>
      <c r="H18" s="239"/>
      <c r="I18" s="239"/>
      <c r="J18" s="229"/>
      <c r="K18" s="229"/>
      <c r="L18" s="232"/>
      <c r="M18" s="233" t="s">
        <v>511</v>
      </c>
      <c r="N18" s="234"/>
    </row>
    <row r="19" spans="1:14" s="23" customFormat="1">
      <c r="A19" s="254" t="s">
        <v>522</v>
      </c>
      <c r="B19" s="253" t="s">
        <v>18</v>
      </c>
      <c r="C19" s="19">
        <v>15</v>
      </c>
      <c r="D19" s="19">
        <f>E18+1</f>
        <v>11</v>
      </c>
      <c r="E19" s="19">
        <f>D19+F19-1</f>
        <v>11</v>
      </c>
      <c r="F19" s="19">
        <v>1</v>
      </c>
      <c r="G19" s="18" t="s">
        <v>523</v>
      </c>
      <c r="H19" s="20"/>
      <c r="I19" s="20"/>
      <c r="J19" s="18"/>
      <c r="K19" s="19"/>
      <c r="L19" s="19"/>
      <c r="M19" s="21"/>
      <c r="N19" s="22"/>
    </row>
    <row r="20" spans="1:14">
      <c r="M20" s="259"/>
    </row>
    <row r="21" spans="1:14">
      <c r="M21" s="259"/>
    </row>
    <row r="22" spans="1:14">
      <c r="M22" s="259"/>
    </row>
    <row r="23" spans="1:14">
      <c r="M23" s="259"/>
    </row>
    <row r="24" spans="1:14">
      <c r="M24" s="259"/>
    </row>
    <row r="25" spans="1:14">
      <c r="M25" s="259"/>
    </row>
    <row r="26" spans="1:14">
      <c r="M26" s="259"/>
    </row>
    <row r="27" spans="1:14">
      <c r="M27" s="259"/>
    </row>
    <row r="28" spans="1:14">
      <c r="M28" s="259"/>
    </row>
    <row r="29" spans="1:14">
      <c r="M29" s="259"/>
    </row>
    <row r="30" spans="1:14">
      <c r="M30" s="259"/>
    </row>
    <row r="31" spans="1:14">
      <c r="M31" s="259"/>
    </row>
    <row r="32" spans="1:14">
      <c r="M32" s="259"/>
    </row>
    <row r="33" spans="13:13">
      <c r="M33" s="259"/>
    </row>
    <row r="34" spans="13:13">
      <c r="M34" s="259"/>
    </row>
    <row r="35" spans="13:13">
      <c r="M35" s="259"/>
    </row>
    <row r="36" spans="13:13">
      <c r="M36" s="259"/>
    </row>
    <row r="37" spans="13:13">
      <c r="M37" s="259"/>
    </row>
    <row r="38" spans="13:13">
      <c r="M38" s="259"/>
    </row>
    <row r="39" spans="13:13">
      <c r="M39" s="259"/>
    </row>
    <row r="40" spans="13:13">
      <c r="M40" s="259"/>
    </row>
    <row r="41" spans="13:13">
      <c r="M41" s="259"/>
    </row>
    <row r="42" spans="13:13">
      <c r="M42" s="259"/>
    </row>
    <row r="43" spans="13:13">
      <c r="M43" s="259"/>
    </row>
    <row r="44" spans="13:13">
      <c r="M44" s="259"/>
    </row>
    <row r="45" spans="13:13">
      <c r="M45" s="259"/>
    </row>
    <row r="46" spans="13:13">
      <c r="M46" s="259"/>
    </row>
    <row r="47" spans="13:13">
      <c r="M47" s="259"/>
    </row>
    <row r="48" spans="13:13">
      <c r="M48" s="259"/>
    </row>
    <row r="49" spans="13:13">
      <c r="M49" s="259"/>
    </row>
    <row r="50" spans="13:13">
      <c r="M50" s="259"/>
    </row>
    <row r="51" spans="13:13">
      <c r="M51" s="259"/>
    </row>
    <row r="52" spans="13:13">
      <c r="M52" s="259"/>
    </row>
    <row r="53" spans="13:13">
      <c r="M53" s="259"/>
    </row>
    <row r="54" spans="13:13">
      <c r="M54" s="259"/>
    </row>
    <row r="55" spans="13:13">
      <c r="M55" s="259"/>
    </row>
    <row r="56" spans="13:13">
      <c r="M56" s="259"/>
    </row>
    <row r="57" spans="13:13">
      <c r="M57" s="259"/>
    </row>
    <row r="58" spans="13:13">
      <c r="M58" s="259"/>
    </row>
    <row r="59" spans="13:13">
      <c r="M59" s="259"/>
    </row>
    <row r="60" spans="13:13">
      <c r="M60" s="259"/>
    </row>
    <row r="61" spans="13:13">
      <c r="M61" s="259"/>
    </row>
    <row r="62" spans="13:13">
      <c r="M62" s="259"/>
    </row>
    <row r="63" spans="13:13">
      <c r="M63" s="259"/>
    </row>
    <row r="64" spans="13:13">
      <c r="M64" s="259"/>
    </row>
    <row r="65" spans="13:13">
      <c r="M65" s="259"/>
    </row>
    <row r="66" spans="13:13">
      <c r="M66" s="259"/>
    </row>
    <row r="67" spans="13:13">
      <c r="M67" s="259"/>
    </row>
    <row r="68" spans="13:13">
      <c r="M68" s="259"/>
    </row>
    <row r="69" spans="13:13">
      <c r="M69" s="259"/>
    </row>
    <row r="70" spans="13:13">
      <c r="M70" s="259"/>
    </row>
    <row r="71" spans="13:13">
      <c r="M71" s="259"/>
    </row>
    <row r="72" spans="13:13">
      <c r="M72" s="259"/>
    </row>
    <row r="73" spans="13:13">
      <c r="M73" s="259"/>
    </row>
    <row r="74" spans="13:13">
      <c r="M74" s="259"/>
    </row>
    <row r="75" spans="13:13">
      <c r="M75" s="259"/>
    </row>
    <row r="76" spans="13:13">
      <c r="M76" s="259"/>
    </row>
    <row r="77" spans="13:13">
      <c r="M77" s="259"/>
    </row>
    <row r="78" spans="13:13">
      <c r="M78" s="259"/>
    </row>
    <row r="79" spans="13:13">
      <c r="M79" s="259"/>
    </row>
    <row r="80" spans="13:13">
      <c r="M80" s="259"/>
    </row>
    <row r="81" spans="13:13">
      <c r="M81" s="259"/>
    </row>
    <row r="82" spans="13:13">
      <c r="M82" s="259"/>
    </row>
    <row r="83" spans="13:13">
      <c r="M83" s="259"/>
    </row>
    <row r="84" spans="13:13">
      <c r="M84" s="259"/>
    </row>
    <row r="85" spans="13:13">
      <c r="M85" s="259"/>
    </row>
    <row r="86" spans="13:13">
      <c r="M86" s="259"/>
    </row>
    <row r="87" spans="13:13">
      <c r="M87" s="259"/>
    </row>
    <row r="88" spans="13:13">
      <c r="M88" s="259"/>
    </row>
    <row r="89" spans="13:13">
      <c r="M89" s="259"/>
    </row>
    <row r="90" spans="13:13">
      <c r="M90" s="259"/>
    </row>
    <row r="91" spans="13:13">
      <c r="M91" s="259"/>
    </row>
    <row r="92" spans="13:13">
      <c r="M92" s="259"/>
    </row>
    <row r="93" spans="13:13">
      <c r="M93" s="259"/>
    </row>
    <row r="94" spans="13:13">
      <c r="M94" s="259"/>
    </row>
    <row r="95" spans="13:13">
      <c r="M95" s="259"/>
    </row>
    <row r="96" spans="13:13">
      <c r="M96" s="259"/>
    </row>
    <row r="97" spans="13:13">
      <c r="M97" s="259"/>
    </row>
    <row r="98" spans="13:13">
      <c r="M98" s="259"/>
    </row>
    <row r="99" spans="13:13">
      <c r="M99" s="259"/>
    </row>
    <row r="100" spans="13:13">
      <c r="M100" s="259"/>
    </row>
  </sheetData>
  <pageMargins left="0.75" right="0.75" top="1" bottom="1" header="0.5" footer="0.5"/>
  <pageSetup paperSize="9" orientation="portrait" r:id="rId1"/>
  <headerFooter alignWithMargins="0">
    <oddHeader>&amp;L&amp;"Arial"&amp;9&amp;K0078D7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FB936-FDF7-4D94-B06D-A9FE66A63DDC}">
  <sheetPr codeName="Sheet10"/>
  <dimension ref="A1:O39"/>
  <sheetViews>
    <sheetView topLeftCell="A8" zoomScale="115" workbookViewId="0">
      <selection activeCell="C19" sqref="C19"/>
    </sheetView>
  </sheetViews>
  <sheetFormatPr defaultRowHeight="12.5"/>
  <cols>
    <col min="1" max="1" width="32.1796875" customWidth="1"/>
    <col min="3" max="3" width="8" bestFit="1" customWidth="1"/>
    <col min="4" max="5" width="8.1796875" bestFit="1" customWidth="1"/>
    <col min="6" max="6" width="7.26953125" bestFit="1" customWidth="1"/>
    <col min="7" max="7" width="10.54296875" customWidth="1"/>
    <col min="8" max="8" width="18.7265625" customWidth="1"/>
    <col min="9" max="9" width="13.54296875" bestFit="1" customWidth="1"/>
    <col min="10" max="10" width="11.81640625" customWidth="1"/>
    <col min="11" max="11" width="21.81640625" bestFit="1" customWidth="1"/>
    <col min="12" max="12" width="10.1796875" bestFit="1" customWidth="1"/>
    <col min="13" max="14" width="8.54296875" bestFit="1" customWidth="1"/>
    <col min="15" max="15" width="9.1796875" style="23" customWidth="1"/>
    <col min="257" max="257" width="32.1796875" customWidth="1"/>
    <col min="259" max="259" width="8" bestFit="1" customWidth="1"/>
    <col min="260" max="261" width="8.1796875" bestFit="1" customWidth="1"/>
    <col min="262" max="262" width="7.26953125" bestFit="1" customWidth="1"/>
    <col min="263" max="263" width="10.54296875" customWidth="1"/>
    <col min="264" max="264" width="18.7265625" customWidth="1"/>
    <col min="265" max="265" width="13.54296875" bestFit="1" customWidth="1"/>
    <col min="266" max="266" width="11.81640625" customWidth="1"/>
    <col min="267" max="267" width="21.81640625" bestFit="1" customWidth="1"/>
    <col min="268" max="268" width="10.1796875" bestFit="1" customWidth="1"/>
    <col min="269" max="270" width="8.54296875" bestFit="1" customWidth="1"/>
    <col min="271" max="271" width="9.1796875" customWidth="1"/>
    <col min="513" max="513" width="32.1796875" customWidth="1"/>
    <col min="515" max="515" width="8" bestFit="1" customWidth="1"/>
    <col min="516" max="517" width="8.1796875" bestFit="1" customWidth="1"/>
    <col min="518" max="518" width="7.26953125" bestFit="1" customWidth="1"/>
    <col min="519" max="519" width="10.54296875" customWidth="1"/>
    <col min="520" max="520" width="18.7265625" customWidth="1"/>
    <col min="521" max="521" width="13.54296875" bestFit="1" customWidth="1"/>
    <col min="522" max="522" width="11.81640625" customWidth="1"/>
    <col min="523" max="523" width="21.81640625" bestFit="1" customWidth="1"/>
    <col min="524" max="524" width="10.1796875" bestFit="1" customWidth="1"/>
    <col min="525" max="526" width="8.54296875" bestFit="1" customWidth="1"/>
    <col min="527" max="527" width="9.1796875" customWidth="1"/>
    <col min="769" max="769" width="32.1796875" customWidth="1"/>
    <col min="771" max="771" width="8" bestFit="1" customWidth="1"/>
    <col min="772" max="773" width="8.1796875" bestFit="1" customWidth="1"/>
    <col min="774" max="774" width="7.26953125" bestFit="1" customWidth="1"/>
    <col min="775" max="775" width="10.54296875" customWidth="1"/>
    <col min="776" max="776" width="18.7265625" customWidth="1"/>
    <col min="777" max="777" width="13.54296875" bestFit="1" customWidth="1"/>
    <col min="778" max="778" width="11.81640625" customWidth="1"/>
    <col min="779" max="779" width="21.81640625" bestFit="1" customWidth="1"/>
    <col min="780" max="780" width="10.1796875" bestFit="1" customWidth="1"/>
    <col min="781" max="782" width="8.54296875" bestFit="1" customWidth="1"/>
    <col min="783" max="783" width="9.1796875" customWidth="1"/>
    <col min="1025" max="1025" width="32.1796875" customWidth="1"/>
    <col min="1027" max="1027" width="8" bestFit="1" customWidth="1"/>
    <col min="1028" max="1029" width="8.1796875" bestFit="1" customWidth="1"/>
    <col min="1030" max="1030" width="7.26953125" bestFit="1" customWidth="1"/>
    <col min="1031" max="1031" width="10.54296875" customWidth="1"/>
    <col min="1032" max="1032" width="18.7265625" customWidth="1"/>
    <col min="1033" max="1033" width="13.54296875" bestFit="1" customWidth="1"/>
    <col min="1034" max="1034" width="11.81640625" customWidth="1"/>
    <col min="1035" max="1035" width="21.81640625" bestFit="1" customWidth="1"/>
    <col min="1036" max="1036" width="10.1796875" bestFit="1" customWidth="1"/>
    <col min="1037" max="1038" width="8.54296875" bestFit="1" customWidth="1"/>
    <col min="1039" max="1039" width="9.1796875" customWidth="1"/>
    <col min="1281" max="1281" width="32.1796875" customWidth="1"/>
    <col min="1283" max="1283" width="8" bestFit="1" customWidth="1"/>
    <col min="1284" max="1285" width="8.1796875" bestFit="1" customWidth="1"/>
    <col min="1286" max="1286" width="7.26953125" bestFit="1" customWidth="1"/>
    <col min="1287" max="1287" width="10.54296875" customWidth="1"/>
    <col min="1288" max="1288" width="18.7265625" customWidth="1"/>
    <col min="1289" max="1289" width="13.54296875" bestFit="1" customWidth="1"/>
    <col min="1290" max="1290" width="11.81640625" customWidth="1"/>
    <col min="1291" max="1291" width="21.81640625" bestFit="1" customWidth="1"/>
    <col min="1292" max="1292" width="10.1796875" bestFit="1" customWidth="1"/>
    <col min="1293" max="1294" width="8.54296875" bestFit="1" customWidth="1"/>
    <col min="1295" max="1295" width="9.1796875" customWidth="1"/>
    <col min="1537" max="1537" width="32.1796875" customWidth="1"/>
    <col min="1539" max="1539" width="8" bestFit="1" customWidth="1"/>
    <col min="1540" max="1541" width="8.1796875" bestFit="1" customWidth="1"/>
    <col min="1542" max="1542" width="7.26953125" bestFit="1" customWidth="1"/>
    <col min="1543" max="1543" width="10.54296875" customWidth="1"/>
    <col min="1544" max="1544" width="18.7265625" customWidth="1"/>
    <col min="1545" max="1545" width="13.54296875" bestFit="1" customWidth="1"/>
    <col min="1546" max="1546" width="11.81640625" customWidth="1"/>
    <col min="1547" max="1547" width="21.81640625" bestFit="1" customWidth="1"/>
    <col min="1548" max="1548" width="10.1796875" bestFit="1" customWidth="1"/>
    <col min="1549" max="1550" width="8.54296875" bestFit="1" customWidth="1"/>
    <col min="1551" max="1551" width="9.1796875" customWidth="1"/>
    <col min="1793" max="1793" width="32.1796875" customWidth="1"/>
    <col min="1795" max="1795" width="8" bestFit="1" customWidth="1"/>
    <col min="1796" max="1797" width="8.1796875" bestFit="1" customWidth="1"/>
    <col min="1798" max="1798" width="7.26953125" bestFit="1" customWidth="1"/>
    <col min="1799" max="1799" width="10.54296875" customWidth="1"/>
    <col min="1800" max="1800" width="18.7265625" customWidth="1"/>
    <col min="1801" max="1801" width="13.54296875" bestFit="1" customWidth="1"/>
    <col min="1802" max="1802" width="11.81640625" customWidth="1"/>
    <col min="1803" max="1803" width="21.81640625" bestFit="1" customWidth="1"/>
    <col min="1804" max="1804" width="10.1796875" bestFit="1" customWidth="1"/>
    <col min="1805" max="1806" width="8.54296875" bestFit="1" customWidth="1"/>
    <col min="1807" max="1807" width="9.1796875" customWidth="1"/>
    <col min="2049" max="2049" width="32.1796875" customWidth="1"/>
    <col min="2051" max="2051" width="8" bestFit="1" customWidth="1"/>
    <col min="2052" max="2053" width="8.1796875" bestFit="1" customWidth="1"/>
    <col min="2054" max="2054" width="7.26953125" bestFit="1" customWidth="1"/>
    <col min="2055" max="2055" width="10.54296875" customWidth="1"/>
    <col min="2056" max="2056" width="18.7265625" customWidth="1"/>
    <col min="2057" max="2057" width="13.54296875" bestFit="1" customWidth="1"/>
    <col min="2058" max="2058" width="11.81640625" customWidth="1"/>
    <col min="2059" max="2059" width="21.81640625" bestFit="1" customWidth="1"/>
    <col min="2060" max="2060" width="10.1796875" bestFit="1" customWidth="1"/>
    <col min="2061" max="2062" width="8.54296875" bestFit="1" customWidth="1"/>
    <col min="2063" max="2063" width="9.1796875" customWidth="1"/>
    <col min="2305" max="2305" width="32.1796875" customWidth="1"/>
    <col min="2307" max="2307" width="8" bestFit="1" customWidth="1"/>
    <col min="2308" max="2309" width="8.1796875" bestFit="1" customWidth="1"/>
    <col min="2310" max="2310" width="7.26953125" bestFit="1" customWidth="1"/>
    <col min="2311" max="2311" width="10.54296875" customWidth="1"/>
    <col min="2312" max="2312" width="18.7265625" customWidth="1"/>
    <col min="2313" max="2313" width="13.54296875" bestFit="1" customWidth="1"/>
    <col min="2314" max="2314" width="11.81640625" customWidth="1"/>
    <col min="2315" max="2315" width="21.81640625" bestFit="1" customWidth="1"/>
    <col min="2316" max="2316" width="10.1796875" bestFit="1" customWidth="1"/>
    <col min="2317" max="2318" width="8.54296875" bestFit="1" customWidth="1"/>
    <col min="2319" max="2319" width="9.1796875" customWidth="1"/>
    <col min="2561" max="2561" width="32.1796875" customWidth="1"/>
    <col min="2563" max="2563" width="8" bestFit="1" customWidth="1"/>
    <col min="2564" max="2565" width="8.1796875" bestFit="1" customWidth="1"/>
    <col min="2566" max="2566" width="7.26953125" bestFit="1" customWidth="1"/>
    <col min="2567" max="2567" width="10.54296875" customWidth="1"/>
    <col min="2568" max="2568" width="18.7265625" customWidth="1"/>
    <col min="2569" max="2569" width="13.54296875" bestFit="1" customWidth="1"/>
    <col min="2570" max="2570" width="11.81640625" customWidth="1"/>
    <col min="2571" max="2571" width="21.81640625" bestFit="1" customWidth="1"/>
    <col min="2572" max="2572" width="10.1796875" bestFit="1" customWidth="1"/>
    <col min="2573" max="2574" width="8.54296875" bestFit="1" customWidth="1"/>
    <col min="2575" max="2575" width="9.1796875" customWidth="1"/>
    <col min="2817" max="2817" width="32.1796875" customWidth="1"/>
    <col min="2819" max="2819" width="8" bestFit="1" customWidth="1"/>
    <col min="2820" max="2821" width="8.1796875" bestFit="1" customWidth="1"/>
    <col min="2822" max="2822" width="7.26953125" bestFit="1" customWidth="1"/>
    <col min="2823" max="2823" width="10.54296875" customWidth="1"/>
    <col min="2824" max="2824" width="18.7265625" customWidth="1"/>
    <col min="2825" max="2825" width="13.54296875" bestFit="1" customWidth="1"/>
    <col min="2826" max="2826" width="11.81640625" customWidth="1"/>
    <col min="2827" max="2827" width="21.81640625" bestFit="1" customWidth="1"/>
    <col min="2828" max="2828" width="10.1796875" bestFit="1" customWidth="1"/>
    <col min="2829" max="2830" width="8.54296875" bestFit="1" customWidth="1"/>
    <col min="2831" max="2831" width="9.1796875" customWidth="1"/>
    <col min="3073" max="3073" width="32.1796875" customWidth="1"/>
    <col min="3075" max="3075" width="8" bestFit="1" customWidth="1"/>
    <col min="3076" max="3077" width="8.1796875" bestFit="1" customWidth="1"/>
    <col min="3078" max="3078" width="7.26953125" bestFit="1" customWidth="1"/>
    <col min="3079" max="3079" width="10.54296875" customWidth="1"/>
    <col min="3080" max="3080" width="18.7265625" customWidth="1"/>
    <col min="3081" max="3081" width="13.54296875" bestFit="1" customWidth="1"/>
    <col min="3082" max="3082" width="11.81640625" customWidth="1"/>
    <col min="3083" max="3083" width="21.81640625" bestFit="1" customWidth="1"/>
    <col min="3084" max="3084" width="10.1796875" bestFit="1" customWidth="1"/>
    <col min="3085" max="3086" width="8.54296875" bestFit="1" customWidth="1"/>
    <col min="3087" max="3087" width="9.1796875" customWidth="1"/>
    <col min="3329" max="3329" width="32.1796875" customWidth="1"/>
    <col min="3331" max="3331" width="8" bestFit="1" customWidth="1"/>
    <col min="3332" max="3333" width="8.1796875" bestFit="1" customWidth="1"/>
    <col min="3334" max="3334" width="7.26953125" bestFit="1" customWidth="1"/>
    <col min="3335" max="3335" width="10.54296875" customWidth="1"/>
    <col min="3336" max="3336" width="18.7265625" customWidth="1"/>
    <col min="3337" max="3337" width="13.54296875" bestFit="1" customWidth="1"/>
    <col min="3338" max="3338" width="11.81640625" customWidth="1"/>
    <col min="3339" max="3339" width="21.81640625" bestFit="1" customWidth="1"/>
    <col min="3340" max="3340" width="10.1796875" bestFit="1" customWidth="1"/>
    <col min="3341" max="3342" width="8.54296875" bestFit="1" customWidth="1"/>
    <col min="3343" max="3343" width="9.1796875" customWidth="1"/>
    <col min="3585" max="3585" width="32.1796875" customWidth="1"/>
    <col min="3587" max="3587" width="8" bestFit="1" customWidth="1"/>
    <col min="3588" max="3589" width="8.1796875" bestFit="1" customWidth="1"/>
    <col min="3590" max="3590" width="7.26953125" bestFit="1" customWidth="1"/>
    <col min="3591" max="3591" width="10.54296875" customWidth="1"/>
    <col min="3592" max="3592" width="18.7265625" customWidth="1"/>
    <col min="3593" max="3593" width="13.54296875" bestFit="1" customWidth="1"/>
    <col min="3594" max="3594" width="11.81640625" customWidth="1"/>
    <col min="3595" max="3595" width="21.81640625" bestFit="1" customWidth="1"/>
    <col min="3596" max="3596" width="10.1796875" bestFit="1" customWidth="1"/>
    <col min="3597" max="3598" width="8.54296875" bestFit="1" customWidth="1"/>
    <col min="3599" max="3599" width="9.1796875" customWidth="1"/>
    <col min="3841" max="3841" width="32.1796875" customWidth="1"/>
    <col min="3843" max="3843" width="8" bestFit="1" customWidth="1"/>
    <col min="3844" max="3845" width="8.1796875" bestFit="1" customWidth="1"/>
    <col min="3846" max="3846" width="7.26953125" bestFit="1" customWidth="1"/>
    <col min="3847" max="3847" width="10.54296875" customWidth="1"/>
    <col min="3848" max="3848" width="18.7265625" customWidth="1"/>
    <col min="3849" max="3849" width="13.54296875" bestFit="1" customWidth="1"/>
    <col min="3850" max="3850" width="11.81640625" customWidth="1"/>
    <col min="3851" max="3851" width="21.81640625" bestFit="1" customWidth="1"/>
    <col min="3852" max="3852" width="10.1796875" bestFit="1" customWidth="1"/>
    <col min="3853" max="3854" width="8.54296875" bestFit="1" customWidth="1"/>
    <col min="3855" max="3855" width="9.1796875" customWidth="1"/>
    <col min="4097" max="4097" width="32.1796875" customWidth="1"/>
    <col min="4099" max="4099" width="8" bestFit="1" customWidth="1"/>
    <col min="4100" max="4101" width="8.1796875" bestFit="1" customWidth="1"/>
    <col min="4102" max="4102" width="7.26953125" bestFit="1" customWidth="1"/>
    <col min="4103" max="4103" width="10.54296875" customWidth="1"/>
    <col min="4104" max="4104" width="18.7265625" customWidth="1"/>
    <col min="4105" max="4105" width="13.54296875" bestFit="1" customWidth="1"/>
    <col min="4106" max="4106" width="11.81640625" customWidth="1"/>
    <col min="4107" max="4107" width="21.81640625" bestFit="1" customWidth="1"/>
    <col min="4108" max="4108" width="10.1796875" bestFit="1" customWidth="1"/>
    <col min="4109" max="4110" width="8.54296875" bestFit="1" customWidth="1"/>
    <col min="4111" max="4111" width="9.1796875" customWidth="1"/>
    <col min="4353" max="4353" width="32.1796875" customWidth="1"/>
    <col min="4355" max="4355" width="8" bestFit="1" customWidth="1"/>
    <col min="4356" max="4357" width="8.1796875" bestFit="1" customWidth="1"/>
    <col min="4358" max="4358" width="7.26953125" bestFit="1" customWidth="1"/>
    <col min="4359" max="4359" width="10.54296875" customWidth="1"/>
    <col min="4360" max="4360" width="18.7265625" customWidth="1"/>
    <col min="4361" max="4361" width="13.54296875" bestFit="1" customWidth="1"/>
    <col min="4362" max="4362" width="11.81640625" customWidth="1"/>
    <col min="4363" max="4363" width="21.81640625" bestFit="1" customWidth="1"/>
    <col min="4364" max="4364" width="10.1796875" bestFit="1" customWidth="1"/>
    <col min="4365" max="4366" width="8.54296875" bestFit="1" customWidth="1"/>
    <col min="4367" max="4367" width="9.1796875" customWidth="1"/>
    <col min="4609" max="4609" width="32.1796875" customWidth="1"/>
    <col min="4611" max="4611" width="8" bestFit="1" customWidth="1"/>
    <col min="4612" max="4613" width="8.1796875" bestFit="1" customWidth="1"/>
    <col min="4614" max="4614" width="7.26953125" bestFit="1" customWidth="1"/>
    <col min="4615" max="4615" width="10.54296875" customWidth="1"/>
    <col min="4616" max="4616" width="18.7265625" customWidth="1"/>
    <col min="4617" max="4617" width="13.54296875" bestFit="1" customWidth="1"/>
    <col min="4618" max="4618" width="11.81640625" customWidth="1"/>
    <col min="4619" max="4619" width="21.81640625" bestFit="1" customWidth="1"/>
    <col min="4620" max="4620" width="10.1796875" bestFit="1" customWidth="1"/>
    <col min="4621" max="4622" width="8.54296875" bestFit="1" customWidth="1"/>
    <col min="4623" max="4623" width="9.1796875" customWidth="1"/>
    <col min="4865" max="4865" width="32.1796875" customWidth="1"/>
    <col min="4867" max="4867" width="8" bestFit="1" customWidth="1"/>
    <col min="4868" max="4869" width="8.1796875" bestFit="1" customWidth="1"/>
    <col min="4870" max="4870" width="7.26953125" bestFit="1" customWidth="1"/>
    <col min="4871" max="4871" width="10.54296875" customWidth="1"/>
    <col min="4872" max="4872" width="18.7265625" customWidth="1"/>
    <col min="4873" max="4873" width="13.54296875" bestFit="1" customWidth="1"/>
    <col min="4874" max="4874" width="11.81640625" customWidth="1"/>
    <col min="4875" max="4875" width="21.81640625" bestFit="1" customWidth="1"/>
    <col min="4876" max="4876" width="10.1796875" bestFit="1" customWidth="1"/>
    <col min="4877" max="4878" width="8.54296875" bestFit="1" customWidth="1"/>
    <col min="4879" max="4879" width="9.1796875" customWidth="1"/>
    <col min="5121" max="5121" width="32.1796875" customWidth="1"/>
    <col min="5123" max="5123" width="8" bestFit="1" customWidth="1"/>
    <col min="5124" max="5125" width="8.1796875" bestFit="1" customWidth="1"/>
    <col min="5126" max="5126" width="7.26953125" bestFit="1" customWidth="1"/>
    <col min="5127" max="5127" width="10.54296875" customWidth="1"/>
    <col min="5128" max="5128" width="18.7265625" customWidth="1"/>
    <col min="5129" max="5129" width="13.54296875" bestFit="1" customWidth="1"/>
    <col min="5130" max="5130" width="11.81640625" customWidth="1"/>
    <col min="5131" max="5131" width="21.81640625" bestFit="1" customWidth="1"/>
    <col min="5132" max="5132" width="10.1796875" bestFit="1" customWidth="1"/>
    <col min="5133" max="5134" width="8.54296875" bestFit="1" customWidth="1"/>
    <col min="5135" max="5135" width="9.1796875" customWidth="1"/>
    <col min="5377" max="5377" width="32.1796875" customWidth="1"/>
    <col min="5379" max="5379" width="8" bestFit="1" customWidth="1"/>
    <col min="5380" max="5381" width="8.1796875" bestFit="1" customWidth="1"/>
    <col min="5382" max="5382" width="7.26953125" bestFit="1" customWidth="1"/>
    <col min="5383" max="5383" width="10.54296875" customWidth="1"/>
    <col min="5384" max="5384" width="18.7265625" customWidth="1"/>
    <col min="5385" max="5385" width="13.54296875" bestFit="1" customWidth="1"/>
    <col min="5386" max="5386" width="11.81640625" customWidth="1"/>
    <col min="5387" max="5387" width="21.81640625" bestFit="1" customWidth="1"/>
    <col min="5388" max="5388" width="10.1796875" bestFit="1" customWidth="1"/>
    <col min="5389" max="5390" width="8.54296875" bestFit="1" customWidth="1"/>
    <col min="5391" max="5391" width="9.1796875" customWidth="1"/>
    <col min="5633" max="5633" width="32.1796875" customWidth="1"/>
    <col min="5635" max="5635" width="8" bestFit="1" customWidth="1"/>
    <col min="5636" max="5637" width="8.1796875" bestFit="1" customWidth="1"/>
    <col min="5638" max="5638" width="7.26953125" bestFit="1" customWidth="1"/>
    <col min="5639" max="5639" width="10.54296875" customWidth="1"/>
    <col min="5640" max="5640" width="18.7265625" customWidth="1"/>
    <col min="5641" max="5641" width="13.54296875" bestFit="1" customWidth="1"/>
    <col min="5642" max="5642" width="11.81640625" customWidth="1"/>
    <col min="5643" max="5643" width="21.81640625" bestFit="1" customWidth="1"/>
    <col min="5644" max="5644" width="10.1796875" bestFit="1" customWidth="1"/>
    <col min="5645" max="5646" width="8.54296875" bestFit="1" customWidth="1"/>
    <col min="5647" max="5647" width="9.1796875" customWidth="1"/>
    <col min="5889" max="5889" width="32.1796875" customWidth="1"/>
    <col min="5891" max="5891" width="8" bestFit="1" customWidth="1"/>
    <col min="5892" max="5893" width="8.1796875" bestFit="1" customWidth="1"/>
    <col min="5894" max="5894" width="7.26953125" bestFit="1" customWidth="1"/>
    <col min="5895" max="5895" width="10.54296875" customWidth="1"/>
    <col min="5896" max="5896" width="18.7265625" customWidth="1"/>
    <col min="5897" max="5897" width="13.54296875" bestFit="1" customWidth="1"/>
    <col min="5898" max="5898" width="11.81640625" customWidth="1"/>
    <col min="5899" max="5899" width="21.81640625" bestFit="1" customWidth="1"/>
    <col min="5900" max="5900" width="10.1796875" bestFit="1" customWidth="1"/>
    <col min="5901" max="5902" width="8.54296875" bestFit="1" customWidth="1"/>
    <col min="5903" max="5903" width="9.1796875" customWidth="1"/>
    <col min="6145" max="6145" width="32.1796875" customWidth="1"/>
    <col min="6147" max="6147" width="8" bestFit="1" customWidth="1"/>
    <col min="6148" max="6149" width="8.1796875" bestFit="1" customWidth="1"/>
    <col min="6150" max="6150" width="7.26953125" bestFit="1" customWidth="1"/>
    <col min="6151" max="6151" width="10.54296875" customWidth="1"/>
    <col min="6152" max="6152" width="18.7265625" customWidth="1"/>
    <col min="6153" max="6153" width="13.54296875" bestFit="1" customWidth="1"/>
    <col min="6154" max="6154" width="11.81640625" customWidth="1"/>
    <col min="6155" max="6155" width="21.81640625" bestFit="1" customWidth="1"/>
    <col min="6156" max="6156" width="10.1796875" bestFit="1" customWidth="1"/>
    <col min="6157" max="6158" width="8.54296875" bestFit="1" customWidth="1"/>
    <col min="6159" max="6159" width="9.1796875" customWidth="1"/>
    <col min="6401" max="6401" width="32.1796875" customWidth="1"/>
    <col min="6403" max="6403" width="8" bestFit="1" customWidth="1"/>
    <col min="6404" max="6405" width="8.1796875" bestFit="1" customWidth="1"/>
    <col min="6406" max="6406" width="7.26953125" bestFit="1" customWidth="1"/>
    <col min="6407" max="6407" width="10.54296875" customWidth="1"/>
    <col min="6408" max="6408" width="18.7265625" customWidth="1"/>
    <col min="6409" max="6409" width="13.54296875" bestFit="1" customWidth="1"/>
    <col min="6410" max="6410" width="11.81640625" customWidth="1"/>
    <col min="6411" max="6411" width="21.81640625" bestFit="1" customWidth="1"/>
    <col min="6412" max="6412" width="10.1796875" bestFit="1" customWidth="1"/>
    <col min="6413" max="6414" width="8.54296875" bestFit="1" customWidth="1"/>
    <col min="6415" max="6415" width="9.1796875" customWidth="1"/>
    <col min="6657" max="6657" width="32.1796875" customWidth="1"/>
    <col min="6659" max="6659" width="8" bestFit="1" customWidth="1"/>
    <col min="6660" max="6661" width="8.1796875" bestFit="1" customWidth="1"/>
    <col min="6662" max="6662" width="7.26953125" bestFit="1" customWidth="1"/>
    <col min="6663" max="6663" width="10.54296875" customWidth="1"/>
    <col min="6664" max="6664" width="18.7265625" customWidth="1"/>
    <col min="6665" max="6665" width="13.54296875" bestFit="1" customWidth="1"/>
    <col min="6666" max="6666" width="11.81640625" customWidth="1"/>
    <col min="6667" max="6667" width="21.81640625" bestFit="1" customWidth="1"/>
    <col min="6668" max="6668" width="10.1796875" bestFit="1" customWidth="1"/>
    <col min="6669" max="6670" width="8.54296875" bestFit="1" customWidth="1"/>
    <col min="6671" max="6671" width="9.1796875" customWidth="1"/>
    <col min="6913" max="6913" width="32.1796875" customWidth="1"/>
    <col min="6915" max="6915" width="8" bestFit="1" customWidth="1"/>
    <col min="6916" max="6917" width="8.1796875" bestFit="1" customWidth="1"/>
    <col min="6918" max="6918" width="7.26953125" bestFit="1" customWidth="1"/>
    <col min="6919" max="6919" width="10.54296875" customWidth="1"/>
    <col min="6920" max="6920" width="18.7265625" customWidth="1"/>
    <col min="6921" max="6921" width="13.54296875" bestFit="1" customWidth="1"/>
    <col min="6922" max="6922" width="11.81640625" customWidth="1"/>
    <col min="6923" max="6923" width="21.81640625" bestFit="1" customWidth="1"/>
    <col min="6924" max="6924" width="10.1796875" bestFit="1" customWidth="1"/>
    <col min="6925" max="6926" width="8.54296875" bestFit="1" customWidth="1"/>
    <col min="6927" max="6927" width="9.1796875" customWidth="1"/>
    <col min="7169" max="7169" width="32.1796875" customWidth="1"/>
    <col min="7171" max="7171" width="8" bestFit="1" customWidth="1"/>
    <col min="7172" max="7173" width="8.1796875" bestFit="1" customWidth="1"/>
    <col min="7174" max="7174" width="7.26953125" bestFit="1" customWidth="1"/>
    <col min="7175" max="7175" width="10.54296875" customWidth="1"/>
    <col min="7176" max="7176" width="18.7265625" customWidth="1"/>
    <col min="7177" max="7177" width="13.54296875" bestFit="1" customWidth="1"/>
    <col min="7178" max="7178" width="11.81640625" customWidth="1"/>
    <col min="7179" max="7179" width="21.81640625" bestFit="1" customWidth="1"/>
    <col min="7180" max="7180" width="10.1796875" bestFit="1" customWidth="1"/>
    <col min="7181" max="7182" width="8.54296875" bestFit="1" customWidth="1"/>
    <col min="7183" max="7183" width="9.1796875" customWidth="1"/>
    <col min="7425" max="7425" width="32.1796875" customWidth="1"/>
    <col min="7427" max="7427" width="8" bestFit="1" customWidth="1"/>
    <col min="7428" max="7429" width="8.1796875" bestFit="1" customWidth="1"/>
    <col min="7430" max="7430" width="7.26953125" bestFit="1" customWidth="1"/>
    <col min="7431" max="7431" width="10.54296875" customWidth="1"/>
    <col min="7432" max="7432" width="18.7265625" customWidth="1"/>
    <col min="7433" max="7433" width="13.54296875" bestFit="1" customWidth="1"/>
    <col min="7434" max="7434" width="11.81640625" customWidth="1"/>
    <col min="7435" max="7435" width="21.81640625" bestFit="1" customWidth="1"/>
    <col min="7436" max="7436" width="10.1796875" bestFit="1" customWidth="1"/>
    <col min="7437" max="7438" width="8.54296875" bestFit="1" customWidth="1"/>
    <col min="7439" max="7439" width="9.1796875" customWidth="1"/>
    <col min="7681" max="7681" width="32.1796875" customWidth="1"/>
    <col min="7683" max="7683" width="8" bestFit="1" customWidth="1"/>
    <col min="7684" max="7685" width="8.1796875" bestFit="1" customWidth="1"/>
    <col min="7686" max="7686" width="7.26953125" bestFit="1" customWidth="1"/>
    <col min="7687" max="7687" width="10.54296875" customWidth="1"/>
    <col min="7688" max="7688" width="18.7265625" customWidth="1"/>
    <col min="7689" max="7689" width="13.54296875" bestFit="1" customWidth="1"/>
    <col min="7690" max="7690" width="11.81640625" customWidth="1"/>
    <col min="7691" max="7691" width="21.81640625" bestFit="1" customWidth="1"/>
    <col min="7692" max="7692" width="10.1796875" bestFit="1" customWidth="1"/>
    <col min="7693" max="7694" width="8.54296875" bestFit="1" customWidth="1"/>
    <col min="7695" max="7695" width="9.1796875" customWidth="1"/>
    <col min="7937" max="7937" width="32.1796875" customWidth="1"/>
    <col min="7939" max="7939" width="8" bestFit="1" customWidth="1"/>
    <col min="7940" max="7941" width="8.1796875" bestFit="1" customWidth="1"/>
    <col min="7942" max="7942" width="7.26953125" bestFit="1" customWidth="1"/>
    <col min="7943" max="7943" width="10.54296875" customWidth="1"/>
    <col min="7944" max="7944" width="18.7265625" customWidth="1"/>
    <col min="7945" max="7945" width="13.54296875" bestFit="1" customWidth="1"/>
    <col min="7946" max="7946" width="11.81640625" customWidth="1"/>
    <col min="7947" max="7947" width="21.81640625" bestFit="1" customWidth="1"/>
    <col min="7948" max="7948" width="10.1796875" bestFit="1" customWidth="1"/>
    <col min="7949" max="7950" width="8.54296875" bestFit="1" customWidth="1"/>
    <col min="7951" max="7951" width="9.1796875" customWidth="1"/>
    <col min="8193" max="8193" width="32.1796875" customWidth="1"/>
    <col min="8195" max="8195" width="8" bestFit="1" customWidth="1"/>
    <col min="8196" max="8197" width="8.1796875" bestFit="1" customWidth="1"/>
    <col min="8198" max="8198" width="7.26953125" bestFit="1" customWidth="1"/>
    <col min="8199" max="8199" width="10.54296875" customWidth="1"/>
    <col min="8200" max="8200" width="18.7265625" customWidth="1"/>
    <col min="8201" max="8201" width="13.54296875" bestFit="1" customWidth="1"/>
    <col min="8202" max="8202" width="11.81640625" customWidth="1"/>
    <col min="8203" max="8203" width="21.81640625" bestFit="1" customWidth="1"/>
    <col min="8204" max="8204" width="10.1796875" bestFit="1" customWidth="1"/>
    <col min="8205" max="8206" width="8.54296875" bestFit="1" customWidth="1"/>
    <col min="8207" max="8207" width="9.1796875" customWidth="1"/>
    <col min="8449" max="8449" width="32.1796875" customWidth="1"/>
    <col min="8451" max="8451" width="8" bestFit="1" customWidth="1"/>
    <col min="8452" max="8453" width="8.1796875" bestFit="1" customWidth="1"/>
    <col min="8454" max="8454" width="7.26953125" bestFit="1" customWidth="1"/>
    <col min="8455" max="8455" width="10.54296875" customWidth="1"/>
    <col min="8456" max="8456" width="18.7265625" customWidth="1"/>
    <col min="8457" max="8457" width="13.54296875" bestFit="1" customWidth="1"/>
    <col min="8458" max="8458" width="11.81640625" customWidth="1"/>
    <col min="8459" max="8459" width="21.81640625" bestFit="1" customWidth="1"/>
    <col min="8460" max="8460" width="10.1796875" bestFit="1" customWidth="1"/>
    <col min="8461" max="8462" width="8.54296875" bestFit="1" customWidth="1"/>
    <col min="8463" max="8463" width="9.1796875" customWidth="1"/>
    <col min="8705" max="8705" width="32.1796875" customWidth="1"/>
    <col min="8707" max="8707" width="8" bestFit="1" customWidth="1"/>
    <col min="8708" max="8709" width="8.1796875" bestFit="1" customWidth="1"/>
    <col min="8710" max="8710" width="7.26953125" bestFit="1" customWidth="1"/>
    <col min="8711" max="8711" width="10.54296875" customWidth="1"/>
    <col min="8712" max="8712" width="18.7265625" customWidth="1"/>
    <col min="8713" max="8713" width="13.54296875" bestFit="1" customWidth="1"/>
    <col min="8714" max="8714" width="11.81640625" customWidth="1"/>
    <col min="8715" max="8715" width="21.81640625" bestFit="1" customWidth="1"/>
    <col min="8716" max="8716" width="10.1796875" bestFit="1" customWidth="1"/>
    <col min="8717" max="8718" width="8.54296875" bestFit="1" customWidth="1"/>
    <col min="8719" max="8719" width="9.1796875" customWidth="1"/>
    <col min="8961" max="8961" width="32.1796875" customWidth="1"/>
    <col min="8963" max="8963" width="8" bestFit="1" customWidth="1"/>
    <col min="8964" max="8965" width="8.1796875" bestFit="1" customWidth="1"/>
    <col min="8966" max="8966" width="7.26953125" bestFit="1" customWidth="1"/>
    <col min="8967" max="8967" width="10.54296875" customWidth="1"/>
    <col min="8968" max="8968" width="18.7265625" customWidth="1"/>
    <col min="8969" max="8969" width="13.54296875" bestFit="1" customWidth="1"/>
    <col min="8970" max="8970" width="11.81640625" customWidth="1"/>
    <col min="8971" max="8971" width="21.81640625" bestFit="1" customWidth="1"/>
    <col min="8972" max="8972" width="10.1796875" bestFit="1" customWidth="1"/>
    <col min="8973" max="8974" width="8.54296875" bestFit="1" customWidth="1"/>
    <col min="8975" max="8975" width="9.1796875" customWidth="1"/>
    <col min="9217" max="9217" width="32.1796875" customWidth="1"/>
    <col min="9219" max="9219" width="8" bestFit="1" customWidth="1"/>
    <col min="9220" max="9221" width="8.1796875" bestFit="1" customWidth="1"/>
    <col min="9222" max="9222" width="7.26953125" bestFit="1" customWidth="1"/>
    <col min="9223" max="9223" width="10.54296875" customWidth="1"/>
    <col min="9224" max="9224" width="18.7265625" customWidth="1"/>
    <col min="9225" max="9225" width="13.54296875" bestFit="1" customWidth="1"/>
    <col min="9226" max="9226" width="11.81640625" customWidth="1"/>
    <col min="9227" max="9227" width="21.81640625" bestFit="1" customWidth="1"/>
    <col min="9228" max="9228" width="10.1796875" bestFit="1" customWidth="1"/>
    <col min="9229" max="9230" width="8.54296875" bestFit="1" customWidth="1"/>
    <col min="9231" max="9231" width="9.1796875" customWidth="1"/>
    <col min="9473" max="9473" width="32.1796875" customWidth="1"/>
    <col min="9475" max="9475" width="8" bestFit="1" customWidth="1"/>
    <col min="9476" max="9477" width="8.1796875" bestFit="1" customWidth="1"/>
    <col min="9478" max="9478" width="7.26953125" bestFit="1" customWidth="1"/>
    <col min="9479" max="9479" width="10.54296875" customWidth="1"/>
    <col min="9480" max="9480" width="18.7265625" customWidth="1"/>
    <col min="9481" max="9481" width="13.54296875" bestFit="1" customWidth="1"/>
    <col min="9482" max="9482" width="11.81640625" customWidth="1"/>
    <col min="9483" max="9483" width="21.81640625" bestFit="1" customWidth="1"/>
    <col min="9484" max="9484" width="10.1796875" bestFit="1" customWidth="1"/>
    <col min="9485" max="9486" width="8.54296875" bestFit="1" customWidth="1"/>
    <col min="9487" max="9487" width="9.1796875" customWidth="1"/>
    <col min="9729" max="9729" width="32.1796875" customWidth="1"/>
    <col min="9731" max="9731" width="8" bestFit="1" customWidth="1"/>
    <col min="9732" max="9733" width="8.1796875" bestFit="1" customWidth="1"/>
    <col min="9734" max="9734" width="7.26953125" bestFit="1" customWidth="1"/>
    <col min="9735" max="9735" width="10.54296875" customWidth="1"/>
    <col min="9736" max="9736" width="18.7265625" customWidth="1"/>
    <col min="9737" max="9737" width="13.54296875" bestFit="1" customWidth="1"/>
    <col min="9738" max="9738" width="11.81640625" customWidth="1"/>
    <col min="9739" max="9739" width="21.81640625" bestFit="1" customWidth="1"/>
    <col min="9740" max="9740" width="10.1796875" bestFit="1" customWidth="1"/>
    <col min="9741" max="9742" width="8.54296875" bestFit="1" customWidth="1"/>
    <col min="9743" max="9743" width="9.1796875" customWidth="1"/>
    <col min="9985" max="9985" width="32.1796875" customWidth="1"/>
    <col min="9987" max="9987" width="8" bestFit="1" customWidth="1"/>
    <col min="9988" max="9989" width="8.1796875" bestFit="1" customWidth="1"/>
    <col min="9990" max="9990" width="7.26953125" bestFit="1" customWidth="1"/>
    <col min="9991" max="9991" width="10.54296875" customWidth="1"/>
    <col min="9992" max="9992" width="18.7265625" customWidth="1"/>
    <col min="9993" max="9993" width="13.54296875" bestFit="1" customWidth="1"/>
    <col min="9994" max="9994" width="11.81640625" customWidth="1"/>
    <col min="9995" max="9995" width="21.81640625" bestFit="1" customWidth="1"/>
    <col min="9996" max="9996" width="10.1796875" bestFit="1" customWidth="1"/>
    <col min="9997" max="9998" width="8.54296875" bestFit="1" customWidth="1"/>
    <col min="9999" max="9999" width="9.1796875" customWidth="1"/>
    <col min="10241" max="10241" width="32.1796875" customWidth="1"/>
    <col min="10243" max="10243" width="8" bestFit="1" customWidth="1"/>
    <col min="10244" max="10245" width="8.1796875" bestFit="1" customWidth="1"/>
    <col min="10246" max="10246" width="7.26953125" bestFit="1" customWidth="1"/>
    <col min="10247" max="10247" width="10.54296875" customWidth="1"/>
    <col min="10248" max="10248" width="18.7265625" customWidth="1"/>
    <col min="10249" max="10249" width="13.54296875" bestFit="1" customWidth="1"/>
    <col min="10250" max="10250" width="11.81640625" customWidth="1"/>
    <col min="10251" max="10251" width="21.81640625" bestFit="1" customWidth="1"/>
    <col min="10252" max="10252" width="10.1796875" bestFit="1" customWidth="1"/>
    <col min="10253" max="10254" width="8.54296875" bestFit="1" customWidth="1"/>
    <col min="10255" max="10255" width="9.1796875" customWidth="1"/>
    <col min="10497" max="10497" width="32.1796875" customWidth="1"/>
    <col min="10499" max="10499" width="8" bestFit="1" customWidth="1"/>
    <col min="10500" max="10501" width="8.1796875" bestFit="1" customWidth="1"/>
    <col min="10502" max="10502" width="7.26953125" bestFit="1" customWidth="1"/>
    <col min="10503" max="10503" width="10.54296875" customWidth="1"/>
    <col min="10504" max="10504" width="18.7265625" customWidth="1"/>
    <col min="10505" max="10505" width="13.54296875" bestFit="1" customWidth="1"/>
    <col min="10506" max="10506" width="11.81640625" customWidth="1"/>
    <col min="10507" max="10507" width="21.81640625" bestFit="1" customWidth="1"/>
    <col min="10508" max="10508" width="10.1796875" bestFit="1" customWidth="1"/>
    <col min="10509" max="10510" width="8.54296875" bestFit="1" customWidth="1"/>
    <col min="10511" max="10511" width="9.1796875" customWidth="1"/>
    <col min="10753" max="10753" width="32.1796875" customWidth="1"/>
    <col min="10755" max="10755" width="8" bestFit="1" customWidth="1"/>
    <col min="10756" max="10757" width="8.1796875" bestFit="1" customWidth="1"/>
    <col min="10758" max="10758" width="7.26953125" bestFit="1" customWidth="1"/>
    <col min="10759" max="10759" width="10.54296875" customWidth="1"/>
    <col min="10760" max="10760" width="18.7265625" customWidth="1"/>
    <col min="10761" max="10761" width="13.54296875" bestFit="1" customWidth="1"/>
    <col min="10762" max="10762" width="11.81640625" customWidth="1"/>
    <col min="10763" max="10763" width="21.81640625" bestFit="1" customWidth="1"/>
    <col min="10764" max="10764" width="10.1796875" bestFit="1" customWidth="1"/>
    <col min="10765" max="10766" width="8.54296875" bestFit="1" customWidth="1"/>
    <col min="10767" max="10767" width="9.1796875" customWidth="1"/>
    <col min="11009" max="11009" width="32.1796875" customWidth="1"/>
    <col min="11011" max="11011" width="8" bestFit="1" customWidth="1"/>
    <col min="11012" max="11013" width="8.1796875" bestFit="1" customWidth="1"/>
    <col min="11014" max="11014" width="7.26953125" bestFit="1" customWidth="1"/>
    <col min="11015" max="11015" width="10.54296875" customWidth="1"/>
    <col min="11016" max="11016" width="18.7265625" customWidth="1"/>
    <col min="11017" max="11017" width="13.54296875" bestFit="1" customWidth="1"/>
    <col min="11018" max="11018" width="11.81640625" customWidth="1"/>
    <col min="11019" max="11019" width="21.81640625" bestFit="1" customWidth="1"/>
    <col min="11020" max="11020" width="10.1796875" bestFit="1" customWidth="1"/>
    <col min="11021" max="11022" width="8.54296875" bestFit="1" customWidth="1"/>
    <col min="11023" max="11023" width="9.1796875" customWidth="1"/>
    <col min="11265" max="11265" width="32.1796875" customWidth="1"/>
    <col min="11267" max="11267" width="8" bestFit="1" customWidth="1"/>
    <col min="11268" max="11269" width="8.1796875" bestFit="1" customWidth="1"/>
    <col min="11270" max="11270" width="7.26953125" bestFit="1" customWidth="1"/>
    <col min="11271" max="11271" width="10.54296875" customWidth="1"/>
    <col min="11272" max="11272" width="18.7265625" customWidth="1"/>
    <col min="11273" max="11273" width="13.54296875" bestFit="1" customWidth="1"/>
    <col min="11274" max="11274" width="11.81640625" customWidth="1"/>
    <col min="11275" max="11275" width="21.81640625" bestFit="1" customWidth="1"/>
    <col min="11276" max="11276" width="10.1796875" bestFit="1" customWidth="1"/>
    <col min="11277" max="11278" width="8.54296875" bestFit="1" customWidth="1"/>
    <col min="11279" max="11279" width="9.1796875" customWidth="1"/>
    <col min="11521" max="11521" width="32.1796875" customWidth="1"/>
    <col min="11523" max="11523" width="8" bestFit="1" customWidth="1"/>
    <col min="11524" max="11525" width="8.1796875" bestFit="1" customWidth="1"/>
    <col min="11526" max="11526" width="7.26953125" bestFit="1" customWidth="1"/>
    <col min="11527" max="11527" width="10.54296875" customWidth="1"/>
    <col min="11528" max="11528" width="18.7265625" customWidth="1"/>
    <col min="11529" max="11529" width="13.54296875" bestFit="1" customWidth="1"/>
    <col min="11530" max="11530" width="11.81640625" customWidth="1"/>
    <col min="11531" max="11531" width="21.81640625" bestFit="1" customWidth="1"/>
    <col min="11532" max="11532" width="10.1796875" bestFit="1" customWidth="1"/>
    <col min="11533" max="11534" width="8.54296875" bestFit="1" customWidth="1"/>
    <col min="11535" max="11535" width="9.1796875" customWidth="1"/>
    <col min="11777" max="11777" width="32.1796875" customWidth="1"/>
    <col min="11779" max="11779" width="8" bestFit="1" customWidth="1"/>
    <col min="11780" max="11781" width="8.1796875" bestFit="1" customWidth="1"/>
    <col min="11782" max="11782" width="7.26953125" bestFit="1" customWidth="1"/>
    <col min="11783" max="11783" width="10.54296875" customWidth="1"/>
    <col min="11784" max="11784" width="18.7265625" customWidth="1"/>
    <col min="11785" max="11785" width="13.54296875" bestFit="1" customWidth="1"/>
    <col min="11786" max="11786" width="11.81640625" customWidth="1"/>
    <col min="11787" max="11787" width="21.81640625" bestFit="1" customWidth="1"/>
    <col min="11788" max="11788" width="10.1796875" bestFit="1" customWidth="1"/>
    <col min="11789" max="11790" width="8.54296875" bestFit="1" customWidth="1"/>
    <col min="11791" max="11791" width="9.1796875" customWidth="1"/>
    <col min="12033" max="12033" width="32.1796875" customWidth="1"/>
    <col min="12035" max="12035" width="8" bestFit="1" customWidth="1"/>
    <col min="12036" max="12037" width="8.1796875" bestFit="1" customWidth="1"/>
    <col min="12038" max="12038" width="7.26953125" bestFit="1" customWidth="1"/>
    <col min="12039" max="12039" width="10.54296875" customWidth="1"/>
    <col min="12040" max="12040" width="18.7265625" customWidth="1"/>
    <col min="12041" max="12041" width="13.54296875" bestFit="1" customWidth="1"/>
    <col min="12042" max="12042" width="11.81640625" customWidth="1"/>
    <col min="12043" max="12043" width="21.81640625" bestFit="1" customWidth="1"/>
    <col min="12044" max="12044" width="10.1796875" bestFit="1" customWidth="1"/>
    <col min="12045" max="12046" width="8.54296875" bestFit="1" customWidth="1"/>
    <col min="12047" max="12047" width="9.1796875" customWidth="1"/>
    <col min="12289" max="12289" width="32.1796875" customWidth="1"/>
    <col min="12291" max="12291" width="8" bestFit="1" customWidth="1"/>
    <col min="12292" max="12293" width="8.1796875" bestFit="1" customWidth="1"/>
    <col min="12294" max="12294" width="7.26953125" bestFit="1" customWidth="1"/>
    <col min="12295" max="12295" width="10.54296875" customWidth="1"/>
    <col min="12296" max="12296" width="18.7265625" customWidth="1"/>
    <col min="12297" max="12297" width="13.54296875" bestFit="1" customWidth="1"/>
    <col min="12298" max="12298" width="11.81640625" customWidth="1"/>
    <col min="12299" max="12299" width="21.81640625" bestFit="1" customWidth="1"/>
    <col min="12300" max="12300" width="10.1796875" bestFit="1" customWidth="1"/>
    <col min="12301" max="12302" width="8.54296875" bestFit="1" customWidth="1"/>
    <col min="12303" max="12303" width="9.1796875" customWidth="1"/>
    <col min="12545" max="12545" width="32.1796875" customWidth="1"/>
    <col min="12547" max="12547" width="8" bestFit="1" customWidth="1"/>
    <col min="12548" max="12549" width="8.1796875" bestFit="1" customWidth="1"/>
    <col min="12550" max="12550" width="7.26953125" bestFit="1" customWidth="1"/>
    <col min="12551" max="12551" width="10.54296875" customWidth="1"/>
    <col min="12552" max="12552" width="18.7265625" customWidth="1"/>
    <col min="12553" max="12553" width="13.54296875" bestFit="1" customWidth="1"/>
    <col min="12554" max="12554" width="11.81640625" customWidth="1"/>
    <col min="12555" max="12555" width="21.81640625" bestFit="1" customWidth="1"/>
    <col min="12556" max="12556" width="10.1796875" bestFit="1" customWidth="1"/>
    <col min="12557" max="12558" width="8.54296875" bestFit="1" customWidth="1"/>
    <col min="12559" max="12559" width="9.1796875" customWidth="1"/>
    <col min="12801" max="12801" width="32.1796875" customWidth="1"/>
    <col min="12803" max="12803" width="8" bestFit="1" customWidth="1"/>
    <col min="12804" max="12805" width="8.1796875" bestFit="1" customWidth="1"/>
    <col min="12806" max="12806" width="7.26953125" bestFit="1" customWidth="1"/>
    <col min="12807" max="12807" width="10.54296875" customWidth="1"/>
    <col min="12808" max="12808" width="18.7265625" customWidth="1"/>
    <col min="12809" max="12809" width="13.54296875" bestFit="1" customWidth="1"/>
    <col min="12810" max="12810" width="11.81640625" customWidth="1"/>
    <col min="12811" max="12811" width="21.81640625" bestFit="1" customWidth="1"/>
    <col min="12812" max="12812" width="10.1796875" bestFit="1" customWidth="1"/>
    <col min="12813" max="12814" width="8.54296875" bestFit="1" customWidth="1"/>
    <col min="12815" max="12815" width="9.1796875" customWidth="1"/>
    <col min="13057" max="13057" width="32.1796875" customWidth="1"/>
    <col min="13059" max="13059" width="8" bestFit="1" customWidth="1"/>
    <col min="13060" max="13061" width="8.1796875" bestFit="1" customWidth="1"/>
    <col min="13062" max="13062" width="7.26953125" bestFit="1" customWidth="1"/>
    <col min="13063" max="13063" width="10.54296875" customWidth="1"/>
    <col min="13064" max="13064" width="18.7265625" customWidth="1"/>
    <col min="13065" max="13065" width="13.54296875" bestFit="1" customWidth="1"/>
    <col min="13066" max="13066" width="11.81640625" customWidth="1"/>
    <col min="13067" max="13067" width="21.81640625" bestFit="1" customWidth="1"/>
    <col min="13068" max="13068" width="10.1796875" bestFit="1" customWidth="1"/>
    <col min="13069" max="13070" width="8.54296875" bestFit="1" customWidth="1"/>
    <col min="13071" max="13071" width="9.1796875" customWidth="1"/>
    <col min="13313" max="13313" width="32.1796875" customWidth="1"/>
    <col min="13315" max="13315" width="8" bestFit="1" customWidth="1"/>
    <col min="13316" max="13317" width="8.1796875" bestFit="1" customWidth="1"/>
    <col min="13318" max="13318" width="7.26953125" bestFit="1" customWidth="1"/>
    <col min="13319" max="13319" width="10.54296875" customWidth="1"/>
    <col min="13320" max="13320" width="18.7265625" customWidth="1"/>
    <col min="13321" max="13321" width="13.54296875" bestFit="1" customWidth="1"/>
    <col min="13322" max="13322" width="11.81640625" customWidth="1"/>
    <col min="13323" max="13323" width="21.81640625" bestFit="1" customWidth="1"/>
    <col min="13324" max="13324" width="10.1796875" bestFit="1" customWidth="1"/>
    <col min="13325" max="13326" width="8.54296875" bestFit="1" customWidth="1"/>
    <col min="13327" max="13327" width="9.1796875" customWidth="1"/>
    <col min="13569" max="13569" width="32.1796875" customWidth="1"/>
    <col min="13571" max="13571" width="8" bestFit="1" customWidth="1"/>
    <col min="13572" max="13573" width="8.1796875" bestFit="1" customWidth="1"/>
    <col min="13574" max="13574" width="7.26953125" bestFit="1" customWidth="1"/>
    <col min="13575" max="13575" width="10.54296875" customWidth="1"/>
    <col min="13576" max="13576" width="18.7265625" customWidth="1"/>
    <col min="13577" max="13577" width="13.54296875" bestFit="1" customWidth="1"/>
    <col min="13578" max="13578" width="11.81640625" customWidth="1"/>
    <col min="13579" max="13579" width="21.81640625" bestFit="1" customWidth="1"/>
    <col min="13580" max="13580" width="10.1796875" bestFit="1" customWidth="1"/>
    <col min="13581" max="13582" width="8.54296875" bestFit="1" customWidth="1"/>
    <col min="13583" max="13583" width="9.1796875" customWidth="1"/>
    <col min="13825" max="13825" width="32.1796875" customWidth="1"/>
    <col min="13827" max="13827" width="8" bestFit="1" customWidth="1"/>
    <col min="13828" max="13829" width="8.1796875" bestFit="1" customWidth="1"/>
    <col min="13830" max="13830" width="7.26953125" bestFit="1" customWidth="1"/>
    <col min="13831" max="13831" width="10.54296875" customWidth="1"/>
    <col min="13832" max="13832" width="18.7265625" customWidth="1"/>
    <col min="13833" max="13833" width="13.54296875" bestFit="1" customWidth="1"/>
    <col min="13834" max="13834" width="11.81640625" customWidth="1"/>
    <col min="13835" max="13835" width="21.81640625" bestFit="1" customWidth="1"/>
    <col min="13836" max="13836" width="10.1796875" bestFit="1" customWidth="1"/>
    <col min="13837" max="13838" width="8.54296875" bestFit="1" customWidth="1"/>
    <col min="13839" max="13839" width="9.1796875" customWidth="1"/>
    <col min="14081" max="14081" width="32.1796875" customWidth="1"/>
    <col min="14083" max="14083" width="8" bestFit="1" customWidth="1"/>
    <col min="14084" max="14085" width="8.1796875" bestFit="1" customWidth="1"/>
    <col min="14086" max="14086" width="7.26953125" bestFit="1" customWidth="1"/>
    <col min="14087" max="14087" width="10.54296875" customWidth="1"/>
    <col min="14088" max="14088" width="18.7265625" customWidth="1"/>
    <col min="14089" max="14089" width="13.54296875" bestFit="1" customWidth="1"/>
    <col min="14090" max="14090" width="11.81640625" customWidth="1"/>
    <col min="14091" max="14091" width="21.81640625" bestFit="1" customWidth="1"/>
    <col min="14092" max="14092" width="10.1796875" bestFit="1" customWidth="1"/>
    <col min="14093" max="14094" width="8.54296875" bestFit="1" customWidth="1"/>
    <col min="14095" max="14095" width="9.1796875" customWidth="1"/>
    <col min="14337" max="14337" width="32.1796875" customWidth="1"/>
    <col min="14339" max="14339" width="8" bestFit="1" customWidth="1"/>
    <col min="14340" max="14341" width="8.1796875" bestFit="1" customWidth="1"/>
    <col min="14342" max="14342" width="7.26953125" bestFit="1" customWidth="1"/>
    <col min="14343" max="14343" width="10.54296875" customWidth="1"/>
    <col min="14344" max="14344" width="18.7265625" customWidth="1"/>
    <col min="14345" max="14345" width="13.54296875" bestFit="1" customWidth="1"/>
    <col min="14346" max="14346" width="11.81640625" customWidth="1"/>
    <col min="14347" max="14347" width="21.81640625" bestFit="1" customWidth="1"/>
    <col min="14348" max="14348" width="10.1796875" bestFit="1" customWidth="1"/>
    <col min="14349" max="14350" width="8.54296875" bestFit="1" customWidth="1"/>
    <col min="14351" max="14351" width="9.1796875" customWidth="1"/>
    <col min="14593" max="14593" width="32.1796875" customWidth="1"/>
    <col min="14595" max="14595" width="8" bestFit="1" customWidth="1"/>
    <col min="14596" max="14597" width="8.1796875" bestFit="1" customWidth="1"/>
    <col min="14598" max="14598" width="7.26953125" bestFit="1" customWidth="1"/>
    <col min="14599" max="14599" width="10.54296875" customWidth="1"/>
    <col min="14600" max="14600" width="18.7265625" customWidth="1"/>
    <col min="14601" max="14601" width="13.54296875" bestFit="1" customWidth="1"/>
    <col min="14602" max="14602" width="11.81640625" customWidth="1"/>
    <col min="14603" max="14603" width="21.81640625" bestFit="1" customWidth="1"/>
    <col min="14604" max="14604" width="10.1796875" bestFit="1" customWidth="1"/>
    <col min="14605" max="14606" width="8.54296875" bestFit="1" customWidth="1"/>
    <col min="14607" max="14607" width="9.1796875" customWidth="1"/>
    <col min="14849" max="14849" width="32.1796875" customWidth="1"/>
    <col min="14851" max="14851" width="8" bestFit="1" customWidth="1"/>
    <col min="14852" max="14853" width="8.1796875" bestFit="1" customWidth="1"/>
    <col min="14854" max="14854" width="7.26953125" bestFit="1" customWidth="1"/>
    <col min="14855" max="14855" width="10.54296875" customWidth="1"/>
    <col min="14856" max="14856" width="18.7265625" customWidth="1"/>
    <col min="14857" max="14857" width="13.54296875" bestFit="1" customWidth="1"/>
    <col min="14858" max="14858" width="11.81640625" customWidth="1"/>
    <col min="14859" max="14859" width="21.81640625" bestFit="1" customWidth="1"/>
    <col min="14860" max="14860" width="10.1796875" bestFit="1" customWidth="1"/>
    <col min="14861" max="14862" width="8.54296875" bestFit="1" customWidth="1"/>
    <col min="14863" max="14863" width="9.1796875" customWidth="1"/>
    <col min="15105" max="15105" width="32.1796875" customWidth="1"/>
    <col min="15107" max="15107" width="8" bestFit="1" customWidth="1"/>
    <col min="15108" max="15109" width="8.1796875" bestFit="1" customWidth="1"/>
    <col min="15110" max="15110" width="7.26953125" bestFit="1" customWidth="1"/>
    <col min="15111" max="15111" width="10.54296875" customWidth="1"/>
    <col min="15112" max="15112" width="18.7265625" customWidth="1"/>
    <col min="15113" max="15113" width="13.54296875" bestFit="1" customWidth="1"/>
    <col min="15114" max="15114" width="11.81640625" customWidth="1"/>
    <col min="15115" max="15115" width="21.81640625" bestFit="1" customWidth="1"/>
    <col min="15116" max="15116" width="10.1796875" bestFit="1" customWidth="1"/>
    <col min="15117" max="15118" width="8.54296875" bestFit="1" customWidth="1"/>
    <col min="15119" max="15119" width="9.1796875" customWidth="1"/>
    <col min="15361" max="15361" width="32.1796875" customWidth="1"/>
    <col min="15363" max="15363" width="8" bestFit="1" customWidth="1"/>
    <col min="15364" max="15365" width="8.1796875" bestFit="1" customWidth="1"/>
    <col min="15366" max="15366" width="7.26953125" bestFit="1" customWidth="1"/>
    <col min="15367" max="15367" width="10.54296875" customWidth="1"/>
    <col min="15368" max="15368" width="18.7265625" customWidth="1"/>
    <col min="15369" max="15369" width="13.54296875" bestFit="1" customWidth="1"/>
    <col min="15370" max="15370" width="11.81640625" customWidth="1"/>
    <col min="15371" max="15371" width="21.81640625" bestFit="1" customWidth="1"/>
    <col min="15372" max="15372" width="10.1796875" bestFit="1" customWidth="1"/>
    <col min="15373" max="15374" width="8.54296875" bestFit="1" customWidth="1"/>
    <col min="15375" max="15375" width="9.1796875" customWidth="1"/>
    <col min="15617" max="15617" width="32.1796875" customWidth="1"/>
    <col min="15619" max="15619" width="8" bestFit="1" customWidth="1"/>
    <col min="15620" max="15621" width="8.1796875" bestFit="1" customWidth="1"/>
    <col min="15622" max="15622" width="7.26953125" bestFit="1" customWidth="1"/>
    <col min="15623" max="15623" width="10.54296875" customWidth="1"/>
    <col min="15624" max="15624" width="18.7265625" customWidth="1"/>
    <col min="15625" max="15625" width="13.54296875" bestFit="1" customWidth="1"/>
    <col min="15626" max="15626" width="11.81640625" customWidth="1"/>
    <col min="15627" max="15627" width="21.81640625" bestFit="1" customWidth="1"/>
    <col min="15628" max="15628" width="10.1796875" bestFit="1" customWidth="1"/>
    <col min="15629" max="15630" width="8.54296875" bestFit="1" customWidth="1"/>
    <col min="15631" max="15631" width="9.1796875" customWidth="1"/>
    <col min="15873" max="15873" width="32.1796875" customWidth="1"/>
    <col min="15875" max="15875" width="8" bestFit="1" customWidth="1"/>
    <col min="15876" max="15877" width="8.1796875" bestFit="1" customWidth="1"/>
    <col min="15878" max="15878" width="7.26953125" bestFit="1" customWidth="1"/>
    <col min="15879" max="15879" width="10.54296875" customWidth="1"/>
    <col min="15880" max="15880" width="18.7265625" customWidth="1"/>
    <col min="15881" max="15881" width="13.54296875" bestFit="1" customWidth="1"/>
    <col min="15882" max="15882" width="11.81640625" customWidth="1"/>
    <col min="15883" max="15883" width="21.81640625" bestFit="1" customWidth="1"/>
    <col min="15884" max="15884" width="10.1796875" bestFit="1" customWidth="1"/>
    <col min="15885" max="15886" width="8.54296875" bestFit="1" customWidth="1"/>
    <col min="15887" max="15887" width="9.1796875" customWidth="1"/>
    <col min="16129" max="16129" width="32.1796875" customWidth="1"/>
    <col min="16131" max="16131" width="8" bestFit="1" customWidth="1"/>
    <col min="16132" max="16133" width="8.1796875" bestFit="1" customWidth="1"/>
    <col min="16134" max="16134" width="7.26953125" bestFit="1" customWidth="1"/>
    <col min="16135" max="16135" width="10.54296875" customWidth="1"/>
    <col min="16136" max="16136" width="18.7265625" customWidth="1"/>
    <col min="16137" max="16137" width="13.54296875" bestFit="1" customWidth="1"/>
    <col min="16138" max="16138" width="11.81640625" customWidth="1"/>
    <col min="16139" max="16139" width="21.81640625" bestFit="1" customWidth="1"/>
    <col min="16140" max="16140" width="10.1796875" bestFit="1" customWidth="1"/>
    <col min="16141" max="16142" width="8.54296875" bestFit="1" customWidth="1"/>
    <col min="16143" max="16143" width="9.1796875" customWidth="1"/>
  </cols>
  <sheetData>
    <row r="1" spans="1:15" s="5" customFormat="1" ht="52.5">
      <c r="A1" s="1" t="s">
        <v>0</v>
      </c>
      <c r="B1" s="2" t="s">
        <v>1</v>
      </c>
      <c r="C1" s="2" t="s">
        <v>2</v>
      </c>
      <c r="D1" s="2" t="s">
        <v>3</v>
      </c>
      <c r="E1" s="2" t="s">
        <v>4</v>
      </c>
      <c r="F1" s="2" t="s">
        <v>5</v>
      </c>
      <c r="G1" s="260" t="s">
        <v>6</v>
      </c>
      <c r="H1" s="3" t="s">
        <v>702</v>
      </c>
      <c r="I1" s="2" t="s">
        <v>703</v>
      </c>
      <c r="J1" s="2" t="s">
        <v>704</v>
      </c>
      <c r="K1" s="2" t="s">
        <v>705</v>
      </c>
      <c r="L1" s="2" t="s">
        <v>10</v>
      </c>
      <c r="M1" s="2" t="s">
        <v>706</v>
      </c>
      <c r="N1" s="2" t="s">
        <v>12</v>
      </c>
      <c r="O1" s="261" t="s">
        <v>508</v>
      </c>
    </row>
    <row r="2" spans="1:15" s="11" customFormat="1" ht="10.5">
      <c r="A2" s="6" t="s">
        <v>878</v>
      </c>
      <c r="B2" s="7" t="s">
        <v>14</v>
      </c>
      <c r="C2" s="7" t="s">
        <v>709</v>
      </c>
      <c r="D2" s="7">
        <v>1</v>
      </c>
      <c r="E2" s="7">
        <f>E8</f>
        <v>50</v>
      </c>
      <c r="F2" s="7">
        <f>SUM(F3:F8)</f>
        <v>50</v>
      </c>
      <c r="G2" s="163"/>
      <c r="H2" s="163"/>
      <c r="I2" s="9"/>
      <c r="J2" s="9"/>
      <c r="K2" s="7"/>
      <c r="L2" s="7"/>
      <c r="M2" s="7"/>
      <c r="N2" s="163" t="s">
        <v>879</v>
      </c>
      <c r="O2" s="262"/>
    </row>
    <row r="3" spans="1:15" s="11" customFormat="1" ht="41">
      <c r="A3" s="12" t="s">
        <v>17</v>
      </c>
      <c r="B3" s="13" t="s">
        <v>18</v>
      </c>
      <c r="C3" s="14">
        <v>1</v>
      </c>
      <c r="D3" s="14">
        <v>1</v>
      </c>
      <c r="E3" s="14">
        <f t="shared" ref="E3:E8" si="0">D3+F3-1</f>
        <v>1</v>
      </c>
      <c r="F3" s="14">
        <v>1</v>
      </c>
      <c r="G3" s="263" t="s">
        <v>19</v>
      </c>
      <c r="H3" s="263"/>
      <c r="I3" s="16"/>
      <c r="J3" s="16"/>
      <c r="K3" s="14"/>
      <c r="L3" s="14"/>
      <c r="M3" s="14"/>
      <c r="N3" s="168" t="s">
        <v>290</v>
      </c>
      <c r="O3" s="173"/>
    </row>
    <row r="4" spans="1:15" s="23" customFormat="1" ht="30.5">
      <c r="A4" s="64" t="s">
        <v>710</v>
      </c>
      <c r="B4" s="264" t="s">
        <v>711</v>
      </c>
      <c r="C4" s="19">
        <v>2</v>
      </c>
      <c r="D4" s="19">
        <f>E3+1</f>
        <v>2</v>
      </c>
      <c r="E4" s="19">
        <f t="shared" si="0"/>
        <v>16</v>
      </c>
      <c r="F4" s="19">
        <v>15</v>
      </c>
      <c r="G4" s="265" t="s">
        <v>712</v>
      </c>
      <c r="H4" s="265"/>
      <c r="I4" s="66"/>
      <c r="J4" s="66"/>
      <c r="K4" s="19"/>
      <c r="L4" s="19"/>
      <c r="M4" s="19"/>
      <c r="N4" s="172"/>
      <c r="O4" s="173"/>
    </row>
    <row r="5" spans="1:15" s="23" customFormat="1" ht="20.5">
      <c r="A5" s="64" t="s">
        <v>713</v>
      </c>
      <c r="B5" s="264" t="s">
        <v>714</v>
      </c>
      <c r="C5" s="19">
        <v>3</v>
      </c>
      <c r="D5" s="19">
        <f>E4+1</f>
        <v>17</v>
      </c>
      <c r="E5" s="19">
        <f t="shared" si="0"/>
        <v>26</v>
      </c>
      <c r="F5" s="19">
        <v>10</v>
      </c>
      <c r="G5" s="265" t="s">
        <v>715</v>
      </c>
      <c r="H5" s="265"/>
      <c r="I5" s="66"/>
      <c r="J5" s="66"/>
      <c r="K5" s="19"/>
      <c r="L5" s="19"/>
      <c r="M5" s="19"/>
      <c r="N5" s="172"/>
      <c r="O5" s="173"/>
    </row>
    <row r="6" spans="1:15" s="23" customFormat="1">
      <c r="A6" s="64" t="s">
        <v>215</v>
      </c>
      <c r="B6" s="264" t="s">
        <v>216</v>
      </c>
      <c r="C6" s="19">
        <v>4</v>
      </c>
      <c r="D6" s="19">
        <f>E7+1</f>
        <v>42</v>
      </c>
      <c r="E6" s="19">
        <f t="shared" si="0"/>
        <v>49</v>
      </c>
      <c r="F6" s="19">
        <v>8</v>
      </c>
      <c r="G6" s="265" t="s">
        <v>716</v>
      </c>
      <c r="H6" s="265"/>
      <c r="I6" s="174"/>
      <c r="J6" s="174"/>
      <c r="K6" s="19"/>
      <c r="L6" s="19"/>
      <c r="M6" s="19"/>
      <c r="N6" s="172"/>
      <c r="O6" s="173"/>
    </row>
    <row r="7" spans="1:15" s="11" customFormat="1" ht="21">
      <c r="A7" s="64" t="s">
        <v>717</v>
      </c>
      <c r="B7" s="264" t="s">
        <v>711</v>
      </c>
      <c r="C7" s="14">
        <v>5</v>
      </c>
      <c r="D7" s="19">
        <f>E5+1</f>
        <v>27</v>
      </c>
      <c r="E7" s="19">
        <f t="shared" si="0"/>
        <v>41</v>
      </c>
      <c r="F7" s="19">
        <v>15</v>
      </c>
      <c r="G7" s="266" t="s">
        <v>2145</v>
      </c>
      <c r="H7" s="266"/>
      <c r="I7" s="26"/>
      <c r="J7" s="26"/>
      <c r="K7" s="14"/>
      <c r="L7" s="14"/>
      <c r="M7" s="14"/>
      <c r="N7" s="168" t="s">
        <v>879</v>
      </c>
      <c r="O7" s="173"/>
    </row>
    <row r="8" spans="1:15" s="23" customFormat="1" ht="20">
      <c r="A8" s="80" t="s">
        <v>719</v>
      </c>
      <c r="B8" s="18" t="s">
        <v>720</v>
      </c>
      <c r="C8" s="19">
        <v>6</v>
      </c>
      <c r="D8" s="19">
        <f>E6+1</f>
        <v>50</v>
      </c>
      <c r="E8" s="19">
        <f t="shared" si="0"/>
        <v>50</v>
      </c>
      <c r="F8" s="19">
        <v>1</v>
      </c>
      <c r="G8" s="265" t="s">
        <v>721</v>
      </c>
      <c r="H8" s="265"/>
      <c r="I8" s="66"/>
      <c r="J8" s="66"/>
      <c r="K8" s="19"/>
      <c r="L8" s="19"/>
      <c r="M8" s="19"/>
      <c r="N8" s="172"/>
      <c r="O8" s="173"/>
    </row>
    <row r="9" spans="1:15" s="11" customFormat="1" ht="15.75" customHeight="1">
      <c r="A9" s="6" t="s">
        <v>722</v>
      </c>
      <c r="B9" s="7" t="s">
        <v>14</v>
      </c>
      <c r="C9" s="27" t="s">
        <v>709</v>
      </c>
      <c r="D9" s="7">
        <v>1</v>
      </c>
      <c r="E9" s="7">
        <f>E32</f>
        <v>183</v>
      </c>
      <c r="F9" s="7">
        <f>SUM(F10:F32)</f>
        <v>213</v>
      </c>
      <c r="G9" s="267"/>
      <c r="H9" s="267"/>
      <c r="I9" s="29"/>
      <c r="J9" s="29"/>
      <c r="K9" s="7"/>
      <c r="L9" s="7"/>
      <c r="M9" s="7"/>
      <c r="N9" s="163" t="s">
        <v>879</v>
      </c>
      <c r="O9" s="262"/>
    </row>
    <row r="10" spans="1:15" s="11" customFormat="1" ht="41">
      <c r="A10" s="30" t="s">
        <v>723</v>
      </c>
      <c r="B10" s="13" t="s">
        <v>18</v>
      </c>
      <c r="C10" s="14">
        <v>7</v>
      </c>
      <c r="D10" s="31">
        <v>1</v>
      </c>
      <c r="E10" s="14">
        <f>D10+F10-1</f>
        <v>1</v>
      </c>
      <c r="F10" s="31">
        <v>1</v>
      </c>
      <c r="G10" s="263" t="s">
        <v>38</v>
      </c>
      <c r="H10" s="263"/>
      <c r="I10" s="16"/>
      <c r="J10" s="16"/>
      <c r="K10" s="31"/>
      <c r="L10" s="31"/>
      <c r="M10" s="31"/>
      <c r="N10" s="168" t="s">
        <v>724</v>
      </c>
      <c r="O10" s="173"/>
    </row>
    <row r="11" spans="1:15" s="11" customFormat="1" ht="30.5">
      <c r="A11" s="177" t="s">
        <v>725</v>
      </c>
      <c r="B11" s="13" t="s">
        <v>536</v>
      </c>
      <c r="C11" s="14">
        <v>8</v>
      </c>
      <c r="D11" s="14">
        <f>E10+1</f>
        <v>2</v>
      </c>
      <c r="E11" s="14">
        <f t="shared" ref="E11:E32" si="1">D11+F11-1</f>
        <v>14</v>
      </c>
      <c r="F11" s="14">
        <v>13</v>
      </c>
      <c r="H11" s="263" t="s">
        <v>880</v>
      </c>
      <c r="I11" s="16" t="s">
        <v>297</v>
      </c>
      <c r="J11" s="16" t="s">
        <v>881</v>
      </c>
      <c r="K11" s="71" t="s">
        <v>882</v>
      </c>
      <c r="L11" s="14" t="s">
        <v>730</v>
      </c>
      <c r="M11" s="179" t="s">
        <v>731</v>
      </c>
      <c r="N11" s="168" t="s">
        <v>290</v>
      </c>
      <c r="O11" s="173" t="s">
        <v>732</v>
      </c>
    </row>
    <row r="12" spans="1:15" s="11" customFormat="1" ht="20.5">
      <c r="A12" s="268" t="s">
        <v>883</v>
      </c>
      <c r="B12" s="13" t="s">
        <v>884</v>
      </c>
      <c r="C12" s="14">
        <v>9</v>
      </c>
      <c r="D12" s="14">
        <f t="shared" ref="D12:D30" si="2">E11+1</f>
        <v>15</v>
      </c>
      <c r="E12" s="14">
        <f t="shared" si="1"/>
        <v>22</v>
      </c>
      <c r="F12" s="14">
        <v>8</v>
      </c>
      <c r="H12" s="61" t="s">
        <v>885</v>
      </c>
      <c r="I12" s="16" t="s">
        <v>297</v>
      </c>
      <c r="J12" s="16" t="s">
        <v>881</v>
      </c>
      <c r="K12" s="269" t="s">
        <v>886</v>
      </c>
      <c r="L12" s="14" t="s">
        <v>730</v>
      </c>
      <c r="M12" s="179" t="s">
        <v>887</v>
      </c>
      <c r="N12" s="168" t="s">
        <v>290</v>
      </c>
      <c r="O12" s="173" t="s">
        <v>732</v>
      </c>
    </row>
    <row r="13" spans="1:15" s="11" customFormat="1" ht="25">
      <c r="A13" s="268" t="s">
        <v>888</v>
      </c>
      <c r="B13" s="13" t="s">
        <v>884</v>
      </c>
      <c r="C13" s="14">
        <v>10</v>
      </c>
      <c r="D13" s="14">
        <f t="shared" si="2"/>
        <v>23</v>
      </c>
      <c r="E13" s="14">
        <f t="shared" si="1"/>
        <v>30</v>
      </c>
      <c r="F13" s="14">
        <v>8</v>
      </c>
      <c r="H13" s="61" t="s">
        <v>889</v>
      </c>
      <c r="I13" s="16" t="s">
        <v>297</v>
      </c>
      <c r="J13" s="16" t="s">
        <v>881</v>
      </c>
      <c r="K13" s="269" t="s">
        <v>890</v>
      </c>
      <c r="L13" s="14" t="s">
        <v>730</v>
      </c>
      <c r="M13" s="179" t="s">
        <v>891</v>
      </c>
      <c r="N13" s="168" t="s">
        <v>290</v>
      </c>
      <c r="O13" s="173" t="s">
        <v>732</v>
      </c>
    </row>
    <row r="14" spans="1:15" s="11" customFormat="1" ht="20.5">
      <c r="A14" s="268" t="s">
        <v>892</v>
      </c>
      <c r="B14" s="13" t="s">
        <v>769</v>
      </c>
      <c r="C14" s="14">
        <v>11</v>
      </c>
      <c r="D14" s="14">
        <f t="shared" si="2"/>
        <v>31</v>
      </c>
      <c r="E14" s="14">
        <f t="shared" si="1"/>
        <v>34</v>
      </c>
      <c r="F14" s="14">
        <v>4</v>
      </c>
      <c r="G14" s="61"/>
      <c r="H14" s="61"/>
      <c r="I14" s="16" t="s">
        <v>297</v>
      </c>
      <c r="J14" s="16" t="s">
        <v>881</v>
      </c>
      <c r="K14" s="269" t="s">
        <v>893</v>
      </c>
      <c r="L14" s="14" t="s">
        <v>730</v>
      </c>
      <c r="M14" s="179" t="s">
        <v>894</v>
      </c>
      <c r="N14" s="168" t="s">
        <v>290</v>
      </c>
      <c r="O14" s="173" t="s">
        <v>732</v>
      </c>
    </row>
    <row r="15" spans="1:15" s="11" customFormat="1" ht="20.5">
      <c r="A15" s="268" t="s">
        <v>895</v>
      </c>
      <c r="B15" s="13" t="s">
        <v>528</v>
      </c>
      <c r="C15" s="14">
        <v>12</v>
      </c>
      <c r="D15" s="14">
        <f t="shared" si="2"/>
        <v>35</v>
      </c>
      <c r="E15" s="14">
        <f t="shared" si="1"/>
        <v>48</v>
      </c>
      <c r="F15" s="14">
        <v>14</v>
      </c>
      <c r="G15" s="61"/>
      <c r="H15" s="61"/>
      <c r="I15" s="16" t="s">
        <v>297</v>
      </c>
      <c r="J15" s="16" t="s">
        <v>881</v>
      </c>
      <c r="K15" s="76" t="s">
        <v>896</v>
      </c>
      <c r="L15" s="14" t="s">
        <v>730</v>
      </c>
      <c r="M15" s="179" t="s">
        <v>897</v>
      </c>
      <c r="N15" s="168" t="s">
        <v>290</v>
      </c>
      <c r="O15" s="173" t="s">
        <v>732</v>
      </c>
    </row>
    <row r="16" spans="1:15" s="11" customFormat="1" ht="20.5">
      <c r="A16" s="268" t="s">
        <v>898</v>
      </c>
      <c r="B16" s="13" t="s">
        <v>779</v>
      </c>
      <c r="C16" s="14">
        <v>13</v>
      </c>
      <c r="D16" s="14">
        <f t="shared" si="2"/>
        <v>49</v>
      </c>
      <c r="E16" s="14">
        <f t="shared" si="1"/>
        <v>54</v>
      </c>
      <c r="F16" s="14">
        <v>6</v>
      </c>
      <c r="G16" s="61"/>
      <c r="H16" s="61"/>
      <c r="I16" s="16" t="s">
        <v>297</v>
      </c>
      <c r="J16" s="16" t="s">
        <v>881</v>
      </c>
      <c r="K16" s="76" t="s">
        <v>899</v>
      </c>
      <c r="L16" s="14" t="s">
        <v>730</v>
      </c>
      <c r="M16" s="179" t="s">
        <v>900</v>
      </c>
      <c r="N16" s="168" t="s">
        <v>290</v>
      </c>
      <c r="O16" s="173" t="s">
        <v>732</v>
      </c>
    </row>
    <row r="17" spans="1:15" s="11" customFormat="1" ht="25">
      <c r="A17" s="268" t="s">
        <v>901</v>
      </c>
      <c r="B17" s="13" t="s">
        <v>902</v>
      </c>
      <c r="C17" s="14">
        <v>14</v>
      </c>
      <c r="D17" s="14">
        <f t="shared" si="2"/>
        <v>55</v>
      </c>
      <c r="E17" s="14">
        <f t="shared" si="1"/>
        <v>60</v>
      </c>
      <c r="F17" s="14">
        <v>6</v>
      </c>
      <c r="H17" s="61" t="s">
        <v>903</v>
      </c>
      <c r="I17" s="16" t="s">
        <v>297</v>
      </c>
      <c r="J17" s="16" t="s">
        <v>881</v>
      </c>
      <c r="K17" s="76" t="s">
        <v>904</v>
      </c>
      <c r="L17" s="14" t="s">
        <v>730</v>
      </c>
      <c r="M17" s="179" t="s">
        <v>905</v>
      </c>
      <c r="N17" s="168" t="s">
        <v>290</v>
      </c>
      <c r="O17" s="173" t="s">
        <v>732</v>
      </c>
    </row>
    <row r="18" spans="1:15" s="11" customFormat="1" ht="30.5">
      <c r="A18" s="270" t="s">
        <v>906</v>
      </c>
      <c r="B18" s="13" t="s">
        <v>18</v>
      </c>
      <c r="C18" s="14">
        <v>15</v>
      </c>
      <c r="D18" s="14">
        <f t="shared" si="2"/>
        <v>61</v>
      </c>
      <c r="E18" s="14">
        <f t="shared" si="1"/>
        <v>61</v>
      </c>
      <c r="F18" s="14">
        <v>1</v>
      </c>
      <c r="G18" s="263" t="s">
        <v>907</v>
      </c>
      <c r="H18" s="263"/>
      <c r="I18" s="16" t="s">
        <v>297</v>
      </c>
      <c r="J18" s="16" t="s">
        <v>881</v>
      </c>
      <c r="K18" s="76" t="s">
        <v>908</v>
      </c>
      <c r="L18" s="14" t="s">
        <v>730</v>
      </c>
      <c r="M18" s="179" t="s">
        <v>909</v>
      </c>
      <c r="N18" s="168" t="s">
        <v>290</v>
      </c>
      <c r="O18" s="173" t="s">
        <v>732</v>
      </c>
    </row>
    <row r="19" spans="1:15" s="11" customFormat="1" ht="40.5">
      <c r="A19" s="270" t="s">
        <v>910</v>
      </c>
      <c r="B19" s="13" t="s">
        <v>18</v>
      </c>
      <c r="C19" s="14">
        <v>16</v>
      </c>
      <c r="D19" s="14">
        <f t="shared" si="2"/>
        <v>62</v>
      </c>
      <c r="E19" s="14">
        <f t="shared" si="1"/>
        <v>62</v>
      </c>
      <c r="F19" s="14">
        <v>1</v>
      </c>
      <c r="G19" s="263" t="s">
        <v>911</v>
      </c>
      <c r="H19" s="263"/>
      <c r="I19" s="16" t="s">
        <v>297</v>
      </c>
      <c r="J19" s="16" t="s">
        <v>881</v>
      </c>
      <c r="K19" s="76" t="s">
        <v>912</v>
      </c>
      <c r="L19" s="14" t="s">
        <v>730</v>
      </c>
      <c r="M19" s="179" t="s">
        <v>913</v>
      </c>
      <c r="N19" s="168" t="s">
        <v>290</v>
      </c>
      <c r="O19" s="173" t="s">
        <v>732</v>
      </c>
    </row>
    <row r="20" spans="1:15" s="11" customFormat="1" ht="30.5">
      <c r="A20" s="271" t="s">
        <v>914</v>
      </c>
      <c r="B20" s="13" t="s">
        <v>18</v>
      </c>
      <c r="C20" s="14">
        <v>17</v>
      </c>
      <c r="D20" s="14">
        <f t="shared" si="2"/>
        <v>63</v>
      </c>
      <c r="E20" s="14">
        <f t="shared" si="1"/>
        <v>63</v>
      </c>
      <c r="F20" s="14">
        <v>1</v>
      </c>
      <c r="G20" s="263" t="s">
        <v>915</v>
      </c>
      <c r="H20" s="263"/>
      <c r="I20" s="16" t="s">
        <v>297</v>
      </c>
      <c r="J20" s="16" t="s">
        <v>881</v>
      </c>
      <c r="K20" s="76" t="s">
        <v>916</v>
      </c>
      <c r="L20" s="14" t="s">
        <v>730</v>
      </c>
      <c r="M20" s="179" t="s">
        <v>917</v>
      </c>
      <c r="N20" s="168" t="s">
        <v>290</v>
      </c>
      <c r="O20" s="173" t="s">
        <v>732</v>
      </c>
    </row>
    <row r="21" spans="1:15" s="11" customFormat="1" ht="20.5">
      <c r="A21" s="268" t="s">
        <v>918</v>
      </c>
      <c r="B21" s="13" t="s">
        <v>536</v>
      </c>
      <c r="C21" s="14">
        <v>18</v>
      </c>
      <c r="D21" s="14">
        <f t="shared" si="2"/>
        <v>64</v>
      </c>
      <c r="E21" s="14">
        <f t="shared" si="1"/>
        <v>74</v>
      </c>
      <c r="F21" s="14">
        <v>11</v>
      </c>
      <c r="G21" s="61"/>
      <c r="H21" s="61"/>
      <c r="I21" s="16" t="s">
        <v>297</v>
      </c>
      <c r="J21" s="16" t="s">
        <v>881</v>
      </c>
      <c r="K21" s="76" t="s">
        <v>919</v>
      </c>
      <c r="L21" s="14" t="s">
        <v>730</v>
      </c>
      <c r="M21" s="179" t="s">
        <v>920</v>
      </c>
      <c r="N21" s="168" t="s">
        <v>290</v>
      </c>
      <c r="O21" s="173" t="s">
        <v>732</v>
      </c>
    </row>
    <row r="22" spans="1:15" s="11" customFormat="1" ht="20.5">
      <c r="A22" s="268" t="s">
        <v>921</v>
      </c>
      <c r="B22" s="13" t="s">
        <v>18</v>
      </c>
      <c r="C22" s="14">
        <v>19</v>
      </c>
      <c r="D22" s="14">
        <f t="shared" si="2"/>
        <v>75</v>
      </c>
      <c r="E22" s="14">
        <f t="shared" si="1"/>
        <v>75</v>
      </c>
      <c r="F22" s="14">
        <v>1</v>
      </c>
      <c r="G22" s="61" t="s">
        <v>922</v>
      </c>
      <c r="H22" s="61"/>
      <c r="I22" s="16" t="s">
        <v>297</v>
      </c>
      <c r="J22" s="16" t="s">
        <v>881</v>
      </c>
      <c r="K22" s="76" t="s">
        <v>923</v>
      </c>
      <c r="L22" s="14" t="s">
        <v>730</v>
      </c>
      <c r="M22" s="179" t="s">
        <v>924</v>
      </c>
      <c r="N22" s="168" t="s">
        <v>290</v>
      </c>
      <c r="O22" s="173" t="s">
        <v>732</v>
      </c>
    </row>
    <row r="23" spans="1:15" s="11" customFormat="1" ht="20.5">
      <c r="A23" s="268" t="s">
        <v>925</v>
      </c>
      <c r="B23" s="13" t="s">
        <v>55</v>
      </c>
      <c r="C23" s="14">
        <v>20</v>
      </c>
      <c r="D23" s="14">
        <f t="shared" si="2"/>
        <v>76</v>
      </c>
      <c r="E23" s="14">
        <f t="shared" si="1"/>
        <v>135</v>
      </c>
      <c r="F23" s="14">
        <v>60</v>
      </c>
      <c r="H23" s="180" t="s">
        <v>738</v>
      </c>
      <c r="I23" s="16" t="s">
        <v>297</v>
      </c>
      <c r="J23" s="16" t="s">
        <v>881</v>
      </c>
      <c r="K23" s="76" t="s">
        <v>926</v>
      </c>
      <c r="L23" s="14" t="s">
        <v>730</v>
      </c>
      <c r="M23" s="179" t="s">
        <v>927</v>
      </c>
      <c r="N23" s="168" t="s">
        <v>290</v>
      </c>
      <c r="O23" s="173" t="s">
        <v>732</v>
      </c>
    </row>
    <row r="24" spans="1:15" s="11" customFormat="1" ht="20.5">
      <c r="A24" s="268" t="s">
        <v>928</v>
      </c>
      <c r="B24" s="13" t="s">
        <v>691</v>
      </c>
      <c r="C24" s="14">
        <v>21</v>
      </c>
      <c r="D24" s="14">
        <f t="shared" si="2"/>
        <v>136</v>
      </c>
      <c r="E24" s="14">
        <f t="shared" si="1"/>
        <v>149</v>
      </c>
      <c r="F24" s="14">
        <v>14</v>
      </c>
      <c r="G24" s="61"/>
      <c r="H24" s="61"/>
      <c r="I24" s="16" t="s">
        <v>798</v>
      </c>
      <c r="J24" s="16" t="s">
        <v>881</v>
      </c>
      <c r="K24" s="76" t="s">
        <v>929</v>
      </c>
      <c r="L24" s="14" t="s">
        <v>730</v>
      </c>
      <c r="M24" s="179" t="s">
        <v>930</v>
      </c>
      <c r="N24" s="168" t="s">
        <v>290</v>
      </c>
      <c r="O24" s="173" t="s">
        <v>732</v>
      </c>
    </row>
    <row r="25" spans="1:15" s="11" customFormat="1" ht="20.5">
      <c r="A25" s="270" t="s">
        <v>931</v>
      </c>
      <c r="B25" s="13" t="s">
        <v>18</v>
      </c>
      <c r="C25" s="14">
        <v>22</v>
      </c>
      <c r="D25" s="14">
        <f t="shared" si="2"/>
        <v>150</v>
      </c>
      <c r="E25" s="14">
        <f t="shared" si="1"/>
        <v>150</v>
      </c>
      <c r="F25" s="14">
        <v>1</v>
      </c>
      <c r="G25" s="61" t="s">
        <v>932</v>
      </c>
      <c r="H25" s="61"/>
      <c r="I25" s="16" t="s">
        <v>297</v>
      </c>
      <c r="J25" s="16" t="s">
        <v>881</v>
      </c>
      <c r="K25" s="76" t="s">
        <v>933</v>
      </c>
      <c r="L25" s="14" t="s">
        <v>730</v>
      </c>
      <c r="M25" s="179" t="s">
        <v>934</v>
      </c>
      <c r="N25" s="168" t="s">
        <v>290</v>
      </c>
      <c r="O25" s="173" t="s">
        <v>732</v>
      </c>
    </row>
    <row r="26" spans="1:15" s="11" customFormat="1" ht="20.5">
      <c r="A26" s="268" t="s">
        <v>935</v>
      </c>
      <c r="B26" s="13" t="s">
        <v>691</v>
      </c>
      <c r="C26" s="14">
        <v>23</v>
      </c>
      <c r="D26" s="14">
        <f t="shared" si="2"/>
        <v>151</v>
      </c>
      <c r="E26" s="14">
        <f t="shared" si="1"/>
        <v>164</v>
      </c>
      <c r="F26" s="14">
        <v>14</v>
      </c>
      <c r="G26" s="61"/>
      <c r="H26" s="61"/>
      <c r="I26" s="16" t="s">
        <v>798</v>
      </c>
      <c r="J26" s="16" t="s">
        <v>881</v>
      </c>
      <c r="K26" s="76" t="s">
        <v>936</v>
      </c>
      <c r="L26" s="14" t="s">
        <v>730</v>
      </c>
      <c r="M26" s="179" t="s">
        <v>937</v>
      </c>
      <c r="N26" s="168" t="s">
        <v>290</v>
      </c>
      <c r="O26" s="173" t="s">
        <v>732</v>
      </c>
    </row>
    <row r="27" spans="1:15" s="11" customFormat="1" ht="20.5">
      <c r="A27" s="272" t="s">
        <v>938</v>
      </c>
      <c r="B27" s="13" t="s">
        <v>216</v>
      </c>
      <c r="C27" s="14">
        <v>24</v>
      </c>
      <c r="D27" s="14">
        <f t="shared" si="2"/>
        <v>165</v>
      </c>
      <c r="E27" s="14">
        <f t="shared" si="1"/>
        <v>172</v>
      </c>
      <c r="F27" s="14">
        <v>8</v>
      </c>
      <c r="H27" s="61" t="s">
        <v>939</v>
      </c>
      <c r="I27" s="16" t="s">
        <v>798</v>
      </c>
      <c r="J27" s="16" t="s">
        <v>881</v>
      </c>
      <c r="K27" s="76" t="s">
        <v>940</v>
      </c>
      <c r="L27" s="14" t="s">
        <v>730</v>
      </c>
      <c r="M27" s="179">
        <v>814</v>
      </c>
      <c r="N27" s="168" t="s">
        <v>290</v>
      </c>
      <c r="O27" s="173" t="s">
        <v>732</v>
      </c>
    </row>
    <row r="28" spans="1:15" s="11" customFormat="1" ht="20.5">
      <c r="A28" s="272" t="s">
        <v>941</v>
      </c>
      <c r="B28" s="13" t="s">
        <v>216</v>
      </c>
      <c r="C28" s="14">
        <v>25</v>
      </c>
      <c r="D28" s="14">
        <f t="shared" si="2"/>
        <v>173</v>
      </c>
      <c r="E28" s="14">
        <f t="shared" si="1"/>
        <v>180</v>
      </c>
      <c r="F28" s="14">
        <v>8</v>
      </c>
      <c r="H28" s="61" t="s">
        <v>939</v>
      </c>
      <c r="I28" s="16" t="s">
        <v>798</v>
      </c>
      <c r="J28" s="16" t="s">
        <v>881</v>
      </c>
      <c r="K28" s="76" t="s">
        <v>942</v>
      </c>
      <c r="L28" s="14" t="s">
        <v>730</v>
      </c>
      <c r="M28" s="179">
        <v>815</v>
      </c>
      <c r="N28" s="168" t="s">
        <v>290</v>
      </c>
      <c r="O28" s="173" t="s">
        <v>732</v>
      </c>
    </row>
    <row r="29" spans="1:15" s="189" customFormat="1" ht="90.5">
      <c r="A29" s="11" t="s">
        <v>943</v>
      </c>
      <c r="B29" s="13" t="s">
        <v>18</v>
      </c>
      <c r="C29" s="14">
        <v>26</v>
      </c>
      <c r="D29" s="14">
        <f t="shared" si="2"/>
        <v>181</v>
      </c>
      <c r="E29" s="14">
        <f t="shared" si="1"/>
        <v>181</v>
      </c>
      <c r="F29" s="14">
        <v>1</v>
      </c>
      <c r="G29" s="263" t="s">
        <v>944</v>
      </c>
      <c r="H29" s="263"/>
      <c r="I29" s="16" t="s">
        <v>526</v>
      </c>
      <c r="J29" s="16" t="s">
        <v>945</v>
      </c>
      <c r="K29" s="273" t="s">
        <v>946</v>
      </c>
      <c r="L29" s="14" t="s">
        <v>846</v>
      </c>
      <c r="M29" s="179">
        <v>812</v>
      </c>
      <c r="N29" s="168" t="s">
        <v>511</v>
      </c>
      <c r="O29" s="173" t="s">
        <v>562</v>
      </c>
    </row>
    <row r="30" spans="1:15" s="189" customFormat="1" ht="20.5">
      <c r="A30" s="11" t="s">
        <v>947</v>
      </c>
      <c r="B30" s="13" t="s">
        <v>18</v>
      </c>
      <c r="C30" s="14">
        <v>27</v>
      </c>
      <c r="D30" s="14">
        <f t="shared" si="2"/>
        <v>182</v>
      </c>
      <c r="E30" s="14">
        <f t="shared" si="1"/>
        <v>182</v>
      </c>
      <c r="F30" s="14">
        <v>1</v>
      </c>
      <c r="G30" s="61" t="s">
        <v>948</v>
      </c>
      <c r="H30" s="61"/>
      <c r="I30" s="16" t="s">
        <v>526</v>
      </c>
      <c r="J30" s="16" t="s">
        <v>945</v>
      </c>
      <c r="K30" s="273" t="s">
        <v>949</v>
      </c>
      <c r="L30" s="14" t="s">
        <v>846</v>
      </c>
      <c r="M30" s="179">
        <v>813</v>
      </c>
      <c r="N30" s="168" t="s">
        <v>511</v>
      </c>
      <c r="O30" s="173" t="s">
        <v>562</v>
      </c>
    </row>
    <row r="31" spans="1:15" s="199" customFormat="1" ht="30.5">
      <c r="A31" s="274" t="s">
        <v>950</v>
      </c>
      <c r="B31" s="275" t="s">
        <v>540</v>
      </c>
      <c r="C31" s="276">
        <v>42</v>
      </c>
      <c r="D31" s="277">
        <f>'[1]BATCH-CUSTOM-REC'!E41+1</f>
        <v>281</v>
      </c>
      <c r="E31" s="277">
        <f>D31+F31-1</f>
        <v>310</v>
      </c>
      <c r="F31" s="277">
        <v>30</v>
      </c>
      <c r="G31" s="278" t="s">
        <v>951</v>
      </c>
      <c r="H31" s="194"/>
      <c r="I31" s="188" t="s">
        <v>526</v>
      </c>
      <c r="J31" s="188" t="s">
        <v>945</v>
      </c>
      <c r="K31" s="69" t="s">
        <v>952</v>
      </c>
      <c r="L31" s="14" t="s">
        <v>846</v>
      </c>
      <c r="M31" s="197"/>
      <c r="N31" s="168" t="s">
        <v>511</v>
      </c>
      <c r="O31" s="173" t="s">
        <v>562</v>
      </c>
    </row>
    <row r="32" spans="1:15" s="23" customFormat="1" ht="20">
      <c r="A32" s="80" t="s">
        <v>719</v>
      </c>
      <c r="B32" s="18" t="s">
        <v>720</v>
      </c>
      <c r="C32" s="14">
        <v>28</v>
      </c>
      <c r="D32" s="14">
        <f>E30+1</f>
        <v>183</v>
      </c>
      <c r="E32" s="14">
        <f t="shared" si="1"/>
        <v>183</v>
      </c>
      <c r="F32" s="19">
        <v>1</v>
      </c>
      <c r="G32" s="265" t="s">
        <v>721</v>
      </c>
      <c r="H32" s="265"/>
      <c r="I32" s="66"/>
      <c r="J32" s="66"/>
      <c r="K32" s="19"/>
      <c r="L32" s="19"/>
      <c r="M32" s="19"/>
      <c r="N32" s="172"/>
      <c r="O32" s="173"/>
    </row>
    <row r="33" spans="1:15" s="11" customFormat="1" ht="15.75" customHeight="1">
      <c r="A33" s="6" t="s">
        <v>858</v>
      </c>
      <c r="B33" s="7" t="s">
        <v>14</v>
      </c>
      <c r="C33" s="27" t="s">
        <v>709</v>
      </c>
      <c r="D33" s="7">
        <v>1</v>
      </c>
      <c r="E33" s="7">
        <f>E36</f>
        <v>11</v>
      </c>
      <c r="F33" s="7">
        <f>SUM(F34:F36)</f>
        <v>11</v>
      </c>
      <c r="G33" s="267"/>
      <c r="H33" s="267"/>
      <c r="I33" s="29"/>
      <c r="J33" s="29"/>
      <c r="K33" s="7"/>
      <c r="L33" s="41" t="s">
        <v>204</v>
      </c>
      <c r="M33" s="41"/>
      <c r="N33" s="163" t="s">
        <v>879</v>
      </c>
      <c r="O33" s="262"/>
    </row>
    <row r="34" spans="1:15" s="11" customFormat="1" ht="41">
      <c r="A34" s="30" t="s">
        <v>723</v>
      </c>
      <c r="B34" s="13" t="s">
        <v>18</v>
      </c>
      <c r="C34" s="14">
        <v>27</v>
      </c>
      <c r="D34" s="14">
        <v>1</v>
      </c>
      <c r="E34" s="14">
        <v>1</v>
      </c>
      <c r="F34" s="14">
        <v>1</v>
      </c>
      <c r="G34" s="263" t="s">
        <v>205</v>
      </c>
      <c r="H34" s="263"/>
      <c r="I34" s="16"/>
      <c r="J34" s="16"/>
      <c r="K34" s="14"/>
      <c r="L34" s="14"/>
      <c r="M34" s="14"/>
      <c r="N34" s="168" t="s">
        <v>290</v>
      </c>
      <c r="O34" s="173"/>
    </row>
    <row r="35" spans="1:15" s="11" customFormat="1" ht="20.5">
      <c r="A35" s="42" t="s">
        <v>206</v>
      </c>
      <c r="B35" s="13" t="s">
        <v>207</v>
      </c>
      <c r="C35" s="14">
        <v>28</v>
      </c>
      <c r="D35" s="14">
        <f>E34+1</f>
        <v>2</v>
      </c>
      <c r="E35" s="14">
        <f>D35+F35-1</f>
        <v>10</v>
      </c>
      <c r="F35" s="14">
        <v>9</v>
      </c>
      <c r="G35" s="263" t="s">
        <v>953</v>
      </c>
      <c r="H35" s="263"/>
      <c r="I35" s="16"/>
      <c r="J35" s="16"/>
      <c r="K35" s="14"/>
      <c r="L35" s="14"/>
      <c r="M35" s="14"/>
      <c r="N35" s="168" t="s">
        <v>290</v>
      </c>
      <c r="O35" s="173"/>
    </row>
    <row r="36" spans="1:15" s="23" customFormat="1" ht="20.5" thickBot="1">
      <c r="A36" s="81" t="s">
        <v>719</v>
      </c>
      <c r="B36" s="279" t="s">
        <v>720</v>
      </c>
      <c r="C36" s="202">
        <v>29</v>
      </c>
      <c r="D36" s="52">
        <f>E35+1</f>
        <v>11</v>
      </c>
      <c r="E36" s="202">
        <f>D36+F36-1</f>
        <v>11</v>
      </c>
      <c r="F36" s="202">
        <v>1</v>
      </c>
      <c r="G36" s="280" t="s">
        <v>721</v>
      </c>
      <c r="H36" s="280"/>
      <c r="I36" s="203"/>
      <c r="J36" s="203"/>
      <c r="K36" s="202"/>
      <c r="L36" s="202"/>
      <c r="M36" s="202"/>
      <c r="N36" s="204"/>
      <c r="O36" s="206"/>
    </row>
    <row r="38" spans="1:15">
      <c r="A38" s="281" t="s">
        <v>954</v>
      </c>
    </row>
    <row r="39" spans="1:15" ht="14.25" customHeight="1"/>
  </sheetData>
  <pageMargins left="0.75" right="0.75" top="1" bottom="1" header="0.5" footer="0.5"/>
  <pageSetup paperSize="9" orientation="portrait" horizontalDpi="300" verticalDpi="300" r:id="rId1"/>
  <headerFooter alignWithMargins="0">
    <oddHeader>&amp;L&amp;"Arial"&amp;9&amp;K0078D7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643FE-81B6-4F87-AA5C-BD5224F69D3D}">
  <sheetPr codeName="Sheet11"/>
  <dimension ref="A1:O20"/>
  <sheetViews>
    <sheetView topLeftCell="A10" workbookViewId="0">
      <selection activeCell="A14" sqref="A14"/>
    </sheetView>
  </sheetViews>
  <sheetFormatPr defaultRowHeight="12.5"/>
  <cols>
    <col min="1" max="1" width="25.26953125" bestFit="1" customWidth="1"/>
    <col min="3" max="3" width="8" bestFit="1" customWidth="1"/>
    <col min="4" max="5" width="8.1796875" bestFit="1" customWidth="1"/>
    <col min="6" max="6" width="7.26953125" bestFit="1" customWidth="1"/>
    <col min="7" max="7" width="39.26953125" style="208" customWidth="1"/>
    <col min="8" max="8" width="18.7265625" style="208" customWidth="1"/>
    <col min="9" max="9" width="13.54296875" bestFit="1" customWidth="1"/>
    <col min="10" max="10" width="11.81640625" customWidth="1"/>
    <col min="11" max="11" width="26.7265625" customWidth="1"/>
    <col min="12" max="12" width="10.1796875" bestFit="1" customWidth="1"/>
    <col min="13" max="14" width="8.54296875" bestFit="1" customWidth="1"/>
    <col min="15" max="15" width="9.1796875" style="23" customWidth="1"/>
    <col min="257" max="257" width="25.26953125" bestFit="1" customWidth="1"/>
    <col min="259" max="259" width="8" bestFit="1" customWidth="1"/>
    <col min="260" max="261" width="8.1796875" bestFit="1" customWidth="1"/>
    <col min="262" max="262" width="7.26953125" bestFit="1" customWidth="1"/>
    <col min="263" max="263" width="39.26953125" customWidth="1"/>
    <col min="264" max="264" width="18.7265625" customWidth="1"/>
    <col min="265" max="265" width="13.54296875" bestFit="1" customWidth="1"/>
    <col min="266" max="266" width="11.81640625" customWidth="1"/>
    <col min="267" max="267" width="26.7265625" customWidth="1"/>
    <col min="268" max="268" width="10.1796875" bestFit="1" customWidth="1"/>
    <col min="269" max="270" width="8.54296875" bestFit="1" customWidth="1"/>
    <col min="271" max="271" width="9.1796875" customWidth="1"/>
    <col min="513" max="513" width="25.26953125" bestFit="1" customWidth="1"/>
    <col min="515" max="515" width="8" bestFit="1" customWidth="1"/>
    <col min="516" max="517" width="8.1796875" bestFit="1" customWidth="1"/>
    <col min="518" max="518" width="7.26953125" bestFit="1" customWidth="1"/>
    <col min="519" max="519" width="39.26953125" customWidth="1"/>
    <col min="520" max="520" width="18.7265625" customWidth="1"/>
    <col min="521" max="521" width="13.54296875" bestFit="1" customWidth="1"/>
    <col min="522" max="522" width="11.81640625" customWidth="1"/>
    <col min="523" max="523" width="26.7265625" customWidth="1"/>
    <col min="524" max="524" width="10.1796875" bestFit="1" customWidth="1"/>
    <col min="525" max="526" width="8.54296875" bestFit="1" customWidth="1"/>
    <col min="527" max="527" width="9.1796875" customWidth="1"/>
    <col min="769" max="769" width="25.26953125" bestFit="1" customWidth="1"/>
    <col min="771" max="771" width="8" bestFit="1" customWidth="1"/>
    <col min="772" max="773" width="8.1796875" bestFit="1" customWidth="1"/>
    <col min="774" max="774" width="7.26953125" bestFit="1" customWidth="1"/>
    <col min="775" max="775" width="39.26953125" customWidth="1"/>
    <col min="776" max="776" width="18.7265625" customWidth="1"/>
    <col min="777" max="777" width="13.54296875" bestFit="1" customWidth="1"/>
    <col min="778" max="778" width="11.81640625" customWidth="1"/>
    <col min="779" max="779" width="26.7265625" customWidth="1"/>
    <col min="780" max="780" width="10.1796875" bestFit="1" customWidth="1"/>
    <col min="781" max="782" width="8.54296875" bestFit="1" customWidth="1"/>
    <col min="783" max="783" width="9.1796875" customWidth="1"/>
    <col min="1025" max="1025" width="25.26953125" bestFit="1" customWidth="1"/>
    <col min="1027" max="1027" width="8" bestFit="1" customWidth="1"/>
    <col min="1028" max="1029" width="8.1796875" bestFit="1" customWidth="1"/>
    <col min="1030" max="1030" width="7.26953125" bestFit="1" customWidth="1"/>
    <col min="1031" max="1031" width="39.26953125" customWidth="1"/>
    <col min="1032" max="1032" width="18.7265625" customWidth="1"/>
    <col min="1033" max="1033" width="13.54296875" bestFit="1" customWidth="1"/>
    <col min="1034" max="1034" width="11.81640625" customWidth="1"/>
    <col min="1035" max="1035" width="26.7265625" customWidth="1"/>
    <col min="1036" max="1036" width="10.1796875" bestFit="1" customWidth="1"/>
    <col min="1037" max="1038" width="8.54296875" bestFit="1" customWidth="1"/>
    <col min="1039" max="1039" width="9.1796875" customWidth="1"/>
    <col min="1281" max="1281" width="25.26953125" bestFit="1" customWidth="1"/>
    <col min="1283" max="1283" width="8" bestFit="1" customWidth="1"/>
    <col min="1284" max="1285" width="8.1796875" bestFit="1" customWidth="1"/>
    <col min="1286" max="1286" width="7.26953125" bestFit="1" customWidth="1"/>
    <col min="1287" max="1287" width="39.26953125" customWidth="1"/>
    <col min="1288" max="1288" width="18.7265625" customWidth="1"/>
    <col min="1289" max="1289" width="13.54296875" bestFit="1" customWidth="1"/>
    <col min="1290" max="1290" width="11.81640625" customWidth="1"/>
    <col min="1291" max="1291" width="26.7265625" customWidth="1"/>
    <col min="1292" max="1292" width="10.1796875" bestFit="1" customWidth="1"/>
    <col min="1293" max="1294" width="8.54296875" bestFit="1" customWidth="1"/>
    <col min="1295" max="1295" width="9.1796875" customWidth="1"/>
    <col min="1537" max="1537" width="25.26953125" bestFit="1" customWidth="1"/>
    <col min="1539" max="1539" width="8" bestFit="1" customWidth="1"/>
    <col min="1540" max="1541" width="8.1796875" bestFit="1" customWidth="1"/>
    <col min="1542" max="1542" width="7.26953125" bestFit="1" customWidth="1"/>
    <col min="1543" max="1543" width="39.26953125" customWidth="1"/>
    <col min="1544" max="1544" width="18.7265625" customWidth="1"/>
    <col min="1545" max="1545" width="13.54296875" bestFit="1" customWidth="1"/>
    <col min="1546" max="1546" width="11.81640625" customWidth="1"/>
    <col min="1547" max="1547" width="26.7265625" customWidth="1"/>
    <col min="1548" max="1548" width="10.1796875" bestFit="1" customWidth="1"/>
    <col min="1549" max="1550" width="8.54296875" bestFit="1" customWidth="1"/>
    <col min="1551" max="1551" width="9.1796875" customWidth="1"/>
    <col min="1793" max="1793" width="25.26953125" bestFit="1" customWidth="1"/>
    <col min="1795" max="1795" width="8" bestFit="1" customWidth="1"/>
    <col min="1796" max="1797" width="8.1796875" bestFit="1" customWidth="1"/>
    <col min="1798" max="1798" width="7.26953125" bestFit="1" customWidth="1"/>
    <col min="1799" max="1799" width="39.26953125" customWidth="1"/>
    <col min="1800" max="1800" width="18.7265625" customWidth="1"/>
    <col min="1801" max="1801" width="13.54296875" bestFit="1" customWidth="1"/>
    <col min="1802" max="1802" width="11.81640625" customWidth="1"/>
    <col min="1803" max="1803" width="26.7265625" customWidth="1"/>
    <col min="1804" max="1804" width="10.1796875" bestFit="1" customWidth="1"/>
    <col min="1805" max="1806" width="8.54296875" bestFit="1" customWidth="1"/>
    <col min="1807" max="1807" width="9.1796875" customWidth="1"/>
    <col min="2049" max="2049" width="25.26953125" bestFit="1" customWidth="1"/>
    <col min="2051" max="2051" width="8" bestFit="1" customWidth="1"/>
    <col min="2052" max="2053" width="8.1796875" bestFit="1" customWidth="1"/>
    <col min="2054" max="2054" width="7.26953125" bestFit="1" customWidth="1"/>
    <col min="2055" max="2055" width="39.26953125" customWidth="1"/>
    <col min="2056" max="2056" width="18.7265625" customWidth="1"/>
    <col min="2057" max="2057" width="13.54296875" bestFit="1" customWidth="1"/>
    <col min="2058" max="2058" width="11.81640625" customWidth="1"/>
    <col min="2059" max="2059" width="26.7265625" customWidth="1"/>
    <col min="2060" max="2060" width="10.1796875" bestFit="1" customWidth="1"/>
    <col min="2061" max="2062" width="8.54296875" bestFit="1" customWidth="1"/>
    <col min="2063" max="2063" width="9.1796875" customWidth="1"/>
    <col min="2305" max="2305" width="25.26953125" bestFit="1" customWidth="1"/>
    <col min="2307" max="2307" width="8" bestFit="1" customWidth="1"/>
    <col min="2308" max="2309" width="8.1796875" bestFit="1" customWidth="1"/>
    <col min="2310" max="2310" width="7.26953125" bestFit="1" customWidth="1"/>
    <col min="2311" max="2311" width="39.26953125" customWidth="1"/>
    <col min="2312" max="2312" width="18.7265625" customWidth="1"/>
    <col min="2313" max="2313" width="13.54296875" bestFit="1" customWidth="1"/>
    <col min="2314" max="2314" width="11.81640625" customWidth="1"/>
    <col min="2315" max="2315" width="26.7265625" customWidth="1"/>
    <col min="2316" max="2316" width="10.1796875" bestFit="1" customWidth="1"/>
    <col min="2317" max="2318" width="8.54296875" bestFit="1" customWidth="1"/>
    <col min="2319" max="2319" width="9.1796875" customWidth="1"/>
    <col min="2561" max="2561" width="25.26953125" bestFit="1" customWidth="1"/>
    <col min="2563" max="2563" width="8" bestFit="1" customWidth="1"/>
    <col min="2564" max="2565" width="8.1796875" bestFit="1" customWidth="1"/>
    <col min="2566" max="2566" width="7.26953125" bestFit="1" customWidth="1"/>
    <col min="2567" max="2567" width="39.26953125" customWidth="1"/>
    <col min="2568" max="2568" width="18.7265625" customWidth="1"/>
    <col min="2569" max="2569" width="13.54296875" bestFit="1" customWidth="1"/>
    <col min="2570" max="2570" width="11.81640625" customWidth="1"/>
    <col min="2571" max="2571" width="26.7265625" customWidth="1"/>
    <col min="2572" max="2572" width="10.1796875" bestFit="1" customWidth="1"/>
    <col min="2573" max="2574" width="8.54296875" bestFit="1" customWidth="1"/>
    <col min="2575" max="2575" width="9.1796875" customWidth="1"/>
    <col min="2817" max="2817" width="25.26953125" bestFit="1" customWidth="1"/>
    <col min="2819" max="2819" width="8" bestFit="1" customWidth="1"/>
    <col min="2820" max="2821" width="8.1796875" bestFit="1" customWidth="1"/>
    <col min="2822" max="2822" width="7.26953125" bestFit="1" customWidth="1"/>
    <col min="2823" max="2823" width="39.26953125" customWidth="1"/>
    <col min="2824" max="2824" width="18.7265625" customWidth="1"/>
    <col min="2825" max="2825" width="13.54296875" bestFit="1" customWidth="1"/>
    <col min="2826" max="2826" width="11.81640625" customWidth="1"/>
    <col min="2827" max="2827" width="26.7265625" customWidth="1"/>
    <col min="2828" max="2828" width="10.1796875" bestFit="1" customWidth="1"/>
    <col min="2829" max="2830" width="8.54296875" bestFit="1" customWidth="1"/>
    <col min="2831" max="2831" width="9.1796875" customWidth="1"/>
    <col min="3073" max="3073" width="25.26953125" bestFit="1" customWidth="1"/>
    <col min="3075" max="3075" width="8" bestFit="1" customWidth="1"/>
    <col min="3076" max="3077" width="8.1796875" bestFit="1" customWidth="1"/>
    <col min="3078" max="3078" width="7.26953125" bestFit="1" customWidth="1"/>
    <col min="3079" max="3079" width="39.26953125" customWidth="1"/>
    <col min="3080" max="3080" width="18.7265625" customWidth="1"/>
    <col min="3081" max="3081" width="13.54296875" bestFit="1" customWidth="1"/>
    <col min="3082" max="3082" width="11.81640625" customWidth="1"/>
    <col min="3083" max="3083" width="26.7265625" customWidth="1"/>
    <col min="3084" max="3084" width="10.1796875" bestFit="1" customWidth="1"/>
    <col min="3085" max="3086" width="8.54296875" bestFit="1" customWidth="1"/>
    <col min="3087" max="3087" width="9.1796875" customWidth="1"/>
    <col min="3329" max="3329" width="25.26953125" bestFit="1" customWidth="1"/>
    <col min="3331" max="3331" width="8" bestFit="1" customWidth="1"/>
    <col min="3332" max="3333" width="8.1796875" bestFit="1" customWidth="1"/>
    <col min="3334" max="3334" width="7.26953125" bestFit="1" customWidth="1"/>
    <col min="3335" max="3335" width="39.26953125" customWidth="1"/>
    <col min="3336" max="3336" width="18.7265625" customWidth="1"/>
    <col min="3337" max="3337" width="13.54296875" bestFit="1" customWidth="1"/>
    <col min="3338" max="3338" width="11.81640625" customWidth="1"/>
    <col min="3339" max="3339" width="26.7265625" customWidth="1"/>
    <col min="3340" max="3340" width="10.1796875" bestFit="1" customWidth="1"/>
    <col min="3341" max="3342" width="8.54296875" bestFit="1" customWidth="1"/>
    <col min="3343" max="3343" width="9.1796875" customWidth="1"/>
    <col min="3585" max="3585" width="25.26953125" bestFit="1" customWidth="1"/>
    <col min="3587" max="3587" width="8" bestFit="1" customWidth="1"/>
    <col min="3588" max="3589" width="8.1796875" bestFit="1" customWidth="1"/>
    <col min="3590" max="3590" width="7.26953125" bestFit="1" customWidth="1"/>
    <col min="3591" max="3591" width="39.26953125" customWidth="1"/>
    <col min="3592" max="3592" width="18.7265625" customWidth="1"/>
    <col min="3593" max="3593" width="13.54296875" bestFit="1" customWidth="1"/>
    <col min="3594" max="3594" width="11.81640625" customWidth="1"/>
    <col min="3595" max="3595" width="26.7265625" customWidth="1"/>
    <col min="3596" max="3596" width="10.1796875" bestFit="1" customWidth="1"/>
    <col min="3597" max="3598" width="8.54296875" bestFit="1" customWidth="1"/>
    <col min="3599" max="3599" width="9.1796875" customWidth="1"/>
    <col min="3841" max="3841" width="25.26953125" bestFit="1" customWidth="1"/>
    <col min="3843" max="3843" width="8" bestFit="1" customWidth="1"/>
    <col min="3844" max="3845" width="8.1796875" bestFit="1" customWidth="1"/>
    <col min="3846" max="3846" width="7.26953125" bestFit="1" customWidth="1"/>
    <col min="3847" max="3847" width="39.26953125" customWidth="1"/>
    <col min="3848" max="3848" width="18.7265625" customWidth="1"/>
    <col min="3849" max="3849" width="13.54296875" bestFit="1" customWidth="1"/>
    <col min="3850" max="3850" width="11.81640625" customWidth="1"/>
    <col min="3851" max="3851" width="26.7265625" customWidth="1"/>
    <col min="3852" max="3852" width="10.1796875" bestFit="1" customWidth="1"/>
    <col min="3853" max="3854" width="8.54296875" bestFit="1" customWidth="1"/>
    <col min="3855" max="3855" width="9.1796875" customWidth="1"/>
    <col min="4097" max="4097" width="25.26953125" bestFit="1" customWidth="1"/>
    <col min="4099" max="4099" width="8" bestFit="1" customWidth="1"/>
    <col min="4100" max="4101" width="8.1796875" bestFit="1" customWidth="1"/>
    <col min="4102" max="4102" width="7.26953125" bestFit="1" customWidth="1"/>
    <col min="4103" max="4103" width="39.26953125" customWidth="1"/>
    <col min="4104" max="4104" width="18.7265625" customWidth="1"/>
    <col min="4105" max="4105" width="13.54296875" bestFit="1" customWidth="1"/>
    <col min="4106" max="4106" width="11.81640625" customWidth="1"/>
    <col min="4107" max="4107" width="26.7265625" customWidth="1"/>
    <col min="4108" max="4108" width="10.1796875" bestFit="1" customWidth="1"/>
    <col min="4109" max="4110" width="8.54296875" bestFit="1" customWidth="1"/>
    <col min="4111" max="4111" width="9.1796875" customWidth="1"/>
    <col min="4353" max="4353" width="25.26953125" bestFit="1" customWidth="1"/>
    <col min="4355" max="4355" width="8" bestFit="1" customWidth="1"/>
    <col min="4356" max="4357" width="8.1796875" bestFit="1" customWidth="1"/>
    <col min="4358" max="4358" width="7.26953125" bestFit="1" customWidth="1"/>
    <col min="4359" max="4359" width="39.26953125" customWidth="1"/>
    <col min="4360" max="4360" width="18.7265625" customWidth="1"/>
    <col min="4361" max="4361" width="13.54296875" bestFit="1" customWidth="1"/>
    <col min="4362" max="4362" width="11.81640625" customWidth="1"/>
    <col min="4363" max="4363" width="26.7265625" customWidth="1"/>
    <col min="4364" max="4364" width="10.1796875" bestFit="1" customWidth="1"/>
    <col min="4365" max="4366" width="8.54296875" bestFit="1" customWidth="1"/>
    <col min="4367" max="4367" width="9.1796875" customWidth="1"/>
    <col min="4609" max="4609" width="25.26953125" bestFit="1" customWidth="1"/>
    <col min="4611" max="4611" width="8" bestFit="1" customWidth="1"/>
    <col min="4612" max="4613" width="8.1796875" bestFit="1" customWidth="1"/>
    <col min="4614" max="4614" width="7.26953125" bestFit="1" customWidth="1"/>
    <col min="4615" max="4615" width="39.26953125" customWidth="1"/>
    <col min="4616" max="4616" width="18.7265625" customWidth="1"/>
    <col min="4617" max="4617" width="13.54296875" bestFit="1" customWidth="1"/>
    <col min="4618" max="4618" width="11.81640625" customWidth="1"/>
    <col min="4619" max="4619" width="26.7265625" customWidth="1"/>
    <col min="4620" max="4620" width="10.1796875" bestFit="1" customWidth="1"/>
    <col min="4621" max="4622" width="8.54296875" bestFit="1" customWidth="1"/>
    <col min="4623" max="4623" width="9.1796875" customWidth="1"/>
    <col min="4865" max="4865" width="25.26953125" bestFit="1" customWidth="1"/>
    <col min="4867" max="4867" width="8" bestFit="1" customWidth="1"/>
    <col min="4868" max="4869" width="8.1796875" bestFit="1" customWidth="1"/>
    <col min="4870" max="4870" width="7.26953125" bestFit="1" customWidth="1"/>
    <col min="4871" max="4871" width="39.26953125" customWidth="1"/>
    <col min="4872" max="4872" width="18.7265625" customWidth="1"/>
    <col min="4873" max="4873" width="13.54296875" bestFit="1" customWidth="1"/>
    <col min="4874" max="4874" width="11.81640625" customWidth="1"/>
    <col min="4875" max="4875" width="26.7265625" customWidth="1"/>
    <col min="4876" max="4876" width="10.1796875" bestFit="1" customWidth="1"/>
    <col min="4877" max="4878" width="8.54296875" bestFit="1" customWidth="1"/>
    <col min="4879" max="4879" width="9.1796875" customWidth="1"/>
    <col min="5121" max="5121" width="25.26953125" bestFit="1" customWidth="1"/>
    <col min="5123" max="5123" width="8" bestFit="1" customWidth="1"/>
    <col min="5124" max="5125" width="8.1796875" bestFit="1" customWidth="1"/>
    <col min="5126" max="5126" width="7.26953125" bestFit="1" customWidth="1"/>
    <col min="5127" max="5127" width="39.26953125" customWidth="1"/>
    <col min="5128" max="5128" width="18.7265625" customWidth="1"/>
    <col min="5129" max="5129" width="13.54296875" bestFit="1" customWidth="1"/>
    <col min="5130" max="5130" width="11.81640625" customWidth="1"/>
    <col min="5131" max="5131" width="26.7265625" customWidth="1"/>
    <col min="5132" max="5132" width="10.1796875" bestFit="1" customWidth="1"/>
    <col min="5133" max="5134" width="8.54296875" bestFit="1" customWidth="1"/>
    <col min="5135" max="5135" width="9.1796875" customWidth="1"/>
    <col min="5377" max="5377" width="25.26953125" bestFit="1" customWidth="1"/>
    <col min="5379" max="5379" width="8" bestFit="1" customWidth="1"/>
    <col min="5380" max="5381" width="8.1796875" bestFit="1" customWidth="1"/>
    <col min="5382" max="5382" width="7.26953125" bestFit="1" customWidth="1"/>
    <col min="5383" max="5383" width="39.26953125" customWidth="1"/>
    <col min="5384" max="5384" width="18.7265625" customWidth="1"/>
    <col min="5385" max="5385" width="13.54296875" bestFit="1" customWidth="1"/>
    <col min="5386" max="5386" width="11.81640625" customWidth="1"/>
    <col min="5387" max="5387" width="26.7265625" customWidth="1"/>
    <col min="5388" max="5388" width="10.1796875" bestFit="1" customWidth="1"/>
    <col min="5389" max="5390" width="8.54296875" bestFit="1" customWidth="1"/>
    <col min="5391" max="5391" width="9.1796875" customWidth="1"/>
    <col min="5633" max="5633" width="25.26953125" bestFit="1" customWidth="1"/>
    <col min="5635" max="5635" width="8" bestFit="1" customWidth="1"/>
    <col min="5636" max="5637" width="8.1796875" bestFit="1" customWidth="1"/>
    <col min="5638" max="5638" width="7.26953125" bestFit="1" customWidth="1"/>
    <col min="5639" max="5639" width="39.26953125" customWidth="1"/>
    <col min="5640" max="5640" width="18.7265625" customWidth="1"/>
    <col min="5641" max="5641" width="13.54296875" bestFit="1" customWidth="1"/>
    <col min="5642" max="5642" width="11.81640625" customWidth="1"/>
    <col min="5643" max="5643" width="26.7265625" customWidth="1"/>
    <col min="5644" max="5644" width="10.1796875" bestFit="1" customWidth="1"/>
    <col min="5645" max="5646" width="8.54296875" bestFit="1" customWidth="1"/>
    <col min="5647" max="5647" width="9.1796875" customWidth="1"/>
    <col min="5889" max="5889" width="25.26953125" bestFit="1" customWidth="1"/>
    <col min="5891" max="5891" width="8" bestFit="1" customWidth="1"/>
    <col min="5892" max="5893" width="8.1796875" bestFit="1" customWidth="1"/>
    <col min="5894" max="5894" width="7.26953125" bestFit="1" customWidth="1"/>
    <col min="5895" max="5895" width="39.26953125" customWidth="1"/>
    <col min="5896" max="5896" width="18.7265625" customWidth="1"/>
    <col min="5897" max="5897" width="13.54296875" bestFit="1" customWidth="1"/>
    <col min="5898" max="5898" width="11.81640625" customWidth="1"/>
    <col min="5899" max="5899" width="26.7265625" customWidth="1"/>
    <col min="5900" max="5900" width="10.1796875" bestFit="1" customWidth="1"/>
    <col min="5901" max="5902" width="8.54296875" bestFit="1" customWidth="1"/>
    <col min="5903" max="5903" width="9.1796875" customWidth="1"/>
    <col min="6145" max="6145" width="25.26953125" bestFit="1" customWidth="1"/>
    <col min="6147" max="6147" width="8" bestFit="1" customWidth="1"/>
    <col min="6148" max="6149" width="8.1796875" bestFit="1" customWidth="1"/>
    <col min="6150" max="6150" width="7.26953125" bestFit="1" customWidth="1"/>
    <col min="6151" max="6151" width="39.26953125" customWidth="1"/>
    <col min="6152" max="6152" width="18.7265625" customWidth="1"/>
    <col min="6153" max="6153" width="13.54296875" bestFit="1" customWidth="1"/>
    <col min="6154" max="6154" width="11.81640625" customWidth="1"/>
    <col min="6155" max="6155" width="26.7265625" customWidth="1"/>
    <col min="6156" max="6156" width="10.1796875" bestFit="1" customWidth="1"/>
    <col min="6157" max="6158" width="8.54296875" bestFit="1" customWidth="1"/>
    <col min="6159" max="6159" width="9.1796875" customWidth="1"/>
    <col min="6401" max="6401" width="25.26953125" bestFit="1" customWidth="1"/>
    <col min="6403" max="6403" width="8" bestFit="1" customWidth="1"/>
    <col min="6404" max="6405" width="8.1796875" bestFit="1" customWidth="1"/>
    <col min="6406" max="6406" width="7.26953125" bestFit="1" customWidth="1"/>
    <col min="6407" max="6407" width="39.26953125" customWidth="1"/>
    <col min="6408" max="6408" width="18.7265625" customWidth="1"/>
    <col min="6409" max="6409" width="13.54296875" bestFit="1" customWidth="1"/>
    <col min="6410" max="6410" width="11.81640625" customWidth="1"/>
    <col min="6411" max="6411" width="26.7265625" customWidth="1"/>
    <col min="6412" max="6412" width="10.1796875" bestFit="1" customWidth="1"/>
    <col min="6413" max="6414" width="8.54296875" bestFit="1" customWidth="1"/>
    <col min="6415" max="6415" width="9.1796875" customWidth="1"/>
    <col min="6657" max="6657" width="25.26953125" bestFit="1" customWidth="1"/>
    <col min="6659" max="6659" width="8" bestFit="1" customWidth="1"/>
    <col min="6660" max="6661" width="8.1796875" bestFit="1" customWidth="1"/>
    <col min="6662" max="6662" width="7.26953125" bestFit="1" customWidth="1"/>
    <col min="6663" max="6663" width="39.26953125" customWidth="1"/>
    <col min="6664" max="6664" width="18.7265625" customWidth="1"/>
    <col min="6665" max="6665" width="13.54296875" bestFit="1" customWidth="1"/>
    <col min="6666" max="6666" width="11.81640625" customWidth="1"/>
    <col min="6667" max="6667" width="26.7265625" customWidth="1"/>
    <col min="6668" max="6668" width="10.1796875" bestFit="1" customWidth="1"/>
    <col min="6669" max="6670" width="8.54296875" bestFit="1" customWidth="1"/>
    <col min="6671" max="6671" width="9.1796875" customWidth="1"/>
    <col min="6913" max="6913" width="25.26953125" bestFit="1" customWidth="1"/>
    <col min="6915" max="6915" width="8" bestFit="1" customWidth="1"/>
    <col min="6916" max="6917" width="8.1796875" bestFit="1" customWidth="1"/>
    <col min="6918" max="6918" width="7.26953125" bestFit="1" customWidth="1"/>
    <col min="6919" max="6919" width="39.26953125" customWidth="1"/>
    <col min="6920" max="6920" width="18.7265625" customWidth="1"/>
    <col min="6921" max="6921" width="13.54296875" bestFit="1" customWidth="1"/>
    <col min="6922" max="6922" width="11.81640625" customWidth="1"/>
    <col min="6923" max="6923" width="26.7265625" customWidth="1"/>
    <col min="6924" max="6924" width="10.1796875" bestFit="1" customWidth="1"/>
    <col min="6925" max="6926" width="8.54296875" bestFit="1" customWidth="1"/>
    <col min="6927" max="6927" width="9.1796875" customWidth="1"/>
    <col min="7169" max="7169" width="25.26953125" bestFit="1" customWidth="1"/>
    <col min="7171" max="7171" width="8" bestFit="1" customWidth="1"/>
    <col min="7172" max="7173" width="8.1796875" bestFit="1" customWidth="1"/>
    <col min="7174" max="7174" width="7.26953125" bestFit="1" customWidth="1"/>
    <col min="7175" max="7175" width="39.26953125" customWidth="1"/>
    <col min="7176" max="7176" width="18.7265625" customWidth="1"/>
    <col min="7177" max="7177" width="13.54296875" bestFit="1" customWidth="1"/>
    <col min="7178" max="7178" width="11.81640625" customWidth="1"/>
    <col min="7179" max="7179" width="26.7265625" customWidth="1"/>
    <col min="7180" max="7180" width="10.1796875" bestFit="1" customWidth="1"/>
    <col min="7181" max="7182" width="8.54296875" bestFit="1" customWidth="1"/>
    <col min="7183" max="7183" width="9.1796875" customWidth="1"/>
    <col min="7425" max="7425" width="25.26953125" bestFit="1" customWidth="1"/>
    <col min="7427" max="7427" width="8" bestFit="1" customWidth="1"/>
    <col min="7428" max="7429" width="8.1796875" bestFit="1" customWidth="1"/>
    <col min="7430" max="7430" width="7.26953125" bestFit="1" customWidth="1"/>
    <col min="7431" max="7431" width="39.26953125" customWidth="1"/>
    <col min="7432" max="7432" width="18.7265625" customWidth="1"/>
    <col min="7433" max="7433" width="13.54296875" bestFit="1" customWidth="1"/>
    <col min="7434" max="7434" width="11.81640625" customWidth="1"/>
    <col min="7435" max="7435" width="26.7265625" customWidth="1"/>
    <col min="7436" max="7436" width="10.1796875" bestFit="1" customWidth="1"/>
    <col min="7437" max="7438" width="8.54296875" bestFit="1" customWidth="1"/>
    <col min="7439" max="7439" width="9.1796875" customWidth="1"/>
    <col min="7681" max="7681" width="25.26953125" bestFit="1" customWidth="1"/>
    <col min="7683" max="7683" width="8" bestFit="1" customWidth="1"/>
    <col min="7684" max="7685" width="8.1796875" bestFit="1" customWidth="1"/>
    <col min="7686" max="7686" width="7.26953125" bestFit="1" customWidth="1"/>
    <col min="7687" max="7687" width="39.26953125" customWidth="1"/>
    <col min="7688" max="7688" width="18.7265625" customWidth="1"/>
    <col min="7689" max="7689" width="13.54296875" bestFit="1" customWidth="1"/>
    <col min="7690" max="7690" width="11.81640625" customWidth="1"/>
    <col min="7691" max="7691" width="26.7265625" customWidth="1"/>
    <col min="7692" max="7692" width="10.1796875" bestFit="1" customWidth="1"/>
    <col min="7693" max="7694" width="8.54296875" bestFit="1" customWidth="1"/>
    <col min="7695" max="7695" width="9.1796875" customWidth="1"/>
    <col min="7937" max="7937" width="25.26953125" bestFit="1" customWidth="1"/>
    <col min="7939" max="7939" width="8" bestFit="1" customWidth="1"/>
    <col min="7940" max="7941" width="8.1796875" bestFit="1" customWidth="1"/>
    <col min="7942" max="7942" width="7.26953125" bestFit="1" customWidth="1"/>
    <col min="7943" max="7943" width="39.26953125" customWidth="1"/>
    <col min="7944" max="7944" width="18.7265625" customWidth="1"/>
    <col min="7945" max="7945" width="13.54296875" bestFit="1" customWidth="1"/>
    <col min="7946" max="7946" width="11.81640625" customWidth="1"/>
    <col min="7947" max="7947" width="26.7265625" customWidth="1"/>
    <col min="7948" max="7948" width="10.1796875" bestFit="1" customWidth="1"/>
    <col min="7949" max="7950" width="8.54296875" bestFit="1" customWidth="1"/>
    <col min="7951" max="7951" width="9.1796875" customWidth="1"/>
    <col min="8193" max="8193" width="25.26953125" bestFit="1" customWidth="1"/>
    <col min="8195" max="8195" width="8" bestFit="1" customWidth="1"/>
    <col min="8196" max="8197" width="8.1796875" bestFit="1" customWidth="1"/>
    <col min="8198" max="8198" width="7.26953125" bestFit="1" customWidth="1"/>
    <col min="8199" max="8199" width="39.26953125" customWidth="1"/>
    <col min="8200" max="8200" width="18.7265625" customWidth="1"/>
    <col min="8201" max="8201" width="13.54296875" bestFit="1" customWidth="1"/>
    <col min="8202" max="8202" width="11.81640625" customWidth="1"/>
    <col min="8203" max="8203" width="26.7265625" customWidth="1"/>
    <col min="8204" max="8204" width="10.1796875" bestFit="1" customWidth="1"/>
    <col min="8205" max="8206" width="8.54296875" bestFit="1" customWidth="1"/>
    <col min="8207" max="8207" width="9.1796875" customWidth="1"/>
    <col min="8449" max="8449" width="25.26953125" bestFit="1" customWidth="1"/>
    <col min="8451" max="8451" width="8" bestFit="1" customWidth="1"/>
    <col min="8452" max="8453" width="8.1796875" bestFit="1" customWidth="1"/>
    <col min="8454" max="8454" width="7.26953125" bestFit="1" customWidth="1"/>
    <col min="8455" max="8455" width="39.26953125" customWidth="1"/>
    <col min="8456" max="8456" width="18.7265625" customWidth="1"/>
    <col min="8457" max="8457" width="13.54296875" bestFit="1" customWidth="1"/>
    <col min="8458" max="8458" width="11.81640625" customWidth="1"/>
    <col min="8459" max="8459" width="26.7265625" customWidth="1"/>
    <col min="8460" max="8460" width="10.1796875" bestFit="1" customWidth="1"/>
    <col min="8461" max="8462" width="8.54296875" bestFit="1" customWidth="1"/>
    <col min="8463" max="8463" width="9.1796875" customWidth="1"/>
    <col min="8705" max="8705" width="25.26953125" bestFit="1" customWidth="1"/>
    <col min="8707" max="8707" width="8" bestFit="1" customWidth="1"/>
    <col min="8708" max="8709" width="8.1796875" bestFit="1" customWidth="1"/>
    <col min="8710" max="8710" width="7.26953125" bestFit="1" customWidth="1"/>
    <col min="8711" max="8711" width="39.26953125" customWidth="1"/>
    <col min="8712" max="8712" width="18.7265625" customWidth="1"/>
    <col min="8713" max="8713" width="13.54296875" bestFit="1" customWidth="1"/>
    <col min="8714" max="8714" width="11.81640625" customWidth="1"/>
    <col min="8715" max="8715" width="26.7265625" customWidth="1"/>
    <col min="8716" max="8716" width="10.1796875" bestFit="1" customWidth="1"/>
    <col min="8717" max="8718" width="8.54296875" bestFit="1" customWidth="1"/>
    <col min="8719" max="8719" width="9.1796875" customWidth="1"/>
    <col min="8961" max="8961" width="25.26953125" bestFit="1" customWidth="1"/>
    <col min="8963" max="8963" width="8" bestFit="1" customWidth="1"/>
    <col min="8964" max="8965" width="8.1796875" bestFit="1" customWidth="1"/>
    <col min="8966" max="8966" width="7.26953125" bestFit="1" customWidth="1"/>
    <col min="8967" max="8967" width="39.26953125" customWidth="1"/>
    <col min="8968" max="8968" width="18.7265625" customWidth="1"/>
    <col min="8969" max="8969" width="13.54296875" bestFit="1" customWidth="1"/>
    <col min="8970" max="8970" width="11.81640625" customWidth="1"/>
    <col min="8971" max="8971" width="26.7265625" customWidth="1"/>
    <col min="8972" max="8972" width="10.1796875" bestFit="1" customWidth="1"/>
    <col min="8973" max="8974" width="8.54296875" bestFit="1" customWidth="1"/>
    <col min="8975" max="8975" width="9.1796875" customWidth="1"/>
    <col min="9217" max="9217" width="25.26953125" bestFit="1" customWidth="1"/>
    <col min="9219" max="9219" width="8" bestFit="1" customWidth="1"/>
    <col min="9220" max="9221" width="8.1796875" bestFit="1" customWidth="1"/>
    <col min="9222" max="9222" width="7.26953125" bestFit="1" customWidth="1"/>
    <col min="9223" max="9223" width="39.26953125" customWidth="1"/>
    <col min="9224" max="9224" width="18.7265625" customWidth="1"/>
    <col min="9225" max="9225" width="13.54296875" bestFit="1" customWidth="1"/>
    <col min="9226" max="9226" width="11.81640625" customWidth="1"/>
    <col min="9227" max="9227" width="26.7265625" customWidth="1"/>
    <col min="9228" max="9228" width="10.1796875" bestFit="1" customWidth="1"/>
    <col min="9229" max="9230" width="8.54296875" bestFit="1" customWidth="1"/>
    <col min="9231" max="9231" width="9.1796875" customWidth="1"/>
    <col min="9473" max="9473" width="25.26953125" bestFit="1" customWidth="1"/>
    <col min="9475" max="9475" width="8" bestFit="1" customWidth="1"/>
    <col min="9476" max="9477" width="8.1796875" bestFit="1" customWidth="1"/>
    <col min="9478" max="9478" width="7.26953125" bestFit="1" customWidth="1"/>
    <col min="9479" max="9479" width="39.26953125" customWidth="1"/>
    <col min="9480" max="9480" width="18.7265625" customWidth="1"/>
    <col min="9481" max="9481" width="13.54296875" bestFit="1" customWidth="1"/>
    <col min="9482" max="9482" width="11.81640625" customWidth="1"/>
    <col min="9483" max="9483" width="26.7265625" customWidth="1"/>
    <col min="9484" max="9484" width="10.1796875" bestFit="1" customWidth="1"/>
    <col min="9485" max="9486" width="8.54296875" bestFit="1" customWidth="1"/>
    <col min="9487" max="9487" width="9.1796875" customWidth="1"/>
    <col min="9729" max="9729" width="25.26953125" bestFit="1" customWidth="1"/>
    <col min="9731" max="9731" width="8" bestFit="1" customWidth="1"/>
    <col min="9732" max="9733" width="8.1796875" bestFit="1" customWidth="1"/>
    <col min="9734" max="9734" width="7.26953125" bestFit="1" customWidth="1"/>
    <col min="9735" max="9735" width="39.26953125" customWidth="1"/>
    <col min="9736" max="9736" width="18.7265625" customWidth="1"/>
    <col min="9737" max="9737" width="13.54296875" bestFit="1" customWidth="1"/>
    <col min="9738" max="9738" width="11.81640625" customWidth="1"/>
    <col min="9739" max="9739" width="26.7265625" customWidth="1"/>
    <col min="9740" max="9740" width="10.1796875" bestFit="1" customWidth="1"/>
    <col min="9741" max="9742" width="8.54296875" bestFit="1" customWidth="1"/>
    <col min="9743" max="9743" width="9.1796875" customWidth="1"/>
    <col min="9985" max="9985" width="25.26953125" bestFit="1" customWidth="1"/>
    <col min="9987" max="9987" width="8" bestFit="1" customWidth="1"/>
    <col min="9988" max="9989" width="8.1796875" bestFit="1" customWidth="1"/>
    <col min="9990" max="9990" width="7.26953125" bestFit="1" customWidth="1"/>
    <col min="9991" max="9991" width="39.26953125" customWidth="1"/>
    <col min="9992" max="9992" width="18.7265625" customWidth="1"/>
    <col min="9993" max="9993" width="13.54296875" bestFit="1" customWidth="1"/>
    <col min="9994" max="9994" width="11.81640625" customWidth="1"/>
    <col min="9995" max="9995" width="26.7265625" customWidth="1"/>
    <col min="9996" max="9996" width="10.1796875" bestFit="1" customWidth="1"/>
    <col min="9997" max="9998" width="8.54296875" bestFit="1" customWidth="1"/>
    <col min="9999" max="9999" width="9.1796875" customWidth="1"/>
    <col min="10241" max="10241" width="25.26953125" bestFit="1" customWidth="1"/>
    <col min="10243" max="10243" width="8" bestFit="1" customWidth="1"/>
    <col min="10244" max="10245" width="8.1796875" bestFit="1" customWidth="1"/>
    <col min="10246" max="10246" width="7.26953125" bestFit="1" customWidth="1"/>
    <col min="10247" max="10247" width="39.26953125" customWidth="1"/>
    <col min="10248" max="10248" width="18.7265625" customWidth="1"/>
    <col min="10249" max="10249" width="13.54296875" bestFit="1" customWidth="1"/>
    <col min="10250" max="10250" width="11.81640625" customWidth="1"/>
    <col min="10251" max="10251" width="26.7265625" customWidth="1"/>
    <col min="10252" max="10252" width="10.1796875" bestFit="1" customWidth="1"/>
    <col min="10253" max="10254" width="8.54296875" bestFit="1" customWidth="1"/>
    <col min="10255" max="10255" width="9.1796875" customWidth="1"/>
    <col min="10497" max="10497" width="25.26953125" bestFit="1" customWidth="1"/>
    <col min="10499" max="10499" width="8" bestFit="1" customWidth="1"/>
    <col min="10500" max="10501" width="8.1796875" bestFit="1" customWidth="1"/>
    <col min="10502" max="10502" width="7.26953125" bestFit="1" customWidth="1"/>
    <col min="10503" max="10503" width="39.26953125" customWidth="1"/>
    <col min="10504" max="10504" width="18.7265625" customWidth="1"/>
    <col min="10505" max="10505" width="13.54296875" bestFit="1" customWidth="1"/>
    <col min="10506" max="10506" width="11.81640625" customWidth="1"/>
    <col min="10507" max="10507" width="26.7265625" customWidth="1"/>
    <col min="10508" max="10508" width="10.1796875" bestFit="1" customWidth="1"/>
    <col min="10509" max="10510" width="8.54296875" bestFit="1" customWidth="1"/>
    <col min="10511" max="10511" width="9.1796875" customWidth="1"/>
    <col min="10753" max="10753" width="25.26953125" bestFit="1" customWidth="1"/>
    <col min="10755" max="10755" width="8" bestFit="1" customWidth="1"/>
    <col min="10756" max="10757" width="8.1796875" bestFit="1" customWidth="1"/>
    <col min="10758" max="10758" width="7.26953125" bestFit="1" customWidth="1"/>
    <col min="10759" max="10759" width="39.26953125" customWidth="1"/>
    <col min="10760" max="10760" width="18.7265625" customWidth="1"/>
    <col min="10761" max="10761" width="13.54296875" bestFit="1" customWidth="1"/>
    <col min="10762" max="10762" width="11.81640625" customWidth="1"/>
    <col min="10763" max="10763" width="26.7265625" customWidth="1"/>
    <col min="10764" max="10764" width="10.1796875" bestFit="1" customWidth="1"/>
    <col min="10765" max="10766" width="8.54296875" bestFit="1" customWidth="1"/>
    <col min="10767" max="10767" width="9.1796875" customWidth="1"/>
    <col min="11009" max="11009" width="25.26953125" bestFit="1" customWidth="1"/>
    <col min="11011" max="11011" width="8" bestFit="1" customWidth="1"/>
    <col min="11012" max="11013" width="8.1796875" bestFit="1" customWidth="1"/>
    <col min="11014" max="11014" width="7.26953125" bestFit="1" customWidth="1"/>
    <col min="11015" max="11015" width="39.26953125" customWidth="1"/>
    <col min="11016" max="11016" width="18.7265625" customWidth="1"/>
    <col min="11017" max="11017" width="13.54296875" bestFit="1" customWidth="1"/>
    <col min="11018" max="11018" width="11.81640625" customWidth="1"/>
    <col min="11019" max="11019" width="26.7265625" customWidth="1"/>
    <col min="11020" max="11020" width="10.1796875" bestFit="1" customWidth="1"/>
    <col min="11021" max="11022" width="8.54296875" bestFit="1" customWidth="1"/>
    <col min="11023" max="11023" width="9.1796875" customWidth="1"/>
    <col min="11265" max="11265" width="25.26953125" bestFit="1" customWidth="1"/>
    <col min="11267" max="11267" width="8" bestFit="1" customWidth="1"/>
    <col min="11268" max="11269" width="8.1796875" bestFit="1" customWidth="1"/>
    <col min="11270" max="11270" width="7.26953125" bestFit="1" customWidth="1"/>
    <col min="11271" max="11271" width="39.26953125" customWidth="1"/>
    <col min="11272" max="11272" width="18.7265625" customWidth="1"/>
    <col min="11273" max="11273" width="13.54296875" bestFit="1" customWidth="1"/>
    <col min="11274" max="11274" width="11.81640625" customWidth="1"/>
    <col min="11275" max="11275" width="26.7265625" customWidth="1"/>
    <col min="11276" max="11276" width="10.1796875" bestFit="1" customWidth="1"/>
    <col min="11277" max="11278" width="8.54296875" bestFit="1" customWidth="1"/>
    <col min="11279" max="11279" width="9.1796875" customWidth="1"/>
    <col min="11521" max="11521" width="25.26953125" bestFit="1" customWidth="1"/>
    <col min="11523" max="11523" width="8" bestFit="1" customWidth="1"/>
    <col min="11524" max="11525" width="8.1796875" bestFit="1" customWidth="1"/>
    <col min="11526" max="11526" width="7.26953125" bestFit="1" customWidth="1"/>
    <col min="11527" max="11527" width="39.26953125" customWidth="1"/>
    <col min="11528" max="11528" width="18.7265625" customWidth="1"/>
    <col min="11529" max="11529" width="13.54296875" bestFit="1" customWidth="1"/>
    <col min="11530" max="11530" width="11.81640625" customWidth="1"/>
    <col min="11531" max="11531" width="26.7265625" customWidth="1"/>
    <col min="11532" max="11532" width="10.1796875" bestFit="1" customWidth="1"/>
    <col min="11533" max="11534" width="8.54296875" bestFit="1" customWidth="1"/>
    <col min="11535" max="11535" width="9.1796875" customWidth="1"/>
    <col min="11777" max="11777" width="25.26953125" bestFit="1" customWidth="1"/>
    <col min="11779" max="11779" width="8" bestFit="1" customWidth="1"/>
    <col min="11780" max="11781" width="8.1796875" bestFit="1" customWidth="1"/>
    <col min="11782" max="11782" width="7.26953125" bestFit="1" customWidth="1"/>
    <col min="11783" max="11783" width="39.26953125" customWidth="1"/>
    <col min="11784" max="11784" width="18.7265625" customWidth="1"/>
    <col min="11785" max="11785" width="13.54296875" bestFit="1" customWidth="1"/>
    <col min="11786" max="11786" width="11.81640625" customWidth="1"/>
    <col min="11787" max="11787" width="26.7265625" customWidth="1"/>
    <col min="11788" max="11788" width="10.1796875" bestFit="1" customWidth="1"/>
    <col min="11789" max="11790" width="8.54296875" bestFit="1" customWidth="1"/>
    <col min="11791" max="11791" width="9.1796875" customWidth="1"/>
    <col min="12033" max="12033" width="25.26953125" bestFit="1" customWidth="1"/>
    <col min="12035" max="12035" width="8" bestFit="1" customWidth="1"/>
    <col min="12036" max="12037" width="8.1796875" bestFit="1" customWidth="1"/>
    <col min="12038" max="12038" width="7.26953125" bestFit="1" customWidth="1"/>
    <col min="12039" max="12039" width="39.26953125" customWidth="1"/>
    <col min="12040" max="12040" width="18.7265625" customWidth="1"/>
    <col min="12041" max="12041" width="13.54296875" bestFit="1" customWidth="1"/>
    <col min="12042" max="12042" width="11.81640625" customWidth="1"/>
    <col min="12043" max="12043" width="26.7265625" customWidth="1"/>
    <col min="12044" max="12044" width="10.1796875" bestFit="1" customWidth="1"/>
    <col min="12045" max="12046" width="8.54296875" bestFit="1" customWidth="1"/>
    <col min="12047" max="12047" width="9.1796875" customWidth="1"/>
    <col min="12289" max="12289" width="25.26953125" bestFit="1" customWidth="1"/>
    <col min="12291" max="12291" width="8" bestFit="1" customWidth="1"/>
    <col min="12292" max="12293" width="8.1796875" bestFit="1" customWidth="1"/>
    <col min="12294" max="12294" width="7.26953125" bestFit="1" customWidth="1"/>
    <col min="12295" max="12295" width="39.26953125" customWidth="1"/>
    <col min="12296" max="12296" width="18.7265625" customWidth="1"/>
    <col min="12297" max="12297" width="13.54296875" bestFit="1" customWidth="1"/>
    <col min="12298" max="12298" width="11.81640625" customWidth="1"/>
    <col min="12299" max="12299" width="26.7265625" customWidth="1"/>
    <col min="12300" max="12300" width="10.1796875" bestFit="1" customWidth="1"/>
    <col min="12301" max="12302" width="8.54296875" bestFit="1" customWidth="1"/>
    <col min="12303" max="12303" width="9.1796875" customWidth="1"/>
    <col min="12545" max="12545" width="25.26953125" bestFit="1" customWidth="1"/>
    <col min="12547" max="12547" width="8" bestFit="1" customWidth="1"/>
    <col min="12548" max="12549" width="8.1796875" bestFit="1" customWidth="1"/>
    <col min="12550" max="12550" width="7.26953125" bestFit="1" customWidth="1"/>
    <col min="12551" max="12551" width="39.26953125" customWidth="1"/>
    <col min="12552" max="12552" width="18.7265625" customWidth="1"/>
    <col min="12553" max="12553" width="13.54296875" bestFit="1" customWidth="1"/>
    <col min="12554" max="12554" width="11.81640625" customWidth="1"/>
    <col min="12555" max="12555" width="26.7265625" customWidth="1"/>
    <col min="12556" max="12556" width="10.1796875" bestFit="1" customWidth="1"/>
    <col min="12557" max="12558" width="8.54296875" bestFit="1" customWidth="1"/>
    <col min="12559" max="12559" width="9.1796875" customWidth="1"/>
    <col min="12801" max="12801" width="25.26953125" bestFit="1" customWidth="1"/>
    <col min="12803" max="12803" width="8" bestFit="1" customWidth="1"/>
    <col min="12804" max="12805" width="8.1796875" bestFit="1" customWidth="1"/>
    <col min="12806" max="12806" width="7.26953125" bestFit="1" customWidth="1"/>
    <col min="12807" max="12807" width="39.26953125" customWidth="1"/>
    <col min="12808" max="12808" width="18.7265625" customWidth="1"/>
    <col min="12809" max="12809" width="13.54296875" bestFit="1" customWidth="1"/>
    <col min="12810" max="12810" width="11.81640625" customWidth="1"/>
    <col min="12811" max="12811" width="26.7265625" customWidth="1"/>
    <col min="12812" max="12812" width="10.1796875" bestFit="1" customWidth="1"/>
    <col min="12813" max="12814" width="8.54296875" bestFit="1" customWidth="1"/>
    <col min="12815" max="12815" width="9.1796875" customWidth="1"/>
    <col min="13057" max="13057" width="25.26953125" bestFit="1" customWidth="1"/>
    <col min="13059" max="13059" width="8" bestFit="1" customWidth="1"/>
    <col min="13060" max="13061" width="8.1796875" bestFit="1" customWidth="1"/>
    <col min="13062" max="13062" width="7.26953125" bestFit="1" customWidth="1"/>
    <col min="13063" max="13063" width="39.26953125" customWidth="1"/>
    <col min="13064" max="13064" width="18.7265625" customWidth="1"/>
    <col min="13065" max="13065" width="13.54296875" bestFit="1" customWidth="1"/>
    <col min="13066" max="13066" width="11.81640625" customWidth="1"/>
    <col min="13067" max="13067" width="26.7265625" customWidth="1"/>
    <col min="13068" max="13068" width="10.1796875" bestFit="1" customWidth="1"/>
    <col min="13069" max="13070" width="8.54296875" bestFit="1" customWidth="1"/>
    <col min="13071" max="13071" width="9.1796875" customWidth="1"/>
    <col min="13313" max="13313" width="25.26953125" bestFit="1" customWidth="1"/>
    <col min="13315" max="13315" width="8" bestFit="1" customWidth="1"/>
    <col min="13316" max="13317" width="8.1796875" bestFit="1" customWidth="1"/>
    <col min="13318" max="13318" width="7.26953125" bestFit="1" customWidth="1"/>
    <col min="13319" max="13319" width="39.26953125" customWidth="1"/>
    <col min="13320" max="13320" width="18.7265625" customWidth="1"/>
    <col min="13321" max="13321" width="13.54296875" bestFit="1" customWidth="1"/>
    <col min="13322" max="13322" width="11.81640625" customWidth="1"/>
    <col min="13323" max="13323" width="26.7265625" customWidth="1"/>
    <col min="13324" max="13324" width="10.1796875" bestFit="1" customWidth="1"/>
    <col min="13325" max="13326" width="8.54296875" bestFit="1" customWidth="1"/>
    <col min="13327" max="13327" width="9.1796875" customWidth="1"/>
    <col min="13569" max="13569" width="25.26953125" bestFit="1" customWidth="1"/>
    <col min="13571" max="13571" width="8" bestFit="1" customWidth="1"/>
    <col min="13572" max="13573" width="8.1796875" bestFit="1" customWidth="1"/>
    <col min="13574" max="13574" width="7.26953125" bestFit="1" customWidth="1"/>
    <col min="13575" max="13575" width="39.26953125" customWidth="1"/>
    <col min="13576" max="13576" width="18.7265625" customWidth="1"/>
    <col min="13577" max="13577" width="13.54296875" bestFit="1" customWidth="1"/>
    <col min="13578" max="13578" width="11.81640625" customWidth="1"/>
    <col min="13579" max="13579" width="26.7265625" customWidth="1"/>
    <col min="13580" max="13580" width="10.1796875" bestFit="1" customWidth="1"/>
    <col min="13581" max="13582" width="8.54296875" bestFit="1" customWidth="1"/>
    <col min="13583" max="13583" width="9.1796875" customWidth="1"/>
    <col min="13825" max="13825" width="25.26953125" bestFit="1" customWidth="1"/>
    <col min="13827" max="13827" width="8" bestFit="1" customWidth="1"/>
    <col min="13828" max="13829" width="8.1796875" bestFit="1" customWidth="1"/>
    <col min="13830" max="13830" width="7.26953125" bestFit="1" customWidth="1"/>
    <col min="13831" max="13831" width="39.26953125" customWidth="1"/>
    <col min="13832" max="13832" width="18.7265625" customWidth="1"/>
    <col min="13833" max="13833" width="13.54296875" bestFit="1" customWidth="1"/>
    <col min="13834" max="13834" width="11.81640625" customWidth="1"/>
    <col min="13835" max="13835" width="26.7265625" customWidth="1"/>
    <col min="13836" max="13836" width="10.1796875" bestFit="1" customWidth="1"/>
    <col min="13837" max="13838" width="8.54296875" bestFit="1" customWidth="1"/>
    <col min="13839" max="13839" width="9.1796875" customWidth="1"/>
    <col min="14081" max="14081" width="25.26953125" bestFit="1" customWidth="1"/>
    <col min="14083" max="14083" width="8" bestFit="1" customWidth="1"/>
    <col min="14084" max="14085" width="8.1796875" bestFit="1" customWidth="1"/>
    <col min="14086" max="14086" width="7.26953125" bestFit="1" customWidth="1"/>
    <col min="14087" max="14087" width="39.26953125" customWidth="1"/>
    <col min="14088" max="14088" width="18.7265625" customWidth="1"/>
    <col min="14089" max="14089" width="13.54296875" bestFit="1" customWidth="1"/>
    <col min="14090" max="14090" width="11.81640625" customWidth="1"/>
    <col min="14091" max="14091" width="26.7265625" customWidth="1"/>
    <col min="14092" max="14092" width="10.1796875" bestFit="1" customWidth="1"/>
    <col min="14093" max="14094" width="8.54296875" bestFit="1" customWidth="1"/>
    <col min="14095" max="14095" width="9.1796875" customWidth="1"/>
    <col min="14337" max="14337" width="25.26953125" bestFit="1" customWidth="1"/>
    <col min="14339" max="14339" width="8" bestFit="1" customWidth="1"/>
    <col min="14340" max="14341" width="8.1796875" bestFit="1" customWidth="1"/>
    <col min="14342" max="14342" width="7.26953125" bestFit="1" customWidth="1"/>
    <col min="14343" max="14343" width="39.26953125" customWidth="1"/>
    <col min="14344" max="14344" width="18.7265625" customWidth="1"/>
    <col min="14345" max="14345" width="13.54296875" bestFit="1" customWidth="1"/>
    <col min="14346" max="14346" width="11.81640625" customWidth="1"/>
    <col min="14347" max="14347" width="26.7265625" customWidth="1"/>
    <col min="14348" max="14348" width="10.1796875" bestFit="1" customWidth="1"/>
    <col min="14349" max="14350" width="8.54296875" bestFit="1" customWidth="1"/>
    <col min="14351" max="14351" width="9.1796875" customWidth="1"/>
    <col min="14593" max="14593" width="25.26953125" bestFit="1" customWidth="1"/>
    <col min="14595" max="14595" width="8" bestFit="1" customWidth="1"/>
    <col min="14596" max="14597" width="8.1796875" bestFit="1" customWidth="1"/>
    <col min="14598" max="14598" width="7.26953125" bestFit="1" customWidth="1"/>
    <col min="14599" max="14599" width="39.26953125" customWidth="1"/>
    <col min="14600" max="14600" width="18.7265625" customWidth="1"/>
    <col min="14601" max="14601" width="13.54296875" bestFit="1" customWidth="1"/>
    <col min="14602" max="14602" width="11.81640625" customWidth="1"/>
    <col min="14603" max="14603" width="26.7265625" customWidth="1"/>
    <col min="14604" max="14604" width="10.1796875" bestFit="1" customWidth="1"/>
    <col min="14605" max="14606" width="8.54296875" bestFit="1" customWidth="1"/>
    <col min="14607" max="14607" width="9.1796875" customWidth="1"/>
    <col min="14849" max="14849" width="25.26953125" bestFit="1" customWidth="1"/>
    <col min="14851" max="14851" width="8" bestFit="1" customWidth="1"/>
    <col min="14852" max="14853" width="8.1796875" bestFit="1" customWidth="1"/>
    <col min="14854" max="14854" width="7.26953125" bestFit="1" customWidth="1"/>
    <col min="14855" max="14855" width="39.26953125" customWidth="1"/>
    <col min="14856" max="14856" width="18.7265625" customWidth="1"/>
    <col min="14857" max="14857" width="13.54296875" bestFit="1" customWidth="1"/>
    <col min="14858" max="14858" width="11.81640625" customWidth="1"/>
    <col min="14859" max="14859" width="26.7265625" customWidth="1"/>
    <col min="14860" max="14860" width="10.1796875" bestFit="1" customWidth="1"/>
    <col min="14861" max="14862" width="8.54296875" bestFit="1" customWidth="1"/>
    <col min="14863" max="14863" width="9.1796875" customWidth="1"/>
    <col min="15105" max="15105" width="25.26953125" bestFit="1" customWidth="1"/>
    <col min="15107" max="15107" width="8" bestFit="1" customWidth="1"/>
    <col min="15108" max="15109" width="8.1796875" bestFit="1" customWidth="1"/>
    <col min="15110" max="15110" width="7.26953125" bestFit="1" customWidth="1"/>
    <col min="15111" max="15111" width="39.26953125" customWidth="1"/>
    <col min="15112" max="15112" width="18.7265625" customWidth="1"/>
    <col min="15113" max="15113" width="13.54296875" bestFit="1" customWidth="1"/>
    <col min="15114" max="15114" width="11.81640625" customWidth="1"/>
    <col min="15115" max="15115" width="26.7265625" customWidth="1"/>
    <col min="15116" max="15116" width="10.1796875" bestFit="1" customWidth="1"/>
    <col min="15117" max="15118" width="8.54296875" bestFit="1" customWidth="1"/>
    <col min="15119" max="15119" width="9.1796875" customWidth="1"/>
    <col min="15361" max="15361" width="25.26953125" bestFit="1" customWidth="1"/>
    <col min="15363" max="15363" width="8" bestFit="1" customWidth="1"/>
    <col min="15364" max="15365" width="8.1796875" bestFit="1" customWidth="1"/>
    <col min="15366" max="15366" width="7.26953125" bestFit="1" customWidth="1"/>
    <col min="15367" max="15367" width="39.26953125" customWidth="1"/>
    <col min="15368" max="15368" width="18.7265625" customWidth="1"/>
    <col min="15369" max="15369" width="13.54296875" bestFit="1" customWidth="1"/>
    <col min="15370" max="15370" width="11.81640625" customWidth="1"/>
    <col min="15371" max="15371" width="26.7265625" customWidth="1"/>
    <col min="15372" max="15372" width="10.1796875" bestFit="1" customWidth="1"/>
    <col min="15373" max="15374" width="8.54296875" bestFit="1" customWidth="1"/>
    <col min="15375" max="15375" width="9.1796875" customWidth="1"/>
    <col min="15617" max="15617" width="25.26953125" bestFit="1" customWidth="1"/>
    <col min="15619" max="15619" width="8" bestFit="1" customWidth="1"/>
    <col min="15620" max="15621" width="8.1796875" bestFit="1" customWidth="1"/>
    <col min="15622" max="15622" width="7.26953125" bestFit="1" customWidth="1"/>
    <col min="15623" max="15623" width="39.26953125" customWidth="1"/>
    <col min="15624" max="15624" width="18.7265625" customWidth="1"/>
    <col min="15625" max="15625" width="13.54296875" bestFit="1" customWidth="1"/>
    <col min="15626" max="15626" width="11.81640625" customWidth="1"/>
    <col min="15627" max="15627" width="26.7265625" customWidth="1"/>
    <col min="15628" max="15628" width="10.1796875" bestFit="1" customWidth="1"/>
    <col min="15629" max="15630" width="8.54296875" bestFit="1" customWidth="1"/>
    <col min="15631" max="15631" width="9.1796875" customWidth="1"/>
    <col min="15873" max="15873" width="25.26953125" bestFit="1" customWidth="1"/>
    <col min="15875" max="15875" width="8" bestFit="1" customWidth="1"/>
    <col min="15876" max="15877" width="8.1796875" bestFit="1" customWidth="1"/>
    <col min="15878" max="15878" width="7.26953125" bestFit="1" customWidth="1"/>
    <col min="15879" max="15879" width="39.26953125" customWidth="1"/>
    <col min="15880" max="15880" width="18.7265625" customWidth="1"/>
    <col min="15881" max="15881" width="13.54296875" bestFit="1" customWidth="1"/>
    <col min="15882" max="15882" width="11.81640625" customWidth="1"/>
    <col min="15883" max="15883" width="26.7265625" customWidth="1"/>
    <col min="15884" max="15884" width="10.1796875" bestFit="1" customWidth="1"/>
    <col min="15885" max="15886" width="8.54296875" bestFit="1" customWidth="1"/>
    <col min="15887" max="15887" width="9.1796875" customWidth="1"/>
    <col min="16129" max="16129" width="25.26953125" bestFit="1" customWidth="1"/>
    <col min="16131" max="16131" width="8" bestFit="1" customWidth="1"/>
    <col min="16132" max="16133" width="8.1796875" bestFit="1" customWidth="1"/>
    <col min="16134" max="16134" width="7.26953125" bestFit="1" customWidth="1"/>
    <col min="16135" max="16135" width="39.26953125" customWidth="1"/>
    <col min="16136" max="16136" width="18.7265625" customWidth="1"/>
    <col min="16137" max="16137" width="13.54296875" bestFit="1" customWidth="1"/>
    <col min="16138" max="16138" width="11.81640625" customWidth="1"/>
    <col min="16139" max="16139" width="26.7265625" customWidth="1"/>
    <col min="16140" max="16140" width="10.1796875" bestFit="1" customWidth="1"/>
    <col min="16141" max="16142" width="8.54296875" bestFit="1" customWidth="1"/>
    <col min="16143" max="16143" width="9.1796875" customWidth="1"/>
  </cols>
  <sheetData>
    <row r="1" spans="1:15" s="5" customFormat="1" ht="52.5">
      <c r="A1" s="1" t="s">
        <v>0</v>
      </c>
      <c r="B1" s="2" t="s">
        <v>1</v>
      </c>
      <c r="C1" s="2" t="s">
        <v>2</v>
      </c>
      <c r="D1" s="2" t="s">
        <v>3</v>
      </c>
      <c r="E1" s="2" t="s">
        <v>4</v>
      </c>
      <c r="F1" s="2" t="s">
        <v>5</v>
      </c>
      <c r="G1" s="3" t="s">
        <v>6</v>
      </c>
      <c r="H1" s="3" t="s">
        <v>702</v>
      </c>
      <c r="I1" s="2" t="s">
        <v>703</v>
      </c>
      <c r="J1" s="2" t="s">
        <v>704</v>
      </c>
      <c r="K1" s="2" t="s">
        <v>705</v>
      </c>
      <c r="L1" s="2" t="s">
        <v>10</v>
      </c>
      <c r="M1" s="2" t="s">
        <v>706</v>
      </c>
      <c r="N1" s="2" t="s">
        <v>12</v>
      </c>
      <c r="O1" s="261" t="s">
        <v>508</v>
      </c>
    </row>
    <row r="2" spans="1:15" s="11" customFormat="1" ht="10.5">
      <c r="A2" s="6" t="s">
        <v>955</v>
      </c>
      <c r="B2" s="7" t="s">
        <v>14</v>
      </c>
      <c r="C2" s="7" t="s">
        <v>709</v>
      </c>
      <c r="D2" s="7">
        <v>1</v>
      </c>
      <c r="E2" s="7">
        <f>E8</f>
        <v>50</v>
      </c>
      <c r="F2" s="7">
        <f>SUM(F3:F8)</f>
        <v>50</v>
      </c>
      <c r="G2" s="8"/>
      <c r="H2" s="8"/>
      <c r="I2" s="9"/>
      <c r="J2" s="9"/>
      <c r="K2" s="7"/>
      <c r="L2" s="7"/>
      <c r="M2" s="7"/>
      <c r="N2" s="163" t="s">
        <v>879</v>
      </c>
      <c r="O2" s="262"/>
    </row>
    <row r="3" spans="1:15" s="11" customFormat="1" ht="20.5">
      <c r="A3" s="12" t="s">
        <v>17</v>
      </c>
      <c r="B3" s="13" t="s">
        <v>18</v>
      </c>
      <c r="C3" s="14">
        <v>1</v>
      </c>
      <c r="D3" s="14">
        <v>1</v>
      </c>
      <c r="E3" s="14">
        <f t="shared" ref="E3:E8" si="0">D3+F3-1</f>
        <v>1</v>
      </c>
      <c r="F3" s="14">
        <v>1</v>
      </c>
      <c r="G3" s="15" t="s">
        <v>19</v>
      </c>
      <c r="H3" s="15"/>
      <c r="I3" s="16"/>
      <c r="J3" s="16"/>
      <c r="K3" s="14"/>
      <c r="L3" s="14"/>
      <c r="M3" s="14"/>
      <c r="N3" s="168" t="s">
        <v>290</v>
      </c>
      <c r="O3" s="173"/>
    </row>
    <row r="4" spans="1:15" s="23" customFormat="1">
      <c r="A4" s="64" t="s">
        <v>710</v>
      </c>
      <c r="B4" s="264" t="s">
        <v>711</v>
      </c>
      <c r="C4" s="19">
        <v>2</v>
      </c>
      <c r="D4" s="19">
        <f>E3+1</f>
        <v>2</v>
      </c>
      <c r="E4" s="19">
        <f t="shared" si="0"/>
        <v>16</v>
      </c>
      <c r="F4" s="19">
        <v>15</v>
      </c>
      <c r="G4" s="20" t="s">
        <v>712</v>
      </c>
      <c r="H4" s="20"/>
      <c r="I4" s="66"/>
      <c r="J4" s="66"/>
      <c r="K4" s="19"/>
      <c r="L4" s="19"/>
      <c r="M4" s="19"/>
      <c r="N4" s="172"/>
      <c r="O4" s="173"/>
    </row>
    <row r="5" spans="1:15" s="23" customFormat="1">
      <c r="A5" s="64" t="s">
        <v>713</v>
      </c>
      <c r="B5" s="264" t="s">
        <v>714</v>
      </c>
      <c r="C5" s="19">
        <v>3</v>
      </c>
      <c r="D5" s="19">
        <f>E4+1</f>
        <v>17</v>
      </c>
      <c r="E5" s="19">
        <f t="shared" si="0"/>
        <v>26</v>
      </c>
      <c r="F5" s="19">
        <v>10</v>
      </c>
      <c r="G5" s="20" t="s">
        <v>715</v>
      </c>
      <c r="H5" s="20"/>
      <c r="I5" s="66"/>
      <c r="J5" s="66"/>
      <c r="K5" s="19"/>
      <c r="L5" s="19"/>
      <c r="M5" s="19"/>
      <c r="N5" s="172"/>
      <c r="O5" s="173"/>
    </row>
    <row r="6" spans="1:15" s="23" customFormat="1">
      <c r="A6" s="64" t="s">
        <v>215</v>
      </c>
      <c r="B6" s="264" t="s">
        <v>216</v>
      </c>
      <c r="C6" s="14">
        <v>4</v>
      </c>
      <c r="D6" s="19">
        <f>E5+1</f>
        <v>27</v>
      </c>
      <c r="E6" s="19">
        <f t="shared" si="0"/>
        <v>34</v>
      </c>
      <c r="F6" s="19">
        <v>8</v>
      </c>
      <c r="G6" s="20" t="s">
        <v>716</v>
      </c>
      <c r="H6" s="20"/>
      <c r="I6" s="174"/>
      <c r="J6" s="174"/>
      <c r="K6" s="19"/>
      <c r="L6" s="19"/>
      <c r="M6" s="19"/>
      <c r="N6" s="172"/>
      <c r="O6" s="173"/>
    </row>
    <row r="7" spans="1:15" s="11" customFormat="1" ht="10.5" customHeight="1">
      <c r="A7" s="64" t="s">
        <v>717</v>
      </c>
      <c r="B7" s="264" t="s">
        <v>711</v>
      </c>
      <c r="C7" s="19">
        <v>5</v>
      </c>
      <c r="D7" s="19">
        <f>E6+1</f>
        <v>35</v>
      </c>
      <c r="E7" s="19">
        <f t="shared" si="0"/>
        <v>49</v>
      </c>
      <c r="F7" s="19">
        <v>15</v>
      </c>
      <c r="G7" s="25" t="s">
        <v>956</v>
      </c>
      <c r="H7" s="25"/>
      <c r="I7" s="26"/>
      <c r="J7" s="26"/>
      <c r="K7" s="14"/>
      <c r="L7" s="14"/>
      <c r="M7" s="14"/>
      <c r="N7" s="168" t="s">
        <v>879</v>
      </c>
      <c r="O7" s="173"/>
    </row>
    <row r="8" spans="1:15" s="23" customFormat="1" ht="10">
      <c r="A8" s="80" t="s">
        <v>719</v>
      </c>
      <c r="B8" s="18" t="s">
        <v>720</v>
      </c>
      <c r="C8" s="19">
        <v>6</v>
      </c>
      <c r="D8" s="19">
        <f>E7+1</f>
        <v>50</v>
      </c>
      <c r="E8" s="19">
        <f t="shared" si="0"/>
        <v>50</v>
      </c>
      <c r="F8" s="19">
        <v>1</v>
      </c>
      <c r="G8" s="20" t="s">
        <v>721</v>
      </c>
      <c r="H8" s="20"/>
      <c r="I8" s="66"/>
      <c r="J8" s="66"/>
      <c r="K8" s="19"/>
      <c r="L8" s="19"/>
      <c r="M8" s="19"/>
      <c r="N8" s="172"/>
      <c r="O8" s="173"/>
    </row>
    <row r="9" spans="1:15" s="11" customFormat="1" ht="10.5">
      <c r="A9" s="6" t="s">
        <v>722</v>
      </c>
      <c r="B9" s="7" t="s">
        <v>14</v>
      </c>
      <c r="C9" s="27" t="s">
        <v>709</v>
      </c>
      <c r="D9" s="7">
        <v>1</v>
      </c>
      <c r="E9" s="7">
        <f>E16</f>
        <v>40</v>
      </c>
      <c r="F9" s="7">
        <f>SUM(F10:F16)</f>
        <v>40</v>
      </c>
      <c r="G9" s="28"/>
      <c r="H9" s="28"/>
      <c r="I9" s="29"/>
      <c r="J9" s="29"/>
      <c r="K9" s="7"/>
      <c r="L9" s="7"/>
      <c r="M9" s="7"/>
      <c r="N9" s="163" t="s">
        <v>879</v>
      </c>
      <c r="O9" s="262"/>
    </row>
    <row r="10" spans="1:15" s="11" customFormat="1" ht="20.5">
      <c r="A10" s="30" t="s">
        <v>723</v>
      </c>
      <c r="B10" s="13" t="s">
        <v>18</v>
      </c>
      <c r="C10" s="14">
        <v>7</v>
      </c>
      <c r="D10" s="31">
        <v>1</v>
      </c>
      <c r="E10" s="14">
        <f t="shared" ref="E10:E16" si="1">D10+F10-1</f>
        <v>1</v>
      </c>
      <c r="F10" s="31">
        <v>1</v>
      </c>
      <c r="G10" s="15" t="s">
        <v>38</v>
      </c>
      <c r="H10" s="15"/>
      <c r="I10" s="16"/>
      <c r="J10" s="16"/>
      <c r="K10" s="31"/>
      <c r="L10" s="31"/>
      <c r="M10" s="31"/>
      <c r="N10" s="168" t="s">
        <v>724</v>
      </c>
      <c r="O10" s="173"/>
    </row>
    <row r="11" spans="1:15" s="11" customFormat="1" ht="30.5">
      <c r="A11" s="49" t="s">
        <v>957</v>
      </c>
      <c r="B11" s="13" t="s">
        <v>536</v>
      </c>
      <c r="C11" s="14">
        <v>8</v>
      </c>
      <c r="D11" s="14">
        <f t="shared" ref="D11:D16" si="2">E10+1</f>
        <v>2</v>
      </c>
      <c r="E11" s="14">
        <f t="shared" si="1"/>
        <v>14</v>
      </c>
      <c r="F11" s="14">
        <v>13</v>
      </c>
      <c r="H11" s="263" t="s">
        <v>880</v>
      </c>
      <c r="I11" s="16" t="s">
        <v>297</v>
      </c>
      <c r="J11" s="16" t="s">
        <v>958</v>
      </c>
      <c r="K11" s="71" t="s">
        <v>959</v>
      </c>
      <c r="L11" s="14" t="s">
        <v>730</v>
      </c>
      <c r="M11" s="179" t="s">
        <v>731</v>
      </c>
      <c r="N11" s="168" t="s">
        <v>290</v>
      </c>
      <c r="O11" s="173" t="s">
        <v>732</v>
      </c>
    </row>
    <row r="12" spans="1:15" s="11" customFormat="1" ht="40">
      <c r="A12" s="187" t="s">
        <v>960</v>
      </c>
      <c r="B12" s="13" t="s">
        <v>961</v>
      </c>
      <c r="C12" s="14">
        <v>9</v>
      </c>
      <c r="D12" s="14">
        <f t="shared" si="2"/>
        <v>15</v>
      </c>
      <c r="E12" s="14">
        <f t="shared" si="1"/>
        <v>17</v>
      </c>
      <c r="F12" s="14">
        <v>3</v>
      </c>
      <c r="H12" s="75" t="s">
        <v>962</v>
      </c>
      <c r="I12" s="16" t="s">
        <v>297</v>
      </c>
      <c r="J12" s="16" t="s">
        <v>958</v>
      </c>
      <c r="K12" s="75" t="s">
        <v>963</v>
      </c>
      <c r="L12" s="14" t="s">
        <v>730</v>
      </c>
      <c r="M12" s="179">
        <v>791</v>
      </c>
      <c r="N12" s="168" t="s">
        <v>290</v>
      </c>
      <c r="O12" s="173" t="s">
        <v>732</v>
      </c>
    </row>
    <row r="13" spans="1:15" s="11" customFormat="1" ht="30">
      <c r="A13" s="187" t="s">
        <v>964</v>
      </c>
      <c r="B13" s="13" t="s">
        <v>806</v>
      </c>
      <c r="C13" s="14">
        <v>10</v>
      </c>
      <c r="D13" s="14">
        <f t="shared" si="2"/>
        <v>18</v>
      </c>
      <c r="E13" s="14">
        <f t="shared" si="1"/>
        <v>18</v>
      </c>
      <c r="F13" s="14">
        <v>1</v>
      </c>
      <c r="H13" s="75" t="s">
        <v>965</v>
      </c>
      <c r="I13" s="16"/>
      <c r="J13" s="16"/>
      <c r="K13" s="75" t="s">
        <v>966</v>
      </c>
      <c r="L13" s="14"/>
      <c r="M13" s="179"/>
      <c r="N13" s="168"/>
      <c r="O13" s="173"/>
    </row>
    <row r="14" spans="1:15" s="11" customFormat="1" ht="210">
      <c r="A14" s="187" t="s">
        <v>967</v>
      </c>
      <c r="B14" s="13" t="s">
        <v>806</v>
      </c>
      <c r="C14" s="14">
        <v>10</v>
      </c>
      <c r="D14" s="14">
        <f t="shared" si="2"/>
        <v>19</v>
      </c>
      <c r="E14" s="14">
        <f t="shared" si="1"/>
        <v>19</v>
      </c>
      <c r="F14" s="14">
        <v>1</v>
      </c>
      <c r="H14" s="75" t="s">
        <v>968</v>
      </c>
      <c r="I14" s="16"/>
      <c r="J14" s="16"/>
      <c r="K14" s="75" t="s">
        <v>966</v>
      </c>
      <c r="L14" s="14"/>
      <c r="M14" s="179"/>
      <c r="N14" s="168"/>
      <c r="O14" s="173"/>
    </row>
    <row r="15" spans="1:15" s="11" customFormat="1" ht="90">
      <c r="A15" s="282" t="s">
        <v>969</v>
      </c>
      <c r="B15" s="13" t="s">
        <v>756</v>
      </c>
      <c r="C15" s="14">
        <v>11</v>
      </c>
      <c r="D15" s="14">
        <f t="shared" si="2"/>
        <v>20</v>
      </c>
      <c r="E15" s="14">
        <f t="shared" si="1"/>
        <v>39</v>
      </c>
      <c r="F15" s="14">
        <v>20</v>
      </c>
      <c r="G15" s="73"/>
      <c r="H15" s="73"/>
      <c r="I15" s="16" t="s">
        <v>297</v>
      </c>
      <c r="J15" s="16" t="s">
        <v>958</v>
      </c>
      <c r="K15" s="75" t="s">
        <v>970</v>
      </c>
      <c r="L15" s="14" t="s">
        <v>730</v>
      </c>
      <c r="M15" s="36" t="s">
        <v>971</v>
      </c>
      <c r="N15" s="168" t="s">
        <v>290</v>
      </c>
      <c r="O15" s="173" t="s">
        <v>732</v>
      </c>
    </row>
    <row r="16" spans="1:15" s="23" customFormat="1" ht="10">
      <c r="A16" s="80" t="s">
        <v>719</v>
      </c>
      <c r="B16" s="18" t="s">
        <v>720</v>
      </c>
      <c r="C16" s="14">
        <v>15</v>
      </c>
      <c r="D16" s="14">
        <f t="shared" si="2"/>
        <v>40</v>
      </c>
      <c r="E16" s="14">
        <f t="shared" si="1"/>
        <v>40</v>
      </c>
      <c r="F16" s="19">
        <v>1</v>
      </c>
      <c r="G16" s="20" t="s">
        <v>721</v>
      </c>
      <c r="H16" s="20"/>
      <c r="I16" s="66"/>
      <c r="J16" s="66"/>
      <c r="K16" s="19"/>
      <c r="L16" s="19"/>
      <c r="M16" s="19"/>
      <c r="N16" s="172"/>
      <c r="O16" s="173"/>
    </row>
    <row r="17" spans="1:15" s="11" customFormat="1" ht="10.5">
      <c r="A17" s="6" t="s">
        <v>858</v>
      </c>
      <c r="B17" s="7" t="s">
        <v>14</v>
      </c>
      <c r="C17" s="27" t="s">
        <v>709</v>
      </c>
      <c r="D17" s="7">
        <v>1</v>
      </c>
      <c r="E17" s="7">
        <f>E20</f>
        <v>11</v>
      </c>
      <c r="F17" s="7">
        <f>SUM(F18:F20)</f>
        <v>11</v>
      </c>
      <c r="G17" s="28"/>
      <c r="H17" s="28"/>
      <c r="I17" s="29"/>
      <c r="J17" s="29"/>
      <c r="K17" s="7"/>
      <c r="L17" s="41" t="s">
        <v>204</v>
      </c>
      <c r="M17" s="41"/>
      <c r="N17" s="163" t="s">
        <v>879</v>
      </c>
      <c r="O17" s="262"/>
    </row>
    <row r="18" spans="1:15" s="11" customFormat="1" ht="15" customHeight="1">
      <c r="A18" s="30" t="s">
        <v>723</v>
      </c>
      <c r="B18" s="13" t="s">
        <v>18</v>
      </c>
      <c r="C18" s="14">
        <v>16</v>
      </c>
      <c r="D18" s="14">
        <v>1</v>
      </c>
      <c r="E18" s="14">
        <v>1</v>
      </c>
      <c r="F18" s="14">
        <v>1</v>
      </c>
      <c r="G18" s="15" t="s">
        <v>205</v>
      </c>
      <c r="H18" s="15"/>
      <c r="I18" s="16"/>
      <c r="J18" s="16"/>
      <c r="K18" s="14"/>
      <c r="L18" s="14"/>
      <c r="M18" s="14"/>
      <c r="N18" s="168" t="s">
        <v>290</v>
      </c>
      <c r="O18" s="173"/>
    </row>
    <row r="19" spans="1:15" s="11" customFormat="1" ht="13.5" customHeight="1">
      <c r="A19" s="42" t="s">
        <v>206</v>
      </c>
      <c r="B19" s="13" t="s">
        <v>207</v>
      </c>
      <c r="C19" s="14">
        <v>17</v>
      </c>
      <c r="D19" s="14">
        <f>E18+1</f>
        <v>2</v>
      </c>
      <c r="E19" s="14">
        <f>D19+F19-1</f>
        <v>10</v>
      </c>
      <c r="F19" s="14">
        <v>9</v>
      </c>
      <c r="G19" s="15" t="s">
        <v>233</v>
      </c>
      <c r="H19" s="15"/>
      <c r="I19" s="16"/>
      <c r="J19" s="16"/>
      <c r="K19" s="14"/>
      <c r="L19" s="14"/>
      <c r="M19" s="14"/>
      <c r="N19" s="168" t="s">
        <v>290</v>
      </c>
      <c r="O19" s="173"/>
    </row>
    <row r="20" spans="1:15" s="23" customFormat="1" ht="10.5" thickBot="1">
      <c r="A20" s="81" t="s">
        <v>719</v>
      </c>
      <c r="B20" s="279" t="s">
        <v>720</v>
      </c>
      <c r="C20" s="202">
        <v>18</v>
      </c>
      <c r="D20" s="52">
        <f>E19+1</f>
        <v>11</v>
      </c>
      <c r="E20" s="202">
        <f>D20+F20-1</f>
        <v>11</v>
      </c>
      <c r="F20" s="202">
        <v>1</v>
      </c>
      <c r="G20" s="83" t="s">
        <v>721</v>
      </c>
      <c r="H20" s="83"/>
      <c r="I20" s="203"/>
      <c r="J20" s="203"/>
      <c r="K20" s="202"/>
      <c r="L20" s="202"/>
      <c r="M20" s="202"/>
      <c r="N20" s="204"/>
      <c r="O20" s="206"/>
    </row>
  </sheetData>
  <pageMargins left="0.75" right="0.75" top="1" bottom="1" header="0.5" footer="0.5"/>
  <pageSetup paperSize="9" orientation="portrait" r:id="rId1"/>
  <headerFooter alignWithMargins="0">
    <oddHeader>&amp;L&amp;"Arial"&amp;9&amp;K0078D7 INTERNAL&amp;1#_x000D_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E248-F0B5-4780-BBE5-C47399C9FCC6}">
  <sheetPr codeName="Sheet12"/>
  <dimension ref="A1:O25"/>
  <sheetViews>
    <sheetView workbookViewId="0">
      <selection activeCell="A20" sqref="A20"/>
    </sheetView>
  </sheetViews>
  <sheetFormatPr defaultRowHeight="12.5"/>
  <cols>
    <col min="1" max="1" width="25.26953125" bestFit="1" customWidth="1"/>
    <col min="3" max="3" width="8" bestFit="1" customWidth="1"/>
    <col min="4" max="5" width="8.1796875" bestFit="1" customWidth="1"/>
    <col min="6" max="6" width="7.26953125" bestFit="1" customWidth="1"/>
    <col min="7" max="7" width="39.26953125" style="208" customWidth="1"/>
    <col min="8" max="8" width="19.453125" style="208" customWidth="1"/>
    <col min="9" max="9" width="13.54296875" bestFit="1" customWidth="1"/>
    <col min="10" max="10" width="11.81640625" customWidth="1"/>
    <col min="11" max="11" width="31.81640625" customWidth="1"/>
    <col min="12" max="12" width="10.1796875" bestFit="1" customWidth="1"/>
    <col min="13" max="14" width="8.54296875" bestFit="1" customWidth="1"/>
    <col min="15" max="15" width="9.1796875" style="23" customWidth="1"/>
    <col min="257" max="257" width="25.26953125" bestFit="1" customWidth="1"/>
    <col min="259" max="259" width="8" bestFit="1" customWidth="1"/>
    <col min="260" max="261" width="8.1796875" bestFit="1" customWidth="1"/>
    <col min="262" max="262" width="7.26953125" bestFit="1" customWidth="1"/>
    <col min="263" max="263" width="39.26953125" customWidth="1"/>
    <col min="264" max="264" width="19.453125" customWidth="1"/>
    <col min="265" max="265" width="13.54296875" bestFit="1" customWidth="1"/>
    <col min="266" max="266" width="11.81640625" customWidth="1"/>
    <col min="267" max="267" width="31.81640625" customWidth="1"/>
    <col min="268" max="268" width="10.1796875" bestFit="1" customWidth="1"/>
    <col min="269" max="270" width="8.54296875" bestFit="1" customWidth="1"/>
    <col min="271" max="271" width="9.1796875" customWidth="1"/>
    <col min="513" max="513" width="25.26953125" bestFit="1" customWidth="1"/>
    <col min="515" max="515" width="8" bestFit="1" customWidth="1"/>
    <col min="516" max="517" width="8.1796875" bestFit="1" customWidth="1"/>
    <col min="518" max="518" width="7.26953125" bestFit="1" customWidth="1"/>
    <col min="519" max="519" width="39.26953125" customWidth="1"/>
    <col min="520" max="520" width="19.453125" customWidth="1"/>
    <col min="521" max="521" width="13.54296875" bestFit="1" customWidth="1"/>
    <col min="522" max="522" width="11.81640625" customWidth="1"/>
    <col min="523" max="523" width="31.81640625" customWidth="1"/>
    <col min="524" max="524" width="10.1796875" bestFit="1" customWidth="1"/>
    <col min="525" max="526" width="8.54296875" bestFit="1" customWidth="1"/>
    <col min="527" max="527" width="9.1796875" customWidth="1"/>
    <col min="769" max="769" width="25.26953125" bestFit="1" customWidth="1"/>
    <col min="771" max="771" width="8" bestFit="1" customWidth="1"/>
    <col min="772" max="773" width="8.1796875" bestFit="1" customWidth="1"/>
    <col min="774" max="774" width="7.26953125" bestFit="1" customWidth="1"/>
    <col min="775" max="775" width="39.26953125" customWidth="1"/>
    <col min="776" max="776" width="19.453125" customWidth="1"/>
    <col min="777" max="777" width="13.54296875" bestFit="1" customWidth="1"/>
    <col min="778" max="778" width="11.81640625" customWidth="1"/>
    <col min="779" max="779" width="31.81640625" customWidth="1"/>
    <col min="780" max="780" width="10.1796875" bestFit="1" customWidth="1"/>
    <col min="781" max="782" width="8.54296875" bestFit="1" customWidth="1"/>
    <col min="783" max="783" width="9.1796875" customWidth="1"/>
    <col min="1025" max="1025" width="25.26953125" bestFit="1" customWidth="1"/>
    <col min="1027" max="1027" width="8" bestFit="1" customWidth="1"/>
    <col min="1028" max="1029" width="8.1796875" bestFit="1" customWidth="1"/>
    <col min="1030" max="1030" width="7.26953125" bestFit="1" customWidth="1"/>
    <col min="1031" max="1031" width="39.26953125" customWidth="1"/>
    <col min="1032" max="1032" width="19.453125" customWidth="1"/>
    <col min="1033" max="1033" width="13.54296875" bestFit="1" customWidth="1"/>
    <col min="1034" max="1034" width="11.81640625" customWidth="1"/>
    <col min="1035" max="1035" width="31.81640625" customWidth="1"/>
    <col min="1036" max="1036" width="10.1796875" bestFit="1" customWidth="1"/>
    <col min="1037" max="1038" width="8.54296875" bestFit="1" customWidth="1"/>
    <col min="1039" max="1039" width="9.1796875" customWidth="1"/>
    <col min="1281" max="1281" width="25.26953125" bestFit="1" customWidth="1"/>
    <col min="1283" max="1283" width="8" bestFit="1" customWidth="1"/>
    <col min="1284" max="1285" width="8.1796875" bestFit="1" customWidth="1"/>
    <col min="1286" max="1286" width="7.26953125" bestFit="1" customWidth="1"/>
    <col min="1287" max="1287" width="39.26953125" customWidth="1"/>
    <col min="1288" max="1288" width="19.453125" customWidth="1"/>
    <col min="1289" max="1289" width="13.54296875" bestFit="1" customWidth="1"/>
    <col min="1290" max="1290" width="11.81640625" customWidth="1"/>
    <col min="1291" max="1291" width="31.81640625" customWidth="1"/>
    <col min="1292" max="1292" width="10.1796875" bestFit="1" customWidth="1"/>
    <col min="1293" max="1294" width="8.54296875" bestFit="1" customWidth="1"/>
    <col min="1295" max="1295" width="9.1796875" customWidth="1"/>
    <col min="1537" max="1537" width="25.26953125" bestFit="1" customWidth="1"/>
    <col min="1539" max="1539" width="8" bestFit="1" customWidth="1"/>
    <col min="1540" max="1541" width="8.1796875" bestFit="1" customWidth="1"/>
    <col min="1542" max="1542" width="7.26953125" bestFit="1" customWidth="1"/>
    <col min="1543" max="1543" width="39.26953125" customWidth="1"/>
    <col min="1544" max="1544" width="19.453125" customWidth="1"/>
    <col min="1545" max="1545" width="13.54296875" bestFit="1" customWidth="1"/>
    <col min="1546" max="1546" width="11.81640625" customWidth="1"/>
    <col min="1547" max="1547" width="31.81640625" customWidth="1"/>
    <col min="1548" max="1548" width="10.1796875" bestFit="1" customWidth="1"/>
    <col min="1549" max="1550" width="8.54296875" bestFit="1" customWidth="1"/>
    <col min="1551" max="1551" width="9.1796875" customWidth="1"/>
    <col min="1793" max="1793" width="25.26953125" bestFit="1" customWidth="1"/>
    <col min="1795" max="1795" width="8" bestFit="1" customWidth="1"/>
    <col min="1796" max="1797" width="8.1796875" bestFit="1" customWidth="1"/>
    <col min="1798" max="1798" width="7.26953125" bestFit="1" customWidth="1"/>
    <col min="1799" max="1799" width="39.26953125" customWidth="1"/>
    <col min="1800" max="1800" width="19.453125" customWidth="1"/>
    <col min="1801" max="1801" width="13.54296875" bestFit="1" customWidth="1"/>
    <col min="1802" max="1802" width="11.81640625" customWidth="1"/>
    <col min="1803" max="1803" width="31.81640625" customWidth="1"/>
    <col min="1804" max="1804" width="10.1796875" bestFit="1" customWidth="1"/>
    <col min="1805" max="1806" width="8.54296875" bestFit="1" customWidth="1"/>
    <col min="1807" max="1807" width="9.1796875" customWidth="1"/>
    <col min="2049" max="2049" width="25.26953125" bestFit="1" customWidth="1"/>
    <col min="2051" max="2051" width="8" bestFit="1" customWidth="1"/>
    <col min="2052" max="2053" width="8.1796875" bestFit="1" customWidth="1"/>
    <col min="2054" max="2054" width="7.26953125" bestFit="1" customWidth="1"/>
    <col min="2055" max="2055" width="39.26953125" customWidth="1"/>
    <col min="2056" max="2056" width="19.453125" customWidth="1"/>
    <col min="2057" max="2057" width="13.54296875" bestFit="1" customWidth="1"/>
    <col min="2058" max="2058" width="11.81640625" customWidth="1"/>
    <col min="2059" max="2059" width="31.81640625" customWidth="1"/>
    <col min="2060" max="2060" width="10.1796875" bestFit="1" customWidth="1"/>
    <col min="2061" max="2062" width="8.54296875" bestFit="1" customWidth="1"/>
    <col min="2063" max="2063" width="9.1796875" customWidth="1"/>
    <col min="2305" max="2305" width="25.26953125" bestFit="1" customWidth="1"/>
    <col min="2307" max="2307" width="8" bestFit="1" customWidth="1"/>
    <col min="2308" max="2309" width="8.1796875" bestFit="1" customWidth="1"/>
    <col min="2310" max="2310" width="7.26953125" bestFit="1" customWidth="1"/>
    <col min="2311" max="2311" width="39.26953125" customWidth="1"/>
    <col min="2312" max="2312" width="19.453125" customWidth="1"/>
    <col min="2313" max="2313" width="13.54296875" bestFit="1" customWidth="1"/>
    <col min="2314" max="2314" width="11.81640625" customWidth="1"/>
    <col min="2315" max="2315" width="31.81640625" customWidth="1"/>
    <col min="2316" max="2316" width="10.1796875" bestFit="1" customWidth="1"/>
    <col min="2317" max="2318" width="8.54296875" bestFit="1" customWidth="1"/>
    <col min="2319" max="2319" width="9.1796875" customWidth="1"/>
    <col min="2561" max="2561" width="25.26953125" bestFit="1" customWidth="1"/>
    <col min="2563" max="2563" width="8" bestFit="1" customWidth="1"/>
    <col min="2564" max="2565" width="8.1796875" bestFit="1" customWidth="1"/>
    <col min="2566" max="2566" width="7.26953125" bestFit="1" customWidth="1"/>
    <col min="2567" max="2567" width="39.26953125" customWidth="1"/>
    <col min="2568" max="2568" width="19.453125" customWidth="1"/>
    <col min="2569" max="2569" width="13.54296875" bestFit="1" customWidth="1"/>
    <col min="2570" max="2570" width="11.81640625" customWidth="1"/>
    <col min="2571" max="2571" width="31.81640625" customWidth="1"/>
    <col min="2572" max="2572" width="10.1796875" bestFit="1" customWidth="1"/>
    <col min="2573" max="2574" width="8.54296875" bestFit="1" customWidth="1"/>
    <col min="2575" max="2575" width="9.1796875" customWidth="1"/>
    <col min="2817" max="2817" width="25.26953125" bestFit="1" customWidth="1"/>
    <col min="2819" max="2819" width="8" bestFit="1" customWidth="1"/>
    <col min="2820" max="2821" width="8.1796875" bestFit="1" customWidth="1"/>
    <col min="2822" max="2822" width="7.26953125" bestFit="1" customWidth="1"/>
    <col min="2823" max="2823" width="39.26953125" customWidth="1"/>
    <col min="2824" max="2824" width="19.453125" customWidth="1"/>
    <col min="2825" max="2825" width="13.54296875" bestFit="1" customWidth="1"/>
    <col min="2826" max="2826" width="11.81640625" customWidth="1"/>
    <col min="2827" max="2827" width="31.81640625" customWidth="1"/>
    <col min="2828" max="2828" width="10.1796875" bestFit="1" customWidth="1"/>
    <col min="2829" max="2830" width="8.54296875" bestFit="1" customWidth="1"/>
    <col min="2831" max="2831" width="9.1796875" customWidth="1"/>
    <col min="3073" max="3073" width="25.26953125" bestFit="1" customWidth="1"/>
    <col min="3075" max="3075" width="8" bestFit="1" customWidth="1"/>
    <col min="3076" max="3077" width="8.1796875" bestFit="1" customWidth="1"/>
    <col min="3078" max="3078" width="7.26953125" bestFit="1" customWidth="1"/>
    <col min="3079" max="3079" width="39.26953125" customWidth="1"/>
    <col min="3080" max="3080" width="19.453125" customWidth="1"/>
    <col min="3081" max="3081" width="13.54296875" bestFit="1" customWidth="1"/>
    <col min="3082" max="3082" width="11.81640625" customWidth="1"/>
    <col min="3083" max="3083" width="31.81640625" customWidth="1"/>
    <col min="3084" max="3084" width="10.1796875" bestFit="1" customWidth="1"/>
    <col min="3085" max="3086" width="8.54296875" bestFit="1" customWidth="1"/>
    <col min="3087" max="3087" width="9.1796875" customWidth="1"/>
    <col min="3329" max="3329" width="25.26953125" bestFit="1" customWidth="1"/>
    <col min="3331" max="3331" width="8" bestFit="1" customWidth="1"/>
    <col min="3332" max="3333" width="8.1796875" bestFit="1" customWidth="1"/>
    <col min="3334" max="3334" width="7.26953125" bestFit="1" customWidth="1"/>
    <col min="3335" max="3335" width="39.26953125" customWidth="1"/>
    <col min="3336" max="3336" width="19.453125" customWidth="1"/>
    <col min="3337" max="3337" width="13.54296875" bestFit="1" customWidth="1"/>
    <col min="3338" max="3338" width="11.81640625" customWidth="1"/>
    <col min="3339" max="3339" width="31.81640625" customWidth="1"/>
    <col min="3340" max="3340" width="10.1796875" bestFit="1" customWidth="1"/>
    <col min="3341" max="3342" width="8.54296875" bestFit="1" customWidth="1"/>
    <col min="3343" max="3343" width="9.1796875" customWidth="1"/>
    <col min="3585" max="3585" width="25.26953125" bestFit="1" customWidth="1"/>
    <col min="3587" max="3587" width="8" bestFit="1" customWidth="1"/>
    <col min="3588" max="3589" width="8.1796875" bestFit="1" customWidth="1"/>
    <col min="3590" max="3590" width="7.26953125" bestFit="1" customWidth="1"/>
    <col min="3591" max="3591" width="39.26953125" customWidth="1"/>
    <col min="3592" max="3592" width="19.453125" customWidth="1"/>
    <col min="3593" max="3593" width="13.54296875" bestFit="1" customWidth="1"/>
    <col min="3594" max="3594" width="11.81640625" customWidth="1"/>
    <col min="3595" max="3595" width="31.81640625" customWidth="1"/>
    <col min="3596" max="3596" width="10.1796875" bestFit="1" customWidth="1"/>
    <col min="3597" max="3598" width="8.54296875" bestFit="1" customWidth="1"/>
    <col min="3599" max="3599" width="9.1796875" customWidth="1"/>
    <col min="3841" max="3841" width="25.26953125" bestFit="1" customWidth="1"/>
    <col min="3843" max="3843" width="8" bestFit="1" customWidth="1"/>
    <col min="3844" max="3845" width="8.1796875" bestFit="1" customWidth="1"/>
    <col min="3846" max="3846" width="7.26953125" bestFit="1" customWidth="1"/>
    <col min="3847" max="3847" width="39.26953125" customWidth="1"/>
    <col min="3848" max="3848" width="19.453125" customWidth="1"/>
    <col min="3849" max="3849" width="13.54296875" bestFit="1" customWidth="1"/>
    <col min="3850" max="3850" width="11.81640625" customWidth="1"/>
    <col min="3851" max="3851" width="31.81640625" customWidth="1"/>
    <col min="3852" max="3852" width="10.1796875" bestFit="1" customWidth="1"/>
    <col min="3853" max="3854" width="8.54296875" bestFit="1" customWidth="1"/>
    <col min="3855" max="3855" width="9.1796875" customWidth="1"/>
    <col min="4097" max="4097" width="25.26953125" bestFit="1" customWidth="1"/>
    <col min="4099" max="4099" width="8" bestFit="1" customWidth="1"/>
    <col min="4100" max="4101" width="8.1796875" bestFit="1" customWidth="1"/>
    <col min="4102" max="4102" width="7.26953125" bestFit="1" customWidth="1"/>
    <col min="4103" max="4103" width="39.26953125" customWidth="1"/>
    <col min="4104" max="4104" width="19.453125" customWidth="1"/>
    <col min="4105" max="4105" width="13.54296875" bestFit="1" customWidth="1"/>
    <col min="4106" max="4106" width="11.81640625" customWidth="1"/>
    <col min="4107" max="4107" width="31.81640625" customWidth="1"/>
    <col min="4108" max="4108" width="10.1796875" bestFit="1" customWidth="1"/>
    <col min="4109" max="4110" width="8.54296875" bestFit="1" customWidth="1"/>
    <col min="4111" max="4111" width="9.1796875" customWidth="1"/>
    <col min="4353" max="4353" width="25.26953125" bestFit="1" customWidth="1"/>
    <col min="4355" max="4355" width="8" bestFit="1" customWidth="1"/>
    <col min="4356" max="4357" width="8.1796875" bestFit="1" customWidth="1"/>
    <col min="4358" max="4358" width="7.26953125" bestFit="1" customWidth="1"/>
    <col min="4359" max="4359" width="39.26953125" customWidth="1"/>
    <col min="4360" max="4360" width="19.453125" customWidth="1"/>
    <col min="4361" max="4361" width="13.54296875" bestFit="1" customWidth="1"/>
    <col min="4362" max="4362" width="11.81640625" customWidth="1"/>
    <col min="4363" max="4363" width="31.81640625" customWidth="1"/>
    <col min="4364" max="4364" width="10.1796875" bestFit="1" customWidth="1"/>
    <col min="4365" max="4366" width="8.54296875" bestFit="1" customWidth="1"/>
    <col min="4367" max="4367" width="9.1796875" customWidth="1"/>
    <col min="4609" max="4609" width="25.26953125" bestFit="1" customWidth="1"/>
    <col min="4611" max="4611" width="8" bestFit="1" customWidth="1"/>
    <col min="4612" max="4613" width="8.1796875" bestFit="1" customWidth="1"/>
    <col min="4614" max="4614" width="7.26953125" bestFit="1" customWidth="1"/>
    <col min="4615" max="4615" width="39.26953125" customWidth="1"/>
    <col min="4616" max="4616" width="19.453125" customWidth="1"/>
    <col min="4617" max="4617" width="13.54296875" bestFit="1" customWidth="1"/>
    <col min="4618" max="4618" width="11.81640625" customWidth="1"/>
    <col min="4619" max="4619" width="31.81640625" customWidth="1"/>
    <col min="4620" max="4620" width="10.1796875" bestFit="1" customWidth="1"/>
    <col min="4621" max="4622" width="8.54296875" bestFit="1" customWidth="1"/>
    <col min="4623" max="4623" width="9.1796875" customWidth="1"/>
    <col min="4865" max="4865" width="25.26953125" bestFit="1" customWidth="1"/>
    <col min="4867" max="4867" width="8" bestFit="1" customWidth="1"/>
    <col min="4868" max="4869" width="8.1796875" bestFit="1" customWidth="1"/>
    <col min="4870" max="4870" width="7.26953125" bestFit="1" customWidth="1"/>
    <col min="4871" max="4871" width="39.26953125" customWidth="1"/>
    <col min="4872" max="4872" width="19.453125" customWidth="1"/>
    <col min="4873" max="4873" width="13.54296875" bestFit="1" customWidth="1"/>
    <col min="4874" max="4874" width="11.81640625" customWidth="1"/>
    <col min="4875" max="4875" width="31.81640625" customWidth="1"/>
    <col min="4876" max="4876" width="10.1796875" bestFit="1" customWidth="1"/>
    <col min="4877" max="4878" width="8.54296875" bestFit="1" customWidth="1"/>
    <col min="4879" max="4879" width="9.1796875" customWidth="1"/>
    <col min="5121" max="5121" width="25.26953125" bestFit="1" customWidth="1"/>
    <col min="5123" max="5123" width="8" bestFit="1" customWidth="1"/>
    <col min="5124" max="5125" width="8.1796875" bestFit="1" customWidth="1"/>
    <col min="5126" max="5126" width="7.26953125" bestFit="1" customWidth="1"/>
    <col min="5127" max="5127" width="39.26953125" customWidth="1"/>
    <col min="5128" max="5128" width="19.453125" customWidth="1"/>
    <col min="5129" max="5129" width="13.54296875" bestFit="1" customWidth="1"/>
    <col min="5130" max="5130" width="11.81640625" customWidth="1"/>
    <col min="5131" max="5131" width="31.81640625" customWidth="1"/>
    <col min="5132" max="5132" width="10.1796875" bestFit="1" customWidth="1"/>
    <col min="5133" max="5134" width="8.54296875" bestFit="1" customWidth="1"/>
    <col min="5135" max="5135" width="9.1796875" customWidth="1"/>
    <col min="5377" max="5377" width="25.26953125" bestFit="1" customWidth="1"/>
    <col min="5379" max="5379" width="8" bestFit="1" customWidth="1"/>
    <col min="5380" max="5381" width="8.1796875" bestFit="1" customWidth="1"/>
    <col min="5382" max="5382" width="7.26953125" bestFit="1" customWidth="1"/>
    <col min="5383" max="5383" width="39.26953125" customWidth="1"/>
    <col min="5384" max="5384" width="19.453125" customWidth="1"/>
    <col min="5385" max="5385" width="13.54296875" bestFit="1" customWidth="1"/>
    <col min="5386" max="5386" width="11.81640625" customWidth="1"/>
    <col min="5387" max="5387" width="31.81640625" customWidth="1"/>
    <col min="5388" max="5388" width="10.1796875" bestFit="1" customWidth="1"/>
    <col min="5389" max="5390" width="8.54296875" bestFit="1" customWidth="1"/>
    <col min="5391" max="5391" width="9.1796875" customWidth="1"/>
    <col min="5633" max="5633" width="25.26953125" bestFit="1" customWidth="1"/>
    <col min="5635" max="5635" width="8" bestFit="1" customWidth="1"/>
    <col min="5636" max="5637" width="8.1796875" bestFit="1" customWidth="1"/>
    <col min="5638" max="5638" width="7.26953125" bestFit="1" customWidth="1"/>
    <col min="5639" max="5639" width="39.26953125" customWidth="1"/>
    <col min="5640" max="5640" width="19.453125" customWidth="1"/>
    <col min="5641" max="5641" width="13.54296875" bestFit="1" customWidth="1"/>
    <col min="5642" max="5642" width="11.81640625" customWidth="1"/>
    <col min="5643" max="5643" width="31.81640625" customWidth="1"/>
    <col min="5644" max="5644" width="10.1796875" bestFit="1" customWidth="1"/>
    <col min="5645" max="5646" width="8.54296875" bestFit="1" customWidth="1"/>
    <col min="5647" max="5647" width="9.1796875" customWidth="1"/>
    <col min="5889" max="5889" width="25.26953125" bestFit="1" customWidth="1"/>
    <col min="5891" max="5891" width="8" bestFit="1" customWidth="1"/>
    <col min="5892" max="5893" width="8.1796875" bestFit="1" customWidth="1"/>
    <col min="5894" max="5894" width="7.26953125" bestFit="1" customWidth="1"/>
    <col min="5895" max="5895" width="39.26953125" customWidth="1"/>
    <col min="5896" max="5896" width="19.453125" customWidth="1"/>
    <col min="5897" max="5897" width="13.54296875" bestFit="1" customWidth="1"/>
    <col min="5898" max="5898" width="11.81640625" customWidth="1"/>
    <col min="5899" max="5899" width="31.81640625" customWidth="1"/>
    <col min="5900" max="5900" width="10.1796875" bestFit="1" customWidth="1"/>
    <col min="5901" max="5902" width="8.54296875" bestFit="1" customWidth="1"/>
    <col min="5903" max="5903" width="9.1796875" customWidth="1"/>
    <col min="6145" max="6145" width="25.26953125" bestFit="1" customWidth="1"/>
    <col min="6147" max="6147" width="8" bestFit="1" customWidth="1"/>
    <col min="6148" max="6149" width="8.1796875" bestFit="1" customWidth="1"/>
    <col min="6150" max="6150" width="7.26953125" bestFit="1" customWidth="1"/>
    <col min="6151" max="6151" width="39.26953125" customWidth="1"/>
    <col min="6152" max="6152" width="19.453125" customWidth="1"/>
    <col min="6153" max="6153" width="13.54296875" bestFit="1" customWidth="1"/>
    <col min="6154" max="6154" width="11.81640625" customWidth="1"/>
    <col min="6155" max="6155" width="31.81640625" customWidth="1"/>
    <col min="6156" max="6156" width="10.1796875" bestFit="1" customWidth="1"/>
    <col min="6157" max="6158" width="8.54296875" bestFit="1" customWidth="1"/>
    <col min="6159" max="6159" width="9.1796875" customWidth="1"/>
    <col min="6401" max="6401" width="25.26953125" bestFit="1" customWidth="1"/>
    <col min="6403" max="6403" width="8" bestFit="1" customWidth="1"/>
    <col min="6404" max="6405" width="8.1796875" bestFit="1" customWidth="1"/>
    <col min="6406" max="6406" width="7.26953125" bestFit="1" customWidth="1"/>
    <col min="6407" max="6407" width="39.26953125" customWidth="1"/>
    <col min="6408" max="6408" width="19.453125" customWidth="1"/>
    <col min="6409" max="6409" width="13.54296875" bestFit="1" customWidth="1"/>
    <col min="6410" max="6410" width="11.81640625" customWidth="1"/>
    <col min="6411" max="6411" width="31.81640625" customWidth="1"/>
    <col min="6412" max="6412" width="10.1796875" bestFit="1" customWidth="1"/>
    <col min="6413" max="6414" width="8.54296875" bestFit="1" customWidth="1"/>
    <col min="6415" max="6415" width="9.1796875" customWidth="1"/>
    <col min="6657" max="6657" width="25.26953125" bestFit="1" customWidth="1"/>
    <col min="6659" max="6659" width="8" bestFit="1" customWidth="1"/>
    <col min="6660" max="6661" width="8.1796875" bestFit="1" customWidth="1"/>
    <col min="6662" max="6662" width="7.26953125" bestFit="1" customWidth="1"/>
    <col min="6663" max="6663" width="39.26953125" customWidth="1"/>
    <col min="6664" max="6664" width="19.453125" customWidth="1"/>
    <col min="6665" max="6665" width="13.54296875" bestFit="1" customWidth="1"/>
    <col min="6666" max="6666" width="11.81640625" customWidth="1"/>
    <col min="6667" max="6667" width="31.81640625" customWidth="1"/>
    <col min="6668" max="6668" width="10.1796875" bestFit="1" customWidth="1"/>
    <col min="6669" max="6670" width="8.54296875" bestFit="1" customWidth="1"/>
    <col min="6671" max="6671" width="9.1796875" customWidth="1"/>
    <col min="6913" max="6913" width="25.26953125" bestFit="1" customWidth="1"/>
    <col min="6915" max="6915" width="8" bestFit="1" customWidth="1"/>
    <col min="6916" max="6917" width="8.1796875" bestFit="1" customWidth="1"/>
    <col min="6918" max="6918" width="7.26953125" bestFit="1" customWidth="1"/>
    <col min="6919" max="6919" width="39.26953125" customWidth="1"/>
    <col min="6920" max="6920" width="19.453125" customWidth="1"/>
    <col min="6921" max="6921" width="13.54296875" bestFit="1" customWidth="1"/>
    <col min="6922" max="6922" width="11.81640625" customWidth="1"/>
    <col min="6923" max="6923" width="31.81640625" customWidth="1"/>
    <col min="6924" max="6924" width="10.1796875" bestFit="1" customWidth="1"/>
    <col min="6925" max="6926" width="8.54296875" bestFit="1" customWidth="1"/>
    <col min="6927" max="6927" width="9.1796875" customWidth="1"/>
    <col min="7169" max="7169" width="25.26953125" bestFit="1" customWidth="1"/>
    <col min="7171" max="7171" width="8" bestFit="1" customWidth="1"/>
    <col min="7172" max="7173" width="8.1796875" bestFit="1" customWidth="1"/>
    <col min="7174" max="7174" width="7.26953125" bestFit="1" customWidth="1"/>
    <col min="7175" max="7175" width="39.26953125" customWidth="1"/>
    <col min="7176" max="7176" width="19.453125" customWidth="1"/>
    <col min="7177" max="7177" width="13.54296875" bestFit="1" customWidth="1"/>
    <col min="7178" max="7178" width="11.81640625" customWidth="1"/>
    <col min="7179" max="7179" width="31.81640625" customWidth="1"/>
    <col min="7180" max="7180" width="10.1796875" bestFit="1" customWidth="1"/>
    <col min="7181" max="7182" width="8.54296875" bestFit="1" customWidth="1"/>
    <col min="7183" max="7183" width="9.1796875" customWidth="1"/>
    <col min="7425" max="7425" width="25.26953125" bestFit="1" customWidth="1"/>
    <col min="7427" max="7427" width="8" bestFit="1" customWidth="1"/>
    <col min="7428" max="7429" width="8.1796875" bestFit="1" customWidth="1"/>
    <col min="7430" max="7430" width="7.26953125" bestFit="1" customWidth="1"/>
    <col min="7431" max="7431" width="39.26953125" customWidth="1"/>
    <col min="7432" max="7432" width="19.453125" customWidth="1"/>
    <col min="7433" max="7433" width="13.54296875" bestFit="1" customWidth="1"/>
    <col min="7434" max="7434" width="11.81640625" customWidth="1"/>
    <col min="7435" max="7435" width="31.81640625" customWidth="1"/>
    <col min="7436" max="7436" width="10.1796875" bestFit="1" customWidth="1"/>
    <col min="7437" max="7438" width="8.54296875" bestFit="1" customWidth="1"/>
    <col min="7439" max="7439" width="9.1796875" customWidth="1"/>
    <col min="7681" max="7681" width="25.26953125" bestFit="1" customWidth="1"/>
    <col min="7683" max="7683" width="8" bestFit="1" customWidth="1"/>
    <col min="7684" max="7685" width="8.1796875" bestFit="1" customWidth="1"/>
    <col min="7686" max="7686" width="7.26953125" bestFit="1" customWidth="1"/>
    <col min="7687" max="7687" width="39.26953125" customWidth="1"/>
    <col min="7688" max="7688" width="19.453125" customWidth="1"/>
    <col min="7689" max="7689" width="13.54296875" bestFit="1" customWidth="1"/>
    <col min="7690" max="7690" width="11.81640625" customWidth="1"/>
    <col min="7691" max="7691" width="31.81640625" customWidth="1"/>
    <col min="7692" max="7692" width="10.1796875" bestFit="1" customWidth="1"/>
    <col min="7693" max="7694" width="8.54296875" bestFit="1" customWidth="1"/>
    <col min="7695" max="7695" width="9.1796875" customWidth="1"/>
    <col min="7937" max="7937" width="25.26953125" bestFit="1" customWidth="1"/>
    <col min="7939" max="7939" width="8" bestFit="1" customWidth="1"/>
    <col min="7940" max="7941" width="8.1796875" bestFit="1" customWidth="1"/>
    <col min="7942" max="7942" width="7.26953125" bestFit="1" customWidth="1"/>
    <col min="7943" max="7943" width="39.26953125" customWidth="1"/>
    <col min="7944" max="7944" width="19.453125" customWidth="1"/>
    <col min="7945" max="7945" width="13.54296875" bestFit="1" customWidth="1"/>
    <col min="7946" max="7946" width="11.81640625" customWidth="1"/>
    <col min="7947" max="7947" width="31.81640625" customWidth="1"/>
    <col min="7948" max="7948" width="10.1796875" bestFit="1" customWidth="1"/>
    <col min="7949" max="7950" width="8.54296875" bestFit="1" customWidth="1"/>
    <col min="7951" max="7951" width="9.1796875" customWidth="1"/>
    <col min="8193" max="8193" width="25.26953125" bestFit="1" customWidth="1"/>
    <col min="8195" max="8195" width="8" bestFit="1" customWidth="1"/>
    <col min="8196" max="8197" width="8.1796875" bestFit="1" customWidth="1"/>
    <col min="8198" max="8198" width="7.26953125" bestFit="1" customWidth="1"/>
    <col min="8199" max="8199" width="39.26953125" customWidth="1"/>
    <col min="8200" max="8200" width="19.453125" customWidth="1"/>
    <col min="8201" max="8201" width="13.54296875" bestFit="1" customWidth="1"/>
    <col min="8202" max="8202" width="11.81640625" customWidth="1"/>
    <col min="8203" max="8203" width="31.81640625" customWidth="1"/>
    <col min="8204" max="8204" width="10.1796875" bestFit="1" customWidth="1"/>
    <col min="8205" max="8206" width="8.54296875" bestFit="1" customWidth="1"/>
    <col min="8207" max="8207" width="9.1796875" customWidth="1"/>
    <col min="8449" max="8449" width="25.26953125" bestFit="1" customWidth="1"/>
    <col min="8451" max="8451" width="8" bestFit="1" customWidth="1"/>
    <col min="8452" max="8453" width="8.1796875" bestFit="1" customWidth="1"/>
    <col min="8454" max="8454" width="7.26953125" bestFit="1" customWidth="1"/>
    <col min="8455" max="8455" width="39.26953125" customWidth="1"/>
    <col min="8456" max="8456" width="19.453125" customWidth="1"/>
    <col min="8457" max="8457" width="13.54296875" bestFit="1" customWidth="1"/>
    <col min="8458" max="8458" width="11.81640625" customWidth="1"/>
    <col min="8459" max="8459" width="31.81640625" customWidth="1"/>
    <col min="8460" max="8460" width="10.1796875" bestFit="1" customWidth="1"/>
    <col min="8461" max="8462" width="8.54296875" bestFit="1" customWidth="1"/>
    <col min="8463" max="8463" width="9.1796875" customWidth="1"/>
    <col min="8705" max="8705" width="25.26953125" bestFit="1" customWidth="1"/>
    <col min="8707" max="8707" width="8" bestFit="1" customWidth="1"/>
    <col min="8708" max="8709" width="8.1796875" bestFit="1" customWidth="1"/>
    <col min="8710" max="8710" width="7.26953125" bestFit="1" customWidth="1"/>
    <col min="8711" max="8711" width="39.26953125" customWidth="1"/>
    <col min="8712" max="8712" width="19.453125" customWidth="1"/>
    <col min="8713" max="8713" width="13.54296875" bestFit="1" customWidth="1"/>
    <col min="8714" max="8714" width="11.81640625" customWidth="1"/>
    <col min="8715" max="8715" width="31.81640625" customWidth="1"/>
    <col min="8716" max="8716" width="10.1796875" bestFit="1" customWidth="1"/>
    <col min="8717" max="8718" width="8.54296875" bestFit="1" customWidth="1"/>
    <col min="8719" max="8719" width="9.1796875" customWidth="1"/>
    <col min="8961" max="8961" width="25.26953125" bestFit="1" customWidth="1"/>
    <col min="8963" max="8963" width="8" bestFit="1" customWidth="1"/>
    <col min="8964" max="8965" width="8.1796875" bestFit="1" customWidth="1"/>
    <col min="8966" max="8966" width="7.26953125" bestFit="1" customWidth="1"/>
    <col min="8967" max="8967" width="39.26953125" customWidth="1"/>
    <col min="8968" max="8968" width="19.453125" customWidth="1"/>
    <col min="8969" max="8969" width="13.54296875" bestFit="1" customWidth="1"/>
    <col min="8970" max="8970" width="11.81640625" customWidth="1"/>
    <col min="8971" max="8971" width="31.81640625" customWidth="1"/>
    <col min="8972" max="8972" width="10.1796875" bestFit="1" customWidth="1"/>
    <col min="8973" max="8974" width="8.54296875" bestFit="1" customWidth="1"/>
    <col min="8975" max="8975" width="9.1796875" customWidth="1"/>
    <col min="9217" max="9217" width="25.26953125" bestFit="1" customWidth="1"/>
    <col min="9219" max="9219" width="8" bestFit="1" customWidth="1"/>
    <col min="9220" max="9221" width="8.1796875" bestFit="1" customWidth="1"/>
    <col min="9222" max="9222" width="7.26953125" bestFit="1" customWidth="1"/>
    <col min="9223" max="9223" width="39.26953125" customWidth="1"/>
    <col min="9224" max="9224" width="19.453125" customWidth="1"/>
    <col min="9225" max="9225" width="13.54296875" bestFit="1" customWidth="1"/>
    <col min="9226" max="9226" width="11.81640625" customWidth="1"/>
    <col min="9227" max="9227" width="31.81640625" customWidth="1"/>
    <col min="9228" max="9228" width="10.1796875" bestFit="1" customWidth="1"/>
    <col min="9229" max="9230" width="8.54296875" bestFit="1" customWidth="1"/>
    <col min="9231" max="9231" width="9.1796875" customWidth="1"/>
    <col min="9473" max="9473" width="25.26953125" bestFit="1" customWidth="1"/>
    <col min="9475" max="9475" width="8" bestFit="1" customWidth="1"/>
    <col min="9476" max="9477" width="8.1796875" bestFit="1" customWidth="1"/>
    <col min="9478" max="9478" width="7.26953125" bestFit="1" customWidth="1"/>
    <col min="9479" max="9479" width="39.26953125" customWidth="1"/>
    <col min="9480" max="9480" width="19.453125" customWidth="1"/>
    <col min="9481" max="9481" width="13.54296875" bestFit="1" customWidth="1"/>
    <col min="9482" max="9482" width="11.81640625" customWidth="1"/>
    <col min="9483" max="9483" width="31.81640625" customWidth="1"/>
    <col min="9484" max="9484" width="10.1796875" bestFit="1" customWidth="1"/>
    <col min="9485" max="9486" width="8.54296875" bestFit="1" customWidth="1"/>
    <col min="9487" max="9487" width="9.1796875" customWidth="1"/>
    <col min="9729" max="9729" width="25.26953125" bestFit="1" customWidth="1"/>
    <col min="9731" max="9731" width="8" bestFit="1" customWidth="1"/>
    <col min="9732" max="9733" width="8.1796875" bestFit="1" customWidth="1"/>
    <col min="9734" max="9734" width="7.26953125" bestFit="1" customWidth="1"/>
    <col min="9735" max="9735" width="39.26953125" customWidth="1"/>
    <col min="9736" max="9736" width="19.453125" customWidth="1"/>
    <col min="9737" max="9737" width="13.54296875" bestFit="1" customWidth="1"/>
    <col min="9738" max="9738" width="11.81640625" customWidth="1"/>
    <col min="9739" max="9739" width="31.81640625" customWidth="1"/>
    <col min="9740" max="9740" width="10.1796875" bestFit="1" customWidth="1"/>
    <col min="9741" max="9742" width="8.54296875" bestFit="1" customWidth="1"/>
    <col min="9743" max="9743" width="9.1796875" customWidth="1"/>
    <col min="9985" max="9985" width="25.26953125" bestFit="1" customWidth="1"/>
    <col min="9987" max="9987" width="8" bestFit="1" customWidth="1"/>
    <col min="9988" max="9989" width="8.1796875" bestFit="1" customWidth="1"/>
    <col min="9990" max="9990" width="7.26953125" bestFit="1" customWidth="1"/>
    <col min="9991" max="9991" width="39.26953125" customWidth="1"/>
    <col min="9992" max="9992" width="19.453125" customWidth="1"/>
    <col min="9993" max="9993" width="13.54296875" bestFit="1" customWidth="1"/>
    <col min="9994" max="9994" width="11.81640625" customWidth="1"/>
    <col min="9995" max="9995" width="31.81640625" customWidth="1"/>
    <col min="9996" max="9996" width="10.1796875" bestFit="1" customWidth="1"/>
    <col min="9997" max="9998" width="8.54296875" bestFit="1" customWidth="1"/>
    <col min="9999" max="9999" width="9.1796875" customWidth="1"/>
    <col min="10241" max="10241" width="25.26953125" bestFit="1" customWidth="1"/>
    <col min="10243" max="10243" width="8" bestFit="1" customWidth="1"/>
    <col min="10244" max="10245" width="8.1796875" bestFit="1" customWidth="1"/>
    <col min="10246" max="10246" width="7.26953125" bestFit="1" customWidth="1"/>
    <col min="10247" max="10247" width="39.26953125" customWidth="1"/>
    <col min="10248" max="10248" width="19.453125" customWidth="1"/>
    <col min="10249" max="10249" width="13.54296875" bestFit="1" customWidth="1"/>
    <col min="10250" max="10250" width="11.81640625" customWidth="1"/>
    <col min="10251" max="10251" width="31.81640625" customWidth="1"/>
    <col min="10252" max="10252" width="10.1796875" bestFit="1" customWidth="1"/>
    <col min="10253" max="10254" width="8.54296875" bestFit="1" customWidth="1"/>
    <col min="10255" max="10255" width="9.1796875" customWidth="1"/>
    <col min="10497" max="10497" width="25.26953125" bestFit="1" customWidth="1"/>
    <col min="10499" max="10499" width="8" bestFit="1" customWidth="1"/>
    <col min="10500" max="10501" width="8.1796875" bestFit="1" customWidth="1"/>
    <col min="10502" max="10502" width="7.26953125" bestFit="1" customWidth="1"/>
    <col min="10503" max="10503" width="39.26953125" customWidth="1"/>
    <col min="10504" max="10504" width="19.453125" customWidth="1"/>
    <col min="10505" max="10505" width="13.54296875" bestFit="1" customWidth="1"/>
    <col min="10506" max="10506" width="11.81640625" customWidth="1"/>
    <col min="10507" max="10507" width="31.81640625" customWidth="1"/>
    <col min="10508" max="10508" width="10.1796875" bestFit="1" customWidth="1"/>
    <col min="10509" max="10510" width="8.54296875" bestFit="1" customWidth="1"/>
    <col min="10511" max="10511" width="9.1796875" customWidth="1"/>
    <col min="10753" max="10753" width="25.26953125" bestFit="1" customWidth="1"/>
    <col min="10755" max="10755" width="8" bestFit="1" customWidth="1"/>
    <col min="10756" max="10757" width="8.1796875" bestFit="1" customWidth="1"/>
    <col min="10758" max="10758" width="7.26953125" bestFit="1" customWidth="1"/>
    <col min="10759" max="10759" width="39.26953125" customWidth="1"/>
    <col min="10760" max="10760" width="19.453125" customWidth="1"/>
    <col min="10761" max="10761" width="13.54296875" bestFit="1" customWidth="1"/>
    <col min="10762" max="10762" width="11.81640625" customWidth="1"/>
    <col min="10763" max="10763" width="31.81640625" customWidth="1"/>
    <col min="10764" max="10764" width="10.1796875" bestFit="1" customWidth="1"/>
    <col min="10765" max="10766" width="8.54296875" bestFit="1" customWidth="1"/>
    <col min="10767" max="10767" width="9.1796875" customWidth="1"/>
    <col min="11009" max="11009" width="25.26953125" bestFit="1" customWidth="1"/>
    <col min="11011" max="11011" width="8" bestFit="1" customWidth="1"/>
    <col min="11012" max="11013" width="8.1796875" bestFit="1" customWidth="1"/>
    <col min="11014" max="11014" width="7.26953125" bestFit="1" customWidth="1"/>
    <col min="11015" max="11015" width="39.26953125" customWidth="1"/>
    <col min="11016" max="11016" width="19.453125" customWidth="1"/>
    <col min="11017" max="11017" width="13.54296875" bestFit="1" customWidth="1"/>
    <col min="11018" max="11018" width="11.81640625" customWidth="1"/>
    <col min="11019" max="11019" width="31.81640625" customWidth="1"/>
    <col min="11020" max="11020" width="10.1796875" bestFit="1" customWidth="1"/>
    <col min="11021" max="11022" width="8.54296875" bestFit="1" customWidth="1"/>
    <col min="11023" max="11023" width="9.1796875" customWidth="1"/>
    <col min="11265" max="11265" width="25.26953125" bestFit="1" customWidth="1"/>
    <col min="11267" max="11267" width="8" bestFit="1" customWidth="1"/>
    <col min="11268" max="11269" width="8.1796875" bestFit="1" customWidth="1"/>
    <col min="11270" max="11270" width="7.26953125" bestFit="1" customWidth="1"/>
    <col min="11271" max="11271" width="39.26953125" customWidth="1"/>
    <col min="11272" max="11272" width="19.453125" customWidth="1"/>
    <col min="11273" max="11273" width="13.54296875" bestFit="1" customWidth="1"/>
    <col min="11274" max="11274" width="11.81640625" customWidth="1"/>
    <col min="11275" max="11275" width="31.81640625" customWidth="1"/>
    <col min="11276" max="11276" width="10.1796875" bestFit="1" customWidth="1"/>
    <col min="11277" max="11278" width="8.54296875" bestFit="1" customWidth="1"/>
    <col min="11279" max="11279" width="9.1796875" customWidth="1"/>
    <col min="11521" max="11521" width="25.26953125" bestFit="1" customWidth="1"/>
    <col min="11523" max="11523" width="8" bestFit="1" customWidth="1"/>
    <col min="11524" max="11525" width="8.1796875" bestFit="1" customWidth="1"/>
    <col min="11526" max="11526" width="7.26953125" bestFit="1" customWidth="1"/>
    <col min="11527" max="11527" width="39.26953125" customWidth="1"/>
    <col min="11528" max="11528" width="19.453125" customWidth="1"/>
    <col min="11529" max="11529" width="13.54296875" bestFit="1" customWidth="1"/>
    <col min="11530" max="11530" width="11.81640625" customWidth="1"/>
    <col min="11531" max="11531" width="31.81640625" customWidth="1"/>
    <col min="11532" max="11532" width="10.1796875" bestFit="1" customWidth="1"/>
    <col min="11533" max="11534" width="8.54296875" bestFit="1" customWidth="1"/>
    <col min="11535" max="11535" width="9.1796875" customWidth="1"/>
    <col min="11777" max="11777" width="25.26953125" bestFit="1" customWidth="1"/>
    <col min="11779" max="11779" width="8" bestFit="1" customWidth="1"/>
    <col min="11780" max="11781" width="8.1796875" bestFit="1" customWidth="1"/>
    <col min="11782" max="11782" width="7.26953125" bestFit="1" customWidth="1"/>
    <col min="11783" max="11783" width="39.26953125" customWidth="1"/>
    <col min="11784" max="11784" width="19.453125" customWidth="1"/>
    <col min="11785" max="11785" width="13.54296875" bestFit="1" customWidth="1"/>
    <col min="11786" max="11786" width="11.81640625" customWidth="1"/>
    <col min="11787" max="11787" width="31.81640625" customWidth="1"/>
    <col min="11788" max="11788" width="10.1796875" bestFit="1" customWidth="1"/>
    <col min="11789" max="11790" width="8.54296875" bestFit="1" customWidth="1"/>
    <col min="11791" max="11791" width="9.1796875" customWidth="1"/>
    <col min="12033" max="12033" width="25.26953125" bestFit="1" customWidth="1"/>
    <col min="12035" max="12035" width="8" bestFit="1" customWidth="1"/>
    <col min="12036" max="12037" width="8.1796875" bestFit="1" customWidth="1"/>
    <col min="12038" max="12038" width="7.26953125" bestFit="1" customWidth="1"/>
    <col min="12039" max="12039" width="39.26953125" customWidth="1"/>
    <col min="12040" max="12040" width="19.453125" customWidth="1"/>
    <col min="12041" max="12041" width="13.54296875" bestFit="1" customWidth="1"/>
    <col min="12042" max="12042" width="11.81640625" customWidth="1"/>
    <col min="12043" max="12043" width="31.81640625" customWidth="1"/>
    <col min="12044" max="12044" width="10.1796875" bestFit="1" customWidth="1"/>
    <col min="12045" max="12046" width="8.54296875" bestFit="1" customWidth="1"/>
    <col min="12047" max="12047" width="9.1796875" customWidth="1"/>
    <col min="12289" max="12289" width="25.26953125" bestFit="1" customWidth="1"/>
    <col min="12291" max="12291" width="8" bestFit="1" customWidth="1"/>
    <col min="12292" max="12293" width="8.1796875" bestFit="1" customWidth="1"/>
    <col min="12294" max="12294" width="7.26953125" bestFit="1" customWidth="1"/>
    <col min="12295" max="12295" width="39.26953125" customWidth="1"/>
    <col min="12296" max="12296" width="19.453125" customWidth="1"/>
    <col min="12297" max="12297" width="13.54296875" bestFit="1" customWidth="1"/>
    <col min="12298" max="12298" width="11.81640625" customWidth="1"/>
    <col min="12299" max="12299" width="31.81640625" customWidth="1"/>
    <col min="12300" max="12300" width="10.1796875" bestFit="1" customWidth="1"/>
    <col min="12301" max="12302" width="8.54296875" bestFit="1" customWidth="1"/>
    <col min="12303" max="12303" width="9.1796875" customWidth="1"/>
    <col min="12545" max="12545" width="25.26953125" bestFit="1" customWidth="1"/>
    <col min="12547" max="12547" width="8" bestFit="1" customWidth="1"/>
    <col min="12548" max="12549" width="8.1796875" bestFit="1" customWidth="1"/>
    <col min="12550" max="12550" width="7.26953125" bestFit="1" customWidth="1"/>
    <col min="12551" max="12551" width="39.26953125" customWidth="1"/>
    <col min="12552" max="12552" width="19.453125" customWidth="1"/>
    <col min="12553" max="12553" width="13.54296875" bestFit="1" customWidth="1"/>
    <col min="12554" max="12554" width="11.81640625" customWidth="1"/>
    <col min="12555" max="12555" width="31.81640625" customWidth="1"/>
    <col min="12556" max="12556" width="10.1796875" bestFit="1" customWidth="1"/>
    <col min="12557" max="12558" width="8.54296875" bestFit="1" customWidth="1"/>
    <col min="12559" max="12559" width="9.1796875" customWidth="1"/>
    <col min="12801" max="12801" width="25.26953125" bestFit="1" customWidth="1"/>
    <col min="12803" max="12803" width="8" bestFit="1" customWidth="1"/>
    <col min="12804" max="12805" width="8.1796875" bestFit="1" customWidth="1"/>
    <col min="12806" max="12806" width="7.26953125" bestFit="1" customWidth="1"/>
    <col min="12807" max="12807" width="39.26953125" customWidth="1"/>
    <col min="12808" max="12808" width="19.453125" customWidth="1"/>
    <col min="12809" max="12809" width="13.54296875" bestFit="1" customWidth="1"/>
    <col min="12810" max="12810" width="11.81640625" customWidth="1"/>
    <col min="12811" max="12811" width="31.81640625" customWidth="1"/>
    <col min="12812" max="12812" width="10.1796875" bestFit="1" customWidth="1"/>
    <col min="12813" max="12814" width="8.54296875" bestFit="1" customWidth="1"/>
    <col min="12815" max="12815" width="9.1796875" customWidth="1"/>
    <col min="13057" max="13057" width="25.26953125" bestFit="1" customWidth="1"/>
    <col min="13059" max="13059" width="8" bestFit="1" customWidth="1"/>
    <col min="13060" max="13061" width="8.1796875" bestFit="1" customWidth="1"/>
    <col min="13062" max="13062" width="7.26953125" bestFit="1" customWidth="1"/>
    <col min="13063" max="13063" width="39.26953125" customWidth="1"/>
    <col min="13064" max="13064" width="19.453125" customWidth="1"/>
    <col min="13065" max="13065" width="13.54296875" bestFit="1" customWidth="1"/>
    <col min="13066" max="13066" width="11.81640625" customWidth="1"/>
    <col min="13067" max="13067" width="31.81640625" customWidth="1"/>
    <col min="13068" max="13068" width="10.1796875" bestFit="1" customWidth="1"/>
    <col min="13069" max="13070" width="8.54296875" bestFit="1" customWidth="1"/>
    <col min="13071" max="13071" width="9.1796875" customWidth="1"/>
    <col min="13313" max="13313" width="25.26953125" bestFit="1" customWidth="1"/>
    <col min="13315" max="13315" width="8" bestFit="1" customWidth="1"/>
    <col min="13316" max="13317" width="8.1796875" bestFit="1" customWidth="1"/>
    <col min="13318" max="13318" width="7.26953125" bestFit="1" customWidth="1"/>
    <col min="13319" max="13319" width="39.26953125" customWidth="1"/>
    <col min="13320" max="13320" width="19.453125" customWidth="1"/>
    <col min="13321" max="13321" width="13.54296875" bestFit="1" customWidth="1"/>
    <col min="13322" max="13322" width="11.81640625" customWidth="1"/>
    <col min="13323" max="13323" width="31.81640625" customWidth="1"/>
    <col min="13324" max="13324" width="10.1796875" bestFit="1" customWidth="1"/>
    <col min="13325" max="13326" width="8.54296875" bestFit="1" customWidth="1"/>
    <col min="13327" max="13327" width="9.1796875" customWidth="1"/>
    <col min="13569" max="13569" width="25.26953125" bestFit="1" customWidth="1"/>
    <col min="13571" max="13571" width="8" bestFit="1" customWidth="1"/>
    <col min="13572" max="13573" width="8.1796875" bestFit="1" customWidth="1"/>
    <col min="13574" max="13574" width="7.26953125" bestFit="1" customWidth="1"/>
    <col min="13575" max="13575" width="39.26953125" customWidth="1"/>
    <col min="13576" max="13576" width="19.453125" customWidth="1"/>
    <col min="13577" max="13577" width="13.54296875" bestFit="1" customWidth="1"/>
    <col min="13578" max="13578" width="11.81640625" customWidth="1"/>
    <col min="13579" max="13579" width="31.81640625" customWidth="1"/>
    <col min="13580" max="13580" width="10.1796875" bestFit="1" customWidth="1"/>
    <col min="13581" max="13582" width="8.54296875" bestFit="1" customWidth="1"/>
    <col min="13583" max="13583" width="9.1796875" customWidth="1"/>
    <col min="13825" max="13825" width="25.26953125" bestFit="1" customWidth="1"/>
    <col min="13827" max="13827" width="8" bestFit="1" customWidth="1"/>
    <col min="13828" max="13829" width="8.1796875" bestFit="1" customWidth="1"/>
    <col min="13830" max="13830" width="7.26953125" bestFit="1" customWidth="1"/>
    <col min="13831" max="13831" width="39.26953125" customWidth="1"/>
    <col min="13832" max="13832" width="19.453125" customWidth="1"/>
    <col min="13833" max="13833" width="13.54296875" bestFit="1" customWidth="1"/>
    <col min="13834" max="13834" width="11.81640625" customWidth="1"/>
    <col min="13835" max="13835" width="31.81640625" customWidth="1"/>
    <col min="13836" max="13836" width="10.1796875" bestFit="1" customWidth="1"/>
    <col min="13837" max="13838" width="8.54296875" bestFit="1" customWidth="1"/>
    <col min="13839" max="13839" width="9.1796875" customWidth="1"/>
    <col min="14081" max="14081" width="25.26953125" bestFit="1" customWidth="1"/>
    <col min="14083" max="14083" width="8" bestFit="1" customWidth="1"/>
    <col min="14084" max="14085" width="8.1796875" bestFit="1" customWidth="1"/>
    <col min="14086" max="14086" width="7.26953125" bestFit="1" customWidth="1"/>
    <col min="14087" max="14087" width="39.26953125" customWidth="1"/>
    <col min="14088" max="14088" width="19.453125" customWidth="1"/>
    <col min="14089" max="14089" width="13.54296875" bestFit="1" customWidth="1"/>
    <col min="14090" max="14090" width="11.81640625" customWidth="1"/>
    <col min="14091" max="14091" width="31.81640625" customWidth="1"/>
    <col min="14092" max="14092" width="10.1796875" bestFit="1" customWidth="1"/>
    <col min="14093" max="14094" width="8.54296875" bestFit="1" customWidth="1"/>
    <col min="14095" max="14095" width="9.1796875" customWidth="1"/>
    <col min="14337" max="14337" width="25.26953125" bestFit="1" customWidth="1"/>
    <col min="14339" max="14339" width="8" bestFit="1" customWidth="1"/>
    <col min="14340" max="14341" width="8.1796875" bestFit="1" customWidth="1"/>
    <col min="14342" max="14342" width="7.26953125" bestFit="1" customWidth="1"/>
    <col min="14343" max="14343" width="39.26953125" customWidth="1"/>
    <col min="14344" max="14344" width="19.453125" customWidth="1"/>
    <col min="14345" max="14345" width="13.54296875" bestFit="1" customWidth="1"/>
    <col min="14346" max="14346" width="11.81640625" customWidth="1"/>
    <col min="14347" max="14347" width="31.81640625" customWidth="1"/>
    <col min="14348" max="14348" width="10.1796875" bestFit="1" customWidth="1"/>
    <col min="14349" max="14350" width="8.54296875" bestFit="1" customWidth="1"/>
    <col min="14351" max="14351" width="9.1796875" customWidth="1"/>
    <col min="14593" max="14593" width="25.26953125" bestFit="1" customWidth="1"/>
    <col min="14595" max="14595" width="8" bestFit="1" customWidth="1"/>
    <col min="14596" max="14597" width="8.1796875" bestFit="1" customWidth="1"/>
    <col min="14598" max="14598" width="7.26953125" bestFit="1" customWidth="1"/>
    <col min="14599" max="14599" width="39.26953125" customWidth="1"/>
    <col min="14600" max="14600" width="19.453125" customWidth="1"/>
    <col min="14601" max="14601" width="13.54296875" bestFit="1" customWidth="1"/>
    <col min="14602" max="14602" width="11.81640625" customWidth="1"/>
    <col min="14603" max="14603" width="31.81640625" customWidth="1"/>
    <col min="14604" max="14604" width="10.1796875" bestFit="1" customWidth="1"/>
    <col min="14605" max="14606" width="8.54296875" bestFit="1" customWidth="1"/>
    <col min="14607" max="14607" width="9.1796875" customWidth="1"/>
    <col min="14849" max="14849" width="25.26953125" bestFit="1" customWidth="1"/>
    <col min="14851" max="14851" width="8" bestFit="1" customWidth="1"/>
    <col min="14852" max="14853" width="8.1796875" bestFit="1" customWidth="1"/>
    <col min="14854" max="14854" width="7.26953125" bestFit="1" customWidth="1"/>
    <col min="14855" max="14855" width="39.26953125" customWidth="1"/>
    <col min="14856" max="14856" width="19.453125" customWidth="1"/>
    <col min="14857" max="14857" width="13.54296875" bestFit="1" customWidth="1"/>
    <col min="14858" max="14858" width="11.81640625" customWidth="1"/>
    <col min="14859" max="14859" width="31.81640625" customWidth="1"/>
    <col min="14860" max="14860" width="10.1796875" bestFit="1" customWidth="1"/>
    <col min="14861" max="14862" width="8.54296875" bestFit="1" customWidth="1"/>
    <col min="14863" max="14863" width="9.1796875" customWidth="1"/>
    <col min="15105" max="15105" width="25.26953125" bestFit="1" customWidth="1"/>
    <col min="15107" max="15107" width="8" bestFit="1" customWidth="1"/>
    <col min="15108" max="15109" width="8.1796875" bestFit="1" customWidth="1"/>
    <col min="15110" max="15110" width="7.26953125" bestFit="1" customWidth="1"/>
    <col min="15111" max="15111" width="39.26953125" customWidth="1"/>
    <col min="15112" max="15112" width="19.453125" customWidth="1"/>
    <col min="15113" max="15113" width="13.54296875" bestFit="1" customWidth="1"/>
    <col min="15114" max="15114" width="11.81640625" customWidth="1"/>
    <col min="15115" max="15115" width="31.81640625" customWidth="1"/>
    <col min="15116" max="15116" width="10.1796875" bestFit="1" customWidth="1"/>
    <col min="15117" max="15118" width="8.54296875" bestFit="1" customWidth="1"/>
    <col min="15119" max="15119" width="9.1796875" customWidth="1"/>
    <col min="15361" max="15361" width="25.26953125" bestFit="1" customWidth="1"/>
    <col min="15363" max="15363" width="8" bestFit="1" customWidth="1"/>
    <col min="15364" max="15365" width="8.1796875" bestFit="1" customWidth="1"/>
    <col min="15366" max="15366" width="7.26953125" bestFit="1" customWidth="1"/>
    <col min="15367" max="15367" width="39.26953125" customWidth="1"/>
    <col min="15368" max="15368" width="19.453125" customWidth="1"/>
    <col min="15369" max="15369" width="13.54296875" bestFit="1" customWidth="1"/>
    <col min="15370" max="15370" width="11.81640625" customWidth="1"/>
    <col min="15371" max="15371" width="31.81640625" customWidth="1"/>
    <col min="15372" max="15372" width="10.1796875" bestFit="1" customWidth="1"/>
    <col min="15373" max="15374" width="8.54296875" bestFit="1" customWidth="1"/>
    <col min="15375" max="15375" width="9.1796875" customWidth="1"/>
    <col min="15617" max="15617" width="25.26953125" bestFit="1" customWidth="1"/>
    <col min="15619" max="15619" width="8" bestFit="1" customWidth="1"/>
    <col min="15620" max="15621" width="8.1796875" bestFit="1" customWidth="1"/>
    <col min="15622" max="15622" width="7.26953125" bestFit="1" customWidth="1"/>
    <col min="15623" max="15623" width="39.26953125" customWidth="1"/>
    <col min="15624" max="15624" width="19.453125" customWidth="1"/>
    <col min="15625" max="15625" width="13.54296875" bestFit="1" customWidth="1"/>
    <col min="15626" max="15626" width="11.81640625" customWidth="1"/>
    <col min="15627" max="15627" width="31.81640625" customWidth="1"/>
    <col min="15628" max="15628" width="10.1796875" bestFit="1" customWidth="1"/>
    <col min="15629" max="15630" width="8.54296875" bestFit="1" customWidth="1"/>
    <col min="15631" max="15631" width="9.1796875" customWidth="1"/>
    <col min="15873" max="15873" width="25.26953125" bestFit="1" customWidth="1"/>
    <col min="15875" max="15875" width="8" bestFit="1" customWidth="1"/>
    <col min="15876" max="15877" width="8.1796875" bestFit="1" customWidth="1"/>
    <col min="15878" max="15878" width="7.26953125" bestFit="1" customWidth="1"/>
    <col min="15879" max="15879" width="39.26953125" customWidth="1"/>
    <col min="15880" max="15880" width="19.453125" customWidth="1"/>
    <col min="15881" max="15881" width="13.54296875" bestFit="1" customWidth="1"/>
    <col min="15882" max="15882" width="11.81640625" customWidth="1"/>
    <col min="15883" max="15883" width="31.81640625" customWidth="1"/>
    <col min="15884" max="15884" width="10.1796875" bestFit="1" customWidth="1"/>
    <col min="15885" max="15886" width="8.54296875" bestFit="1" customWidth="1"/>
    <col min="15887" max="15887" width="9.1796875" customWidth="1"/>
    <col min="16129" max="16129" width="25.26953125" bestFit="1" customWidth="1"/>
    <col min="16131" max="16131" width="8" bestFit="1" customWidth="1"/>
    <col min="16132" max="16133" width="8.1796875" bestFit="1" customWidth="1"/>
    <col min="16134" max="16134" width="7.26953125" bestFit="1" customWidth="1"/>
    <col min="16135" max="16135" width="39.26953125" customWidth="1"/>
    <col min="16136" max="16136" width="19.453125" customWidth="1"/>
    <col min="16137" max="16137" width="13.54296875" bestFit="1" customWidth="1"/>
    <col min="16138" max="16138" width="11.81640625" customWidth="1"/>
    <col min="16139" max="16139" width="31.81640625" customWidth="1"/>
    <col min="16140" max="16140" width="10.1796875" bestFit="1" customWidth="1"/>
    <col min="16141" max="16142" width="8.54296875" bestFit="1" customWidth="1"/>
    <col min="16143" max="16143" width="9.1796875" customWidth="1"/>
  </cols>
  <sheetData>
    <row r="1" spans="1:15" s="5" customFormat="1" ht="52.5">
      <c r="A1" s="1" t="s">
        <v>0</v>
      </c>
      <c r="B1" s="2" t="s">
        <v>1</v>
      </c>
      <c r="C1" s="2" t="s">
        <v>2</v>
      </c>
      <c r="D1" s="2" t="s">
        <v>3</v>
      </c>
      <c r="E1" s="2" t="s">
        <v>4</v>
      </c>
      <c r="F1" s="2" t="s">
        <v>5</v>
      </c>
      <c r="G1" s="3" t="s">
        <v>6</v>
      </c>
      <c r="H1" s="3" t="s">
        <v>702</v>
      </c>
      <c r="I1" s="2" t="s">
        <v>703</v>
      </c>
      <c r="J1" s="2" t="s">
        <v>704</v>
      </c>
      <c r="K1" s="2" t="s">
        <v>705</v>
      </c>
      <c r="L1" s="2" t="s">
        <v>10</v>
      </c>
      <c r="M1" s="2" t="s">
        <v>706</v>
      </c>
      <c r="N1" s="2" t="s">
        <v>12</v>
      </c>
      <c r="O1" s="261" t="s">
        <v>508</v>
      </c>
    </row>
    <row r="2" spans="1:15" s="11" customFormat="1" ht="10.5">
      <c r="A2" s="6" t="s">
        <v>955</v>
      </c>
      <c r="B2" s="7" t="s">
        <v>14</v>
      </c>
      <c r="C2" s="7" t="s">
        <v>709</v>
      </c>
      <c r="D2" s="7">
        <v>1</v>
      </c>
      <c r="E2" s="7">
        <f>E8</f>
        <v>50</v>
      </c>
      <c r="F2" s="7">
        <f>SUM(F3:F8)</f>
        <v>50</v>
      </c>
      <c r="G2" s="8"/>
      <c r="H2" s="8"/>
      <c r="I2" s="9"/>
      <c r="J2" s="9"/>
      <c r="K2" s="7"/>
      <c r="L2" s="7"/>
      <c r="M2" s="7"/>
      <c r="N2" s="163" t="s">
        <v>879</v>
      </c>
      <c r="O2" s="262"/>
    </row>
    <row r="3" spans="1:15" s="11" customFormat="1" ht="20.5">
      <c r="A3" s="12" t="s">
        <v>17</v>
      </c>
      <c r="B3" s="13" t="s">
        <v>18</v>
      </c>
      <c r="C3" s="14">
        <v>1</v>
      </c>
      <c r="D3" s="14">
        <v>1</v>
      </c>
      <c r="E3" s="14">
        <f t="shared" ref="E3:E8" si="0">D3+F3-1</f>
        <v>1</v>
      </c>
      <c r="F3" s="14">
        <v>1</v>
      </c>
      <c r="G3" s="15" t="s">
        <v>19</v>
      </c>
      <c r="H3" s="15"/>
      <c r="I3" s="16"/>
      <c r="J3" s="16"/>
      <c r="K3" s="14"/>
      <c r="L3" s="14"/>
      <c r="M3" s="14"/>
      <c r="N3" s="168" t="s">
        <v>290</v>
      </c>
      <c r="O3" s="173"/>
    </row>
    <row r="4" spans="1:15" s="23" customFormat="1">
      <c r="A4" s="64" t="s">
        <v>710</v>
      </c>
      <c r="B4" s="264" t="s">
        <v>711</v>
      </c>
      <c r="C4" s="19">
        <v>2</v>
      </c>
      <c r="D4" s="19">
        <f>E3+1</f>
        <v>2</v>
      </c>
      <c r="E4" s="19">
        <f t="shared" si="0"/>
        <v>16</v>
      </c>
      <c r="F4" s="19">
        <v>15</v>
      </c>
      <c r="G4" s="20" t="s">
        <v>712</v>
      </c>
      <c r="H4" s="20"/>
      <c r="I4" s="66"/>
      <c r="J4" s="66"/>
      <c r="K4" s="19"/>
      <c r="L4" s="19"/>
      <c r="M4" s="19"/>
      <c r="N4" s="172"/>
      <c r="O4" s="173"/>
    </row>
    <row r="5" spans="1:15" s="23" customFormat="1">
      <c r="A5" s="64" t="s">
        <v>713</v>
      </c>
      <c r="B5" s="264" t="s">
        <v>714</v>
      </c>
      <c r="C5" s="19">
        <v>3</v>
      </c>
      <c r="D5" s="19">
        <f>E4+1</f>
        <v>17</v>
      </c>
      <c r="E5" s="19">
        <f t="shared" si="0"/>
        <v>26</v>
      </c>
      <c r="F5" s="19">
        <v>10</v>
      </c>
      <c r="G5" s="20" t="s">
        <v>715</v>
      </c>
      <c r="H5" s="20"/>
      <c r="I5" s="66"/>
      <c r="J5" s="66"/>
      <c r="K5" s="19"/>
      <c r="L5" s="19"/>
      <c r="M5" s="19"/>
      <c r="N5" s="172"/>
      <c r="O5" s="173"/>
    </row>
    <row r="6" spans="1:15" s="23" customFormat="1">
      <c r="A6" s="64" t="s">
        <v>215</v>
      </c>
      <c r="B6" s="264" t="s">
        <v>216</v>
      </c>
      <c r="C6" s="14">
        <v>4</v>
      </c>
      <c r="D6" s="19">
        <f>E5+1</f>
        <v>27</v>
      </c>
      <c r="E6" s="19">
        <f t="shared" si="0"/>
        <v>34</v>
      </c>
      <c r="F6" s="19">
        <v>8</v>
      </c>
      <c r="G6" s="20" t="s">
        <v>716</v>
      </c>
      <c r="H6" s="20"/>
      <c r="I6" s="174"/>
      <c r="J6" s="174"/>
      <c r="K6" s="19"/>
      <c r="L6" s="19"/>
      <c r="M6" s="19"/>
      <c r="N6" s="172"/>
      <c r="O6" s="173"/>
    </row>
    <row r="7" spans="1:15" s="11" customFormat="1" ht="10.5" customHeight="1">
      <c r="A7" s="64" t="s">
        <v>717</v>
      </c>
      <c r="B7" s="264" t="s">
        <v>711</v>
      </c>
      <c r="C7" s="19">
        <v>5</v>
      </c>
      <c r="D7" s="19">
        <f>E6+1</f>
        <v>35</v>
      </c>
      <c r="E7" s="19">
        <f t="shared" si="0"/>
        <v>49</v>
      </c>
      <c r="F7" s="19">
        <v>15</v>
      </c>
      <c r="G7" s="25" t="s">
        <v>972</v>
      </c>
      <c r="H7" s="25"/>
      <c r="I7" s="26"/>
      <c r="J7" s="26"/>
      <c r="K7" s="14"/>
      <c r="L7" s="14"/>
      <c r="M7" s="14"/>
      <c r="N7" s="168" t="s">
        <v>879</v>
      </c>
      <c r="O7" s="173"/>
    </row>
    <row r="8" spans="1:15" s="23" customFormat="1" ht="10">
      <c r="A8" s="80" t="s">
        <v>719</v>
      </c>
      <c r="B8" s="18" t="s">
        <v>720</v>
      </c>
      <c r="C8" s="19">
        <v>6</v>
      </c>
      <c r="D8" s="19">
        <f>E7+1</f>
        <v>50</v>
      </c>
      <c r="E8" s="19">
        <f t="shared" si="0"/>
        <v>50</v>
      </c>
      <c r="F8" s="19">
        <v>1</v>
      </c>
      <c r="G8" s="20" t="s">
        <v>721</v>
      </c>
      <c r="H8" s="20"/>
      <c r="I8" s="66"/>
      <c r="J8" s="66"/>
      <c r="K8" s="19"/>
      <c r="L8" s="19"/>
      <c r="M8" s="19"/>
      <c r="N8" s="172"/>
      <c r="O8" s="173"/>
    </row>
    <row r="9" spans="1:15" s="11" customFormat="1" ht="10.5">
      <c r="A9" s="6" t="s">
        <v>722</v>
      </c>
      <c r="B9" s="7" t="s">
        <v>14</v>
      </c>
      <c r="C9" s="27" t="s">
        <v>709</v>
      </c>
      <c r="D9" s="7">
        <v>1</v>
      </c>
      <c r="E9" s="7">
        <v>145</v>
      </c>
      <c r="F9" s="7">
        <v>145</v>
      </c>
      <c r="G9" s="28"/>
      <c r="H9" s="28"/>
      <c r="I9" s="29"/>
      <c r="J9" s="29"/>
      <c r="K9" s="7"/>
      <c r="L9" s="7"/>
      <c r="M9" s="7"/>
      <c r="N9" s="163" t="s">
        <v>879</v>
      </c>
      <c r="O9" s="262"/>
    </row>
    <row r="10" spans="1:15" s="11" customFormat="1" ht="20.5">
      <c r="A10" s="30" t="s">
        <v>723</v>
      </c>
      <c r="B10" s="13" t="s">
        <v>18</v>
      </c>
      <c r="C10" s="14">
        <v>7</v>
      </c>
      <c r="D10" s="31">
        <v>1</v>
      </c>
      <c r="E10" s="14">
        <f>D10+F10-1</f>
        <v>1</v>
      </c>
      <c r="F10" s="31">
        <v>1</v>
      </c>
      <c r="G10" s="15" t="s">
        <v>38</v>
      </c>
      <c r="H10" s="15"/>
      <c r="I10" s="16"/>
      <c r="J10" s="16"/>
      <c r="K10" s="31"/>
      <c r="L10" s="31"/>
      <c r="M10" s="31"/>
      <c r="N10" s="168" t="s">
        <v>724</v>
      </c>
      <c r="O10" s="173"/>
    </row>
    <row r="11" spans="1:15" s="11" customFormat="1" ht="30.5">
      <c r="A11" s="177" t="s">
        <v>725</v>
      </c>
      <c r="B11" s="13" t="s">
        <v>536</v>
      </c>
      <c r="C11" s="14">
        <v>8</v>
      </c>
      <c r="D11" s="14">
        <f>E10+1</f>
        <v>2</v>
      </c>
      <c r="E11" s="14">
        <f t="shared" ref="E11:E21" si="1">D11+F11-1</f>
        <v>14</v>
      </c>
      <c r="F11" s="14">
        <v>13</v>
      </c>
      <c r="H11" s="263" t="s">
        <v>880</v>
      </c>
      <c r="I11" s="16" t="s">
        <v>297</v>
      </c>
      <c r="J11" s="16" t="s">
        <v>958</v>
      </c>
      <c r="K11" s="71" t="s">
        <v>959</v>
      </c>
      <c r="L11" s="14" t="s">
        <v>730</v>
      </c>
      <c r="M11" s="179" t="s">
        <v>731</v>
      </c>
      <c r="N11" s="168" t="s">
        <v>290</v>
      </c>
      <c r="O11" s="173" t="s">
        <v>732</v>
      </c>
    </row>
    <row r="12" spans="1:15" s="11" customFormat="1" ht="30">
      <c r="A12" s="283" t="s">
        <v>973</v>
      </c>
      <c r="B12" s="13" t="s">
        <v>961</v>
      </c>
      <c r="C12" s="14">
        <v>9</v>
      </c>
      <c r="D12" s="14">
        <f>E10+1</f>
        <v>2</v>
      </c>
      <c r="E12" s="14">
        <f t="shared" si="1"/>
        <v>4</v>
      </c>
      <c r="F12" s="14">
        <v>3</v>
      </c>
      <c r="G12" s="75" t="s">
        <v>974</v>
      </c>
      <c r="H12" s="75"/>
      <c r="I12" s="16" t="s">
        <v>297</v>
      </c>
      <c r="J12" s="16" t="s">
        <v>958</v>
      </c>
      <c r="K12" s="75" t="s">
        <v>963</v>
      </c>
      <c r="L12" s="14" t="s">
        <v>730</v>
      </c>
      <c r="M12" s="179">
        <v>791</v>
      </c>
      <c r="N12" s="168" t="s">
        <v>290</v>
      </c>
      <c r="O12" s="173" t="s">
        <v>732</v>
      </c>
    </row>
    <row r="13" spans="1:15" s="11" customFormat="1" ht="20">
      <c r="A13" s="283" t="s">
        <v>975</v>
      </c>
      <c r="B13" s="13" t="s">
        <v>806</v>
      </c>
      <c r="C13" s="14">
        <v>10</v>
      </c>
      <c r="D13" s="14">
        <f t="shared" ref="D13:D21" si="2">E11+1</f>
        <v>15</v>
      </c>
      <c r="E13" s="14">
        <f t="shared" si="1"/>
        <v>15</v>
      </c>
      <c r="F13" s="14">
        <v>1</v>
      </c>
      <c r="G13" s="61"/>
      <c r="H13" s="284" t="s">
        <v>976</v>
      </c>
      <c r="I13" s="16"/>
      <c r="J13" s="16"/>
      <c r="K13" s="75" t="s">
        <v>966</v>
      </c>
      <c r="L13" s="14"/>
      <c r="M13" s="179"/>
      <c r="N13" s="168"/>
      <c r="O13" s="173"/>
    </row>
    <row r="14" spans="1:15" s="11" customFormat="1" ht="20.5">
      <c r="A14" s="187" t="s">
        <v>977</v>
      </c>
      <c r="B14" s="13" t="s">
        <v>978</v>
      </c>
      <c r="C14" s="14">
        <v>11</v>
      </c>
      <c r="D14" s="14">
        <f t="shared" si="2"/>
        <v>5</v>
      </c>
      <c r="E14" s="14">
        <f t="shared" si="1"/>
        <v>44</v>
      </c>
      <c r="F14" s="14">
        <v>40</v>
      </c>
      <c r="G14" s="61"/>
      <c r="H14" s="180" t="s">
        <v>738</v>
      </c>
      <c r="I14" s="16" t="s">
        <v>297</v>
      </c>
      <c r="J14" s="16" t="s">
        <v>958</v>
      </c>
      <c r="K14" s="33" t="s">
        <v>979</v>
      </c>
      <c r="L14" s="14" t="s">
        <v>730</v>
      </c>
      <c r="M14" s="36" t="s">
        <v>971</v>
      </c>
      <c r="N14" s="168" t="s">
        <v>290</v>
      </c>
      <c r="O14" s="173" t="s">
        <v>732</v>
      </c>
    </row>
    <row r="15" spans="1:15" s="11" customFormat="1" ht="20.5">
      <c r="A15" s="187" t="s">
        <v>980</v>
      </c>
      <c r="B15" s="13" t="s">
        <v>978</v>
      </c>
      <c r="C15" s="14">
        <v>12</v>
      </c>
      <c r="D15" s="14">
        <f t="shared" si="2"/>
        <v>16</v>
      </c>
      <c r="E15" s="14">
        <f t="shared" si="1"/>
        <v>55</v>
      </c>
      <c r="F15" s="14">
        <v>40</v>
      </c>
      <c r="G15" s="61"/>
      <c r="H15" s="180" t="s">
        <v>738</v>
      </c>
      <c r="I15" s="16" t="s">
        <v>297</v>
      </c>
      <c r="J15" s="16" t="s">
        <v>958</v>
      </c>
      <c r="K15" s="33" t="s">
        <v>981</v>
      </c>
      <c r="L15" s="14" t="s">
        <v>730</v>
      </c>
      <c r="M15" s="36" t="s">
        <v>982</v>
      </c>
      <c r="N15" s="168" t="s">
        <v>290</v>
      </c>
      <c r="O15" s="173" t="s">
        <v>732</v>
      </c>
    </row>
    <row r="16" spans="1:15" s="11" customFormat="1" ht="20.5">
      <c r="A16" s="187" t="s">
        <v>983</v>
      </c>
      <c r="B16" s="13" t="s">
        <v>978</v>
      </c>
      <c r="C16" s="14">
        <v>13</v>
      </c>
      <c r="D16" s="14">
        <f t="shared" si="2"/>
        <v>45</v>
      </c>
      <c r="E16" s="14">
        <f t="shared" si="1"/>
        <v>84</v>
      </c>
      <c r="F16" s="14">
        <v>40</v>
      </c>
      <c r="G16" s="61"/>
      <c r="H16" s="180" t="s">
        <v>738</v>
      </c>
      <c r="I16" s="16" t="s">
        <v>297</v>
      </c>
      <c r="J16" s="16" t="s">
        <v>958</v>
      </c>
      <c r="K16" s="284" t="s">
        <v>984</v>
      </c>
      <c r="L16" s="14" t="s">
        <v>730</v>
      </c>
      <c r="M16" s="36" t="s">
        <v>985</v>
      </c>
      <c r="N16" s="168" t="s">
        <v>290</v>
      </c>
      <c r="O16" s="173" t="s">
        <v>732</v>
      </c>
    </row>
    <row r="17" spans="1:15" s="11" customFormat="1" ht="20.5">
      <c r="A17" s="187" t="s">
        <v>986</v>
      </c>
      <c r="B17" s="13" t="s">
        <v>978</v>
      </c>
      <c r="C17" s="14">
        <v>14</v>
      </c>
      <c r="D17" s="14">
        <f t="shared" si="2"/>
        <v>56</v>
      </c>
      <c r="E17" s="14">
        <f t="shared" si="1"/>
        <v>95</v>
      </c>
      <c r="F17" s="14">
        <v>40</v>
      </c>
      <c r="G17" s="61"/>
      <c r="H17" s="180" t="s">
        <v>738</v>
      </c>
      <c r="I17" s="16" t="s">
        <v>297</v>
      </c>
      <c r="J17" s="16" t="s">
        <v>958</v>
      </c>
      <c r="K17" s="284" t="s">
        <v>987</v>
      </c>
      <c r="L17" s="14" t="s">
        <v>730</v>
      </c>
      <c r="M17" s="36" t="s">
        <v>988</v>
      </c>
      <c r="N17" s="168" t="s">
        <v>290</v>
      </c>
      <c r="O17" s="173" t="s">
        <v>732</v>
      </c>
    </row>
    <row r="18" spans="1:15" s="11" customFormat="1" ht="20.5">
      <c r="A18" s="187" t="s">
        <v>989</v>
      </c>
      <c r="B18" s="13" t="s">
        <v>990</v>
      </c>
      <c r="C18" s="14">
        <v>15</v>
      </c>
      <c r="D18" s="14">
        <f t="shared" si="2"/>
        <v>85</v>
      </c>
      <c r="E18" s="14">
        <f t="shared" si="1"/>
        <v>89</v>
      </c>
      <c r="F18" s="14">
        <v>5</v>
      </c>
      <c r="G18" s="73"/>
      <c r="H18" s="73"/>
      <c r="I18" s="16" t="s">
        <v>297</v>
      </c>
      <c r="J18" s="16" t="s">
        <v>958</v>
      </c>
      <c r="K18" s="61" t="s">
        <v>991</v>
      </c>
      <c r="L18" s="14" t="s">
        <v>730</v>
      </c>
      <c r="M18" s="179">
        <v>837</v>
      </c>
      <c r="N18" s="168" t="s">
        <v>290</v>
      </c>
      <c r="O18" s="173" t="s">
        <v>732</v>
      </c>
    </row>
    <row r="19" spans="1:15" s="11" customFormat="1" ht="20.5">
      <c r="A19" s="187" t="s">
        <v>992</v>
      </c>
      <c r="B19" s="13" t="s">
        <v>993</v>
      </c>
      <c r="C19" s="14">
        <v>13</v>
      </c>
      <c r="D19" s="14">
        <f t="shared" si="2"/>
        <v>96</v>
      </c>
      <c r="E19" s="14">
        <f t="shared" si="1"/>
        <v>110</v>
      </c>
      <c r="F19" s="14">
        <v>15</v>
      </c>
      <c r="G19" s="15"/>
      <c r="H19" s="15"/>
      <c r="I19" s="16" t="s">
        <v>297</v>
      </c>
      <c r="J19" s="16" t="s">
        <v>958</v>
      </c>
      <c r="K19" s="61" t="s">
        <v>994</v>
      </c>
      <c r="L19" s="14" t="s">
        <v>730</v>
      </c>
      <c r="M19" s="179">
        <v>838</v>
      </c>
      <c r="N19" s="168" t="s">
        <v>290</v>
      </c>
      <c r="O19" s="173" t="s">
        <v>732</v>
      </c>
    </row>
    <row r="20" spans="1:15" s="11" customFormat="1" ht="49.5" customHeight="1">
      <c r="A20" s="187" t="s">
        <v>271</v>
      </c>
      <c r="B20" s="13" t="s">
        <v>995</v>
      </c>
      <c r="C20" s="14">
        <v>14</v>
      </c>
      <c r="D20" s="14">
        <f t="shared" si="2"/>
        <v>90</v>
      </c>
      <c r="E20" s="14">
        <f t="shared" si="1"/>
        <v>94</v>
      </c>
      <c r="F20" s="14">
        <v>5</v>
      </c>
      <c r="G20" s="15" t="s">
        <v>996</v>
      </c>
      <c r="H20" s="15"/>
      <c r="I20" s="16" t="s">
        <v>297</v>
      </c>
      <c r="J20" s="16" t="s">
        <v>958</v>
      </c>
      <c r="K20" s="285" t="s">
        <v>997</v>
      </c>
      <c r="L20" s="14" t="s">
        <v>730</v>
      </c>
      <c r="M20" s="179">
        <v>839</v>
      </c>
      <c r="N20" s="168" t="s">
        <v>290</v>
      </c>
      <c r="O20" s="173" t="s">
        <v>732</v>
      </c>
    </row>
    <row r="21" spans="1:15" s="23" customFormat="1" ht="10">
      <c r="A21" s="80" t="s">
        <v>719</v>
      </c>
      <c r="B21" s="18" t="s">
        <v>720</v>
      </c>
      <c r="C21" s="14">
        <v>15</v>
      </c>
      <c r="D21" s="14">
        <f t="shared" si="2"/>
        <v>111</v>
      </c>
      <c r="E21" s="14">
        <f t="shared" si="1"/>
        <v>111</v>
      </c>
      <c r="F21" s="19">
        <v>1</v>
      </c>
      <c r="G21" s="20" t="s">
        <v>721</v>
      </c>
      <c r="H21" s="20"/>
      <c r="I21" s="66"/>
      <c r="J21" s="66"/>
      <c r="K21" s="19"/>
      <c r="L21" s="19"/>
      <c r="M21" s="19"/>
      <c r="N21" s="172"/>
      <c r="O21" s="173"/>
    </row>
    <row r="22" spans="1:15" s="11" customFormat="1" ht="10.5">
      <c r="A22" s="6" t="s">
        <v>858</v>
      </c>
      <c r="B22" s="7" t="s">
        <v>14</v>
      </c>
      <c r="C22" s="27" t="s">
        <v>709</v>
      </c>
      <c r="D22" s="7">
        <v>1</v>
      </c>
      <c r="E22" s="7">
        <f>E25</f>
        <v>11</v>
      </c>
      <c r="F22" s="7">
        <f>SUM(F23:F25)</f>
        <v>11</v>
      </c>
      <c r="G22" s="28"/>
      <c r="H22" s="28"/>
      <c r="I22" s="29"/>
      <c r="J22" s="29"/>
      <c r="K22" s="7"/>
      <c r="L22" s="41" t="s">
        <v>204</v>
      </c>
      <c r="M22" s="41"/>
      <c r="N22" s="163" t="s">
        <v>879</v>
      </c>
      <c r="O22" s="262"/>
    </row>
    <row r="23" spans="1:15" s="11" customFormat="1" ht="15" customHeight="1">
      <c r="A23" s="30" t="s">
        <v>723</v>
      </c>
      <c r="B23" s="13" t="s">
        <v>18</v>
      </c>
      <c r="C23" s="14">
        <v>16</v>
      </c>
      <c r="D23" s="14">
        <v>1</v>
      </c>
      <c r="E23" s="14">
        <v>1</v>
      </c>
      <c r="F23" s="14">
        <v>1</v>
      </c>
      <c r="G23" s="15" t="s">
        <v>205</v>
      </c>
      <c r="H23" s="15"/>
      <c r="I23" s="16"/>
      <c r="J23" s="16"/>
      <c r="K23" s="14"/>
      <c r="L23" s="14"/>
      <c r="M23" s="14"/>
      <c r="N23" s="168" t="s">
        <v>290</v>
      </c>
      <c r="O23" s="173"/>
    </row>
    <row r="24" spans="1:15" s="11" customFormat="1" ht="13.5" customHeight="1">
      <c r="A24" s="42" t="s">
        <v>206</v>
      </c>
      <c r="B24" s="13" t="s">
        <v>207</v>
      </c>
      <c r="C24" s="14">
        <v>17</v>
      </c>
      <c r="D24" s="14">
        <f>E23+1</f>
        <v>2</v>
      </c>
      <c r="E24" s="14">
        <f>D24+F24-1</f>
        <v>10</v>
      </c>
      <c r="F24" s="14">
        <v>9</v>
      </c>
      <c r="G24" s="15" t="s">
        <v>233</v>
      </c>
      <c r="H24" s="15"/>
      <c r="I24" s="16"/>
      <c r="J24" s="16"/>
      <c r="K24" s="14"/>
      <c r="L24" s="14"/>
      <c r="M24" s="14"/>
      <c r="N24" s="168" t="s">
        <v>290</v>
      </c>
      <c r="O24" s="173"/>
    </row>
    <row r="25" spans="1:15" s="23" customFormat="1" ht="10.5" thickBot="1">
      <c r="A25" s="81" t="s">
        <v>719</v>
      </c>
      <c r="B25" s="279" t="s">
        <v>720</v>
      </c>
      <c r="C25" s="202">
        <v>18</v>
      </c>
      <c r="D25" s="52">
        <f>E24+1</f>
        <v>11</v>
      </c>
      <c r="E25" s="202">
        <f>D25+F25-1</f>
        <v>11</v>
      </c>
      <c r="F25" s="202">
        <v>1</v>
      </c>
      <c r="G25" s="83" t="s">
        <v>721</v>
      </c>
      <c r="H25" s="83"/>
      <c r="I25" s="203"/>
      <c r="J25" s="203"/>
      <c r="K25" s="202"/>
      <c r="L25" s="202"/>
      <c r="M25" s="202"/>
      <c r="N25" s="204"/>
      <c r="O25" s="206"/>
    </row>
  </sheetData>
  <pageMargins left="0.75" right="0.75" top="1" bottom="1" header="0.5" footer="0.5"/>
  <headerFooter alignWithMargins="0">
    <oddHeader>&amp;L&amp;"Arial"&amp;9&amp;K0078D7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1E73-C0CB-45B3-81A4-6CA27EAED5B8}">
  <sheetPr codeName="Sheet13">
    <tabColor rgb="FFFF0000"/>
  </sheetPr>
  <dimension ref="A1:N21"/>
  <sheetViews>
    <sheetView workbookViewId="0">
      <selection activeCell="A14" sqref="A14"/>
    </sheetView>
  </sheetViews>
  <sheetFormatPr defaultRowHeight="12.5"/>
  <cols>
    <col min="1" max="1" width="16" style="383" bestFit="1" customWidth="1"/>
    <col min="2" max="2" width="8.453125" style="383" bestFit="1" customWidth="1"/>
    <col min="3" max="3" width="7.26953125" style="383" bestFit="1" customWidth="1"/>
    <col min="4" max="5" width="7.453125" style="383" bestFit="1" customWidth="1"/>
    <col min="6" max="6" width="6.54296875" style="383" bestFit="1" customWidth="1"/>
    <col min="7" max="7" width="35.54296875" style="383" bestFit="1" customWidth="1"/>
    <col min="8" max="8" width="8.1796875" style="383" bestFit="1" customWidth="1"/>
    <col min="9" max="9" width="9" style="383" bestFit="1" customWidth="1"/>
    <col min="10" max="10" width="28.7265625" style="383" customWidth="1"/>
    <col min="11" max="11" width="6.54296875" style="383" bestFit="1" customWidth="1"/>
    <col min="12" max="12" width="7.81640625" style="383" bestFit="1" customWidth="1"/>
    <col min="13" max="13" width="11.81640625" style="383" bestFit="1" customWidth="1"/>
    <col min="14" max="14" width="7.54296875" style="383" bestFit="1" customWidth="1"/>
    <col min="15" max="256" width="9.1796875" style="383"/>
    <col min="257" max="257" width="16" style="383" bestFit="1" customWidth="1"/>
    <col min="258" max="258" width="8.453125" style="383" bestFit="1" customWidth="1"/>
    <col min="259" max="259" width="7.26953125" style="383" bestFit="1" customWidth="1"/>
    <col min="260" max="261" width="7.453125" style="383" bestFit="1" customWidth="1"/>
    <col min="262" max="262" width="6.54296875" style="383" bestFit="1" customWidth="1"/>
    <col min="263" max="263" width="35.54296875" style="383" bestFit="1" customWidth="1"/>
    <col min="264" max="264" width="8.1796875" style="383" bestFit="1" customWidth="1"/>
    <col min="265" max="265" width="9" style="383" bestFit="1" customWidth="1"/>
    <col min="266" max="266" width="28.7265625" style="383" customWidth="1"/>
    <col min="267" max="267" width="6.54296875" style="383" bestFit="1" customWidth="1"/>
    <col min="268" max="268" width="7.81640625" style="383" bestFit="1" customWidth="1"/>
    <col min="269" max="269" width="11.81640625" style="383" bestFit="1" customWidth="1"/>
    <col min="270" max="270" width="7.54296875" style="383" bestFit="1" customWidth="1"/>
    <col min="271" max="512" width="9.1796875" style="383"/>
    <col min="513" max="513" width="16" style="383" bestFit="1" customWidth="1"/>
    <col min="514" max="514" width="8.453125" style="383" bestFit="1" customWidth="1"/>
    <col min="515" max="515" width="7.26953125" style="383" bestFit="1" customWidth="1"/>
    <col min="516" max="517" width="7.453125" style="383" bestFit="1" customWidth="1"/>
    <col min="518" max="518" width="6.54296875" style="383" bestFit="1" customWidth="1"/>
    <col min="519" max="519" width="35.54296875" style="383" bestFit="1" customWidth="1"/>
    <col min="520" max="520" width="8.1796875" style="383" bestFit="1" customWidth="1"/>
    <col min="521" max="521" width="9" style="383" bestFit="1" customWidth="1"/>
    <col min="522" max="522" width="28.7265625" style="383" customWidth="1"/>
    <col min="523" max="523" width="6.54296875" style="383" bestFit="1" customWidth="1"/>
    <col min="524" max="524" width="7.81640625" style="383" bestFit="1" customWidth="1"/>
    <col min="525" max="525" width="11.81640625" style="383" bestFit="1" customWidth="1"/>
    <col min="526" max="526" width="7.54296875" style="383" bestFit="1" customWidth="1"/>
    <col min="527" max="768" width="9.1796875" style="383"/>
    <col min="769" max="769" width="16" style="383" bestFit="1" customWidth="1"/>
    <col min="770" max="770" width="8.453125" style="383" bestFit="1" customWidth="1"/>
    <col min="771" max="771" width="7.26953125" style="383" bestFit="1" customWidth="1"/>
    <col min="772" max="773" width="7.453125" style="383" bestFit="1" customWidth="1"/>
    <col min="774" max="774" width="6.54296875" style="383" bestFit="1" customWidth="1"/>
    <col min="775" max="775" width="35.54296875" style="383" bestFit="1" customWidth="1"/>
    <col min="776" max="776" width="8.1796875" style="383" bestFit="1" customWidth="1"/>
    <col min="777" max="777" width="9" style="383" bestFit="1" customWidth="1"/>
    <col min="778" max="778" width="28.7265625" style="383" customWidth="1"/>
    <col min="779" max="779" width="6.54296875" style="383" bestFit="1" customWidth="1"/>
    <col min="780" max="780" width="7.81640625" style="383" bestFit="1" customWidth="1"/>
    <col min="781" max="781" width="11.81640625" style="383" bestFit="1" customWidth="1"/>
    <col min="782" max="782" width="7.54296875" style="383" bestFit="1" customWidth="1"/>
    <col min="783" max="1024" width="9.1796875" style="383"/>
    <col min="1025" max="1025" width="16" style="383" bestFit="1" customWidth="1"/>
    <col min="1026" max="1026" width="8.453125" style="383" bestFit="1" customWidth="1"/>
    <col min="1027" max="1027" width="7.26953125" style="383" bestFit="1" customWidth="1"/>
    <col min="1028" max="1029" width="7.453125" style="383" bestFit="1" customWidth="1"/>
    <col min="1030" max="1030" width="6.54296875" style="383" bestFit="1" customWidth="1"/>
    <col min="1031" max="1031" width="35.54296875" style="383" bestFit="1" customWidth="1"/>
    <col min="1032" max="1032" width="8.1796875" style="383" bestFit="1" customWidth="1"/>
    <col min="1033" max="1033" width="9" style="383" bestFit="1" customWidth="1"/>
    <col min="1034" max="1034" width="28.7265625" style="383" customWidth="1"/>
    <col min="1035" max="1035" width="6.54296875" style="383" bestFit="1" customWidth="1"/>
    <col min="1036" max="1036" width="7.81640625" style="383" bestFit="1" customWidth="1"/>
    <col min="1037" max="1037" width="11.81640625" style="383" bestFit="1" customWidth="1"/>
    <col min="1038" max="1038" width="7.54296875" style="383" bestFit="1" customWidth="1"/>
    <col min="1039" max="1280" width="9.1796875" style="383"/>
    <col min="1281" max="1281" width="16" style="383" bestFit="1" customWidth="1"/>
    <col min="1282" max="1282" width="8.453125" style="383" bestFit="1" customWidth="1"/>
    <col min="1283" max="1283" width="7.26953125" style="383" bestFit="1" customWidth="1"/>
    <col min="1284" max="1285" width="7.453125" style="383" bestFit="1" customWidth="1"/>
    <col min="1286" max="1286" width="6.54296875" style="383" bestFit="1" customWidth="1"/>
    <col min="1287" max="1287" width="35.54296875" style="383" bestFit="1" customWidth="1"/>
    <col min="1288" max="1288" width="8.1796875" style="383" bestFit="1" customWidth="1"/>
    <col min="1289" max="1289" width="9" style="383" bestFit="1" customWidth="1"/>
    <col min="1290" max="1290" width="28.7265625" style="383" customWidth="1"/>
    <col min="1291" max="1291" width="6.54296875" style="383" bestFit="1" customWidth="1"/>
    <col min="1292" max="1292" width="7.81640625" style="383" bestFit="1" customWidth="1"/>
    <col min="1293" max="1293" width="11.81640625" style="383" bestFit="1" customWidth="1"/>
    <col min="1294" max="1294" width="7.54296875" style="383" bestFit="1" customWidth="1"/>
    <col min="1295" max="1536" width="9.1796875" style="383"/>
    <col min="1537" max="1537" width="16" style="383" bestFit="1" customWidth="1"/>
    <col min="1538" max="1538" width="8.453125" style="383" bestFit="1" customWidth="1"/>
    <col min="1539" max="1539" width="7.26953125" style="383" bestFit="1" customWidth="1"/>
    <col min="1540" max="1541" width="7.453125" style="383" bestFit="1" customWidth="1"/>
    <col min="1542" max="1542" width="6.54296875" style="383" bestFit="1" customWidth="1"/>
    <col min="1543" max="1543" width="35.54296875" style="383" bestFit="1" customWidth="1"/>
    <col min="1544" max="1544" width="8.1796875" style="383" bestFit="1" customWidth="1"/>
    <col min="1545" max="1545" width="9" style="383" bestFit="1" customWidth="1"/>
    <col min="1546" max="1546" width="28.7265625" style="383" customWidth="1"/>
    <col min="1547" max="1547" width="6.54296875" style="383" bestFit="1" customWidth="1"/>
    <col min="1548" max="1548" width="7.81640625" style="383" bestFit="1" customWidth="1"/>
    <col min="1549" max="1549" width="11.81640625" style="383" bestFit="1" customWidth="1"/>
    <col min="1550" max="1550" width="7.54296875" style="383" bestFit="1" customWidth="1"/>
    <col min="1551" max="1792" width="9.1796875" style="383"/>
    <col min="1793" max="1793" width="16" style="383" bestFit="1" customWidth="1"/>
    <col min="1794" max="1794" width="8.453125" style="383" bestFit="1" customWidth="1"/>
    <col min="1795" max="1795" width="7.26953125" style="383" bestFit="1" customWidth="1"/>
    <col min="1796" max="1797" width="7.453125" style="383" bestFit="1" customWidth="1"/>
    <col min="1798" max="1798" width="6.54296875" style="383" bestFit="1" customWidth="1"/>
    <col min="1799" max="1799" width="35.54296875" style="383" bestFit="1" customWidth="1"/>
    <col min="1800" max="1800" width="8.1796875" style="383" bestFit="1" customWidth="1"/>
    <col min="1801" max="1801" width="9" style="383" bestFit="1" customWidth="1"/>
    <col min="1802" max="1802" width="28.7265625" style="383" customWidth="1"/>
    <col min="1803" max="1803" width="6.54296875" style="383" bestFit="1" customWidth="1"/>
    <col min="1804" max="1804" width="7.81640625" style="383" bestFit="1" customWidth="1"/>
    <col min="1805" max="1805" width="11.81640625" style="383" bestFit="1" customWidth="1"/>
    <col min="1806" max="1806" width="7.54296875" style="383" bestFit="1" customWidth="1"/>
    <col min="1807" max="2048" width="9.1796875" style="383"/>
    <col min="2049" max="2049" width="16" style="383" bestFit="1" customWidth="1"/>
    <col min="2050" max="2050" width="8.453125" style="383" bestFit="1" customWidth="1"/>
    <col min="2051" max="2051" width="7.26953125" style="383" bestFit="1" customWidth="1"/>
    <col min="2052" max="2053" width="7.453125" style="383" bestFit="1" customWidth="1"/>
    <col min="2054" max="2054" width="6.54296875" style="383" bestFit="1" customWidth="1"/>
    <col min="2055" max="2055" width="35.54296875" style="383" bestFit="1" customWidth="1"/>
    <col min="2056" max="2056" width="8.1796875" style="383" bestFit="1" customWidth="1"/>
    <col min="2057" max="2057" width="9" style="383" bestFit="1" customWidth="1"/>
    <col min="2058" max="2058" width="28.7265625" style="383" customWidth="1"/>
    <col min="2059" max="2059" width="6.54296875" style="383" bestFit="1" customWidth="1"/>
    <col min="2060" max="2060" width="7.81640625" style="383" bestFit="1" customWidth="1"/>
    <col min="2061" max="2061" width="11.81640625" style="383" bestFit="1" customWidth="1"/>
    <col min="2062" max="2062" width="7.54296875" style="383" bestFit="1" customWidth="1"/>
    <col min="2063" max="2304" width="9.1796875" style="383"/>
    <col min="2305" max="2305" width="16" style="383" bestFit="1" customWidth="1"/>
    <col min="2306" max="2306" width="8.453125" style="383" bestFit="1" customWidth="1"/>
    <col min="2307" max="2307" width="7.26953125" style="383" bestFit="1" customWidth="1"/>
    <col min="2308" max="2309" width="7.453125" style="383" bestFit="1" customWidth="1"/>
    <col min="2310" max="2310" width="6.54296875" style="383" bestFit="1" customWidth="1"/>
    <col min="2311" max="2311" width="35.54296875" style="383" bestFit="1" customWidth="1"/>
    <col min="2312" max="2312" width="8.1796875" style="383" bestFit="1" customWidth="1"/>
    <col min="2313" max="2313" width="9" style="383" bestFit="1" customWidth="1"/>
    <col min="2314" max="2314" width="28.7265625" style="383" customWidth="1"/>
    <col min="2315" max="2315" width="6.54296875" style="383" bestFit="1" customWidth="1"/>
    <col min="2316" max="2316" width="7.81640625" style="383" bestFit="1" customWidth="1"/>
    <col min="2317" max="2317" width="11.81640625" style="383" bestFit="1" customWidth="1"/>
    <col min="2318" max="2318" width="7.54296875" style="383" bestFit="1" customWidth="1"/>
    <col min="2319" max="2560" width="9.1796875" style="383"/>
    <col min="2561" max="2561" width="16" style="383" bestFit="1" customWidth="1"/>
    <col min="2562" max="2562" width="8.453125" style="383" bestFit="1" customWidth="1"/>
    <col min="2563" max="2563" width="7.26953125" style="383" bestFit="1" customWidth="1"/>
    <col min="2564" max="2565" width="7.453125" style="383" bestFit="1" customWidth="1"/>
    <col min="2566" max="2566" width="6.54296875" style="383" bestFit="1" customWidth="1"/>
    <col min="2567" max="2567" width="35.54296875" style="383" bestFit="1" customWidth="1"/>
    <col min="2568" max="2568" width="8.1796875" style="383" bestFit="1" customWidth="1"/>
    <col min="2569" max="2569" width="9" style="383" bestFit="1" customWidth="1"/>
    <col min="2570" max="2570" width="28.7265625" style="383" customWidth="1"/>
    <col min="2571" max="2571" width="6.54296875" style="383" bestFit="1" customWidth="1"/>
    <col min="2572" max="2572" width="7.81640625" style="383" bestFit="1" customWidth="1"/>
    <col min="2573" max="2573" width="11.81640625" style="383" bestFit="1" customWidth="1"/>
    <col min="2574" max="2574" width="7.54296875" style="383" bestFit="1" customWidth="1"/>
    <col min="2575" max="2816" width="9.1796875" style="383"/>
    <col min="2817" max="2817" width="16" style="383" bestFit="1" customWidth="1"/>
    <col min="2818" max="2818" width="8.453125" style="383" bestFit="1" customWidth="1"/>
    <col min="2819" max="2819" width="7.26953125" style="383" bestFit="1" customWidth="1"/>
    <col min="2820" max="2821" width="7.453125" style="383" bestFit="1" customWidth="1"/>
    <col min="2822" max="2822" width="6.54296875" style="383" bestFit="1" customWidth="1"/>
    <col min="2823" max="2823" width="35.54296875" style="383" bestFit="1" customWidth="1"/>
    <col min="2824" max="2824" width="8.1796875" style="383" bestFit="1" customWidth="1"/>
    <col min="2825" max="2825" width="9" style="383" bestFit="1" customWidth="1"/>
    <col min="2826" max="2826" width="28.7265625" style="383" customWidth="1"/>
    <col min="2827" max="2827" width="6.54296875" style="383" bestFit="1" customWidth="1"/>
    <col min="2828" max="2828" width="7.81640625" style="383" bestFit="1" customWidth="1"/>
    <col min="2829" max="2829" width="11.81640625" style="383" bestFit="1" customWidth="1"/>
    <col min="2830" max="2830" width="7.54296875" style="383" bestFit="1" customWidth="1"/>
    <col min="2831" max="3072" width="9.1796875" style="383"/>
    <col min="3073" max="3073" width="16" style="383" bestFit="1" customWidth="1"/>
    <col min="3074" max="3074" width="8.453125" style="383" bestFit="1" customWidth="1"/>
    <col min="3075" max="3075" width="7.26953125" style="383" bestFit="1" customWidth="1"/>
    <col min="3076" max="3077" width="7.453125" style="383" bestFit="1" customWidth="1"/>
    <col min="3078" max="3078" width="6.54296875" style="383" bestFit="1" customWidth="1"/>
    <col min="3079" max="3079" width="35.54296875" style="383" bestFit="1" customWidth="1"/>
    <col min="3080" max="3080" width="8.1796875" style="383" bestFit="1" customWidth="1"/>
    <col min="3081" max="3081" width="9" style="383" bestFit="1" customWidth="1"/>
    <col min="3082" max="3082" width="28.7265625" style="383" customWidth="1"/>
    <col min="3083" max="3083" width="6.54296875" style="383" bestFit="1" customWidth="1"/>
    <col min="3084" max="3084" width="7.81640625" style="383" bestFit="1" customWidth="1"/>
    <col min="3085" max="3085" width="11.81640625" style="383" bestFit="1" customWidth="1"/>
    <col min="3086" max="3086" width="7.54296875" style="383" bestFit="1" customWidth="1"/>
    <col min="3087" max="3328" width="9.1796875" style="383"/>
    <col min="3329" max="3329" width="16" style="383" bestFit="1" customWidth="1"/>
    <col min="3330" max="3330" width="8.453125" style="383" bestFit="1" customWidth="1"/>
    <col min="3331" max="3331" width="7.26953125" style="383" bestFit="1" customWidth="1"/>
    <col min="3332" max="3333" width="7.453125" style="383" bestFit="1" customWidth="1"/>
    <col min="3334" max="3334" width="6.54296875" style="383" bestFit="1" customWidth="1"/>
    <col min="3335" max="3335" width="35.54296875" style="383" bestFit="1" customWidth="1"/>
    <col min="3336" max="3336" width="8.1796875" style="383" bestFit="1" customWidth="1"/>
    <col min="3337" max="3337" width="9" style="383" bestFit="1" customWidth="1"/>
    <col min="3338" max="3338" width="28.7265625" style="383" customWidth="1"/>
    <col min="3339" max="3339" width="6.54296875" style="383" bestFit="1" customWidth="1"/>
    <col min="3340" max="3340" width="7.81640625" style="383" bestFit="1" customWidth="1"/>
    <col min="3341" max="3341" width="11.81640625" style="383" bestFit="1" customWidth="1"/>
    <col min="3342" max="3342" width="7.54296875" style="383" bestFit="1" customWidth="1"/>
    <col min="3343" max="3584" width="9.1796875" style="383"/>
    <col min="3585" max="3585" width="16" style="383" bestFit="1" customWidth="1"/>
    <col min="3586" max="3586" width="8.453125" style="383" bestFit="1" customWidth="1"/>
    <col min="3587" max="3587" width="7.26953125" style="383" bestFit="1" customWidth="1"/>
    <col min="3588" max="3589" width="7.453125" style="383" bestFit="1" customWidth="1"/>
    <col min="3590" max="3590" width="6.54296875" style="383" bestFit="1" customWidth="1"/>
    <col min="3591" max="3591" width="35.54296875" style="383" bestFit="1" customWidth="1"/>
    <col min="3592" max="3592" width="8.1796875" style="383" bestFit="1" customWidth="1"/>
    <col min="3593" max="3593" width="9" style="383" bestFit="1" customWidth="1"/>
    <col min="3594" max="3594" width="28.7265625" style="383" customWidth="1"/>
    <col min="3595" max="3595" width="6.54296875" style="383" bestFit="1" customWidth="1"/>
    <col min="3596" max="3596" width="7.81640625" style="383" bestFit="1" customWidth="1"/>
    <col min="3597" max="3597" width="11.81640625" style="383" bestFit="1" customWidth="1"/>
    <col min="3598" max="3598" width="7.54296875" style="383" bestFit="1" customWidth="1"/>
    <col min="3599" max="3840" width="9.1796875" style="383"/>
    <col min="3841" max="3841" width="16" style="383" bestFit="1" customWidth="1"/>
    <col min="3842" max="3842" width="8.453125" style="383" bestFit="1" customWidth="1"/>
    <col min="3843" max="3843" width="7.26953125" style="383" bestFit="1" customWidth="1"/>
    <col min="3844" max="3845" width="7.453125" style="383" bestFit="1" customWidth="1"/>
    <col min="3846" max="3846" width="6.54296875" style="383" bestFit="1" customWidth="1"/>
    <col min="3847" max="3847" width="35.54296875" style="383" bestFit="1" customWidth="1"/>
    <col min="3848" max="3848" width="8.1796875" style="383" bestFit="1" customWidth="1"/>
    <col min="3849" max="3849" width="9" style="383" bestFit="1" customWidth="1"/>
    <col min="3850" max="3850" width="28.7265625" style="383" customWidth="1"/>
    <col min="3851" max="3851" width="6.54296875" style="383" bestFit="1" customWidth="1"/>
    <col min="3852" max="3852" width="7.81640625" style="383" bestFit="1" customWidth="1"/>
    <col min="3853" max="3853" width="11.81640625" style="383" bestFit="1" customWidth="1"/>
    <col min="3854" max="3854" width="7.54296875" style="383" bestFit="1" customWidth="1"/>
    <col min="3855" max="4096" width="9.1796875" style="383"/>
    <col min="4097" max="4097" width="16" style="383" bestFit="1" customWidth="1"/>
    <col min="4098" max="4098" width="8.453125" style="383" bestFit="1" customWidth="1"/>
    <col min="4099" max="4099" width="7.26953125" style="383" bestFit="1" customWidth="1"/>
    <col min="4100" max="4101" width="7.453125" style="383" bestFit="1" customWidth="1"/>
    <col min="4102" max="4102" width="6.54296875" style="383" bestFit="1" customWidth="1"/>
    <col min="4103" max="4103" width="35.54296875" style="383" bestFit="1" customWidth="1"/>
    <col min="4104" max="4104" width="8.1796875" style="383" bestFit="1" customWidth="1"/>
    <col min="4105" max="4105" width="9" style="383" bestFit="1" customWidth="1"/>
    <col min="4106" max="4106" width="28.7265625" style="383" customWidth="1"/>
    <col min="4107" max="4107" width="6.54296875" style="383" bestFit="1" customWidth="1"/>
    <col min="4108" max="4108" width="7.81640625" style="383" bestFit="1" customWidth="1"/>
    <col min="4109" max="4109" width="11.81640625" style="383" bestFit="1" customWidth="1"/>
    <col min="4110" max="4110" width="7.54296875" style="383" bestFit="1" customWidth="1"/>
    <col min="4111" max="4352" width="9.1796875" style="383"/>
    <col min="4353" max="4353" width="16" style="383" bestFit="1" customWidth="1"/>
    <col min="4354" max="4354" width="8.453125" style="383" bestFit="1" customWidth="1"/>
    <col min="4355" max="4355" width="7.26953125" style="383" bestFit="1" customWidth="1"/>
    <col min="4356" max="4357" width="7.453125" style="383" bestFit="1" customWidth="1"/>
    <col min="4358" max="4358" width="6.54296875" style="383" bestFit="1" customWidth="1"/>
    <col min="4359" max="4359" width="35.54296875" style="383" bestFit="1" customWidth="1"/>
    <col min="4360" max="4360" width="8.1796875" style="383" bestFit="1" customWidth="1"/>
    <col min="4361" max="4361" width="9" style="383" bestFit="1" customWidth="1"/>
    <col min="4362" max="4362" width="28.7265625" style="383" customWidth="1"/>
    <col min="4363" max="4363" width="6.54296875" style="383" bestFit="1" customWidth="1"/>
    <col min="4364" max="4364" width="7.81640625" style="383" bestFit="1" customWidth="1"/>
    <col min="4365" max="4365" width="11.81640625" style="383" bestFit="1" customWidth="1"/>
    <col min="4366" max="4366" width="7.54296875" style="383" bestFit="1" customWidth="1"/>
    <col min="4367" max="4608" width="9.1796875" style="383"/>
    <col min="4609" max="4609" width="16" style="383" bestFit="1" customWidth="1"/>
    <col min="4610" max="4610" width="8.453125" style="383" bestFit="1" customWidth="1"/>
    <col min="4611" max="4611" width="7.26953125" style="383" bestFit="1" customWidth="1"/>
    <col min="4612" max="4613" width="7.453125" style="383" bestFit="1" customWidth="1"/>
    <col min="4614" max="4614" width="6.54296875" style="383" bestFit="1" customWidth="1"/>
    <col min="4615" max="4615" width="35.54296875" style="383" bestFit="1" customWidth="1"/>
    <col min="4616" max="4616" width="8.1796875" style="383" bestFit="1" customWidth="1"/>
    <col min="4617" max="4617" width="9" style="383" bestFit="1" customWidth="1"/>
    <col min="4618" max="4618" width="28.7265625" style="383" customWidth="1"/>
    <col min="4619" max="4619" width="6.54296875" style="383" bestFit="1" customWidth="1"/>
    <col min="4620" max="4620" width="7.81640625" style="383" bestFit="1" customWidth="1"/>
    <col min="4621" max="4621" width="11.81640625" style="383" bestFit="1" customWidth="1"/>
    <col min="4622" max="4622" width="7.54296875" style="383" bestFit="1" customWidth="1"/>
    <col min="4623" max="4864" width="9.1796875" style="383"/>
    <col min="4865" max="4865" width="16" style="383" bestFit="1" customWidth="1"/>
    <col min="4866" max="4866" width="8.453125" style="383" bestFit="1" customWidth="1"/>
    <col min="4867" max="4867" width="7.26953125" style="383" bestFit="1" customWidth="1"/>
    <col min="4868" max="4869" width="7.453125" style="383" bestFit="1" customWidth="1"/>
    <col min="4870" max="4870" width="6.54296875" style="383" bestFit="1" customWidth="1"/>
    <col min="4871" max="4871" width="35.54296875" style="383" bestFit="1" customWidth="1"/>
    <col min="4872" max="4872" width="8.1796875" style="383" bestFit="1" customWidth="1"/>
    <col min="4873" max="4873" width="9" style="383" bestFit="1" customWidth="1"/>
    <col min="4874" max="4874" width="28.7265625" style="383" customWidth="1"/>
    <col min="4875" max="4875" width="6.54296875" style="383" bestFit="1" customWidth="1"/>
    <col min="4876" max="4876" width="7.81640625" style="383" bestFit="1" customWidth="1"/>
    <col min="4877" max="4877" width="11.81640625" style="383" bestFit="1" customWidth="1"/>
    <col min="4878" max="4878" width="7.54296875" style="383" bestFit="1" customWidth="1"/>
    <col min="4879" max="5120" width="9.1796875" style="383"/>
    <col min="5121" max="5121" width="16" style="383" bestFit="1" customWidth="1"/>
    <col min="5122" max="5122" width="8.453125" style="383" bestFit="1" customWidth="1"/>
    <col min="5123" max="5123" width="7.26953125" style="383" bestFit="1" customWidth="1"/>
    <col min="5124" max="5125" width="7.453125" style="383" bestFit="1" customWidth="1"/>
    <col min="5126" max="5126" width="6.54296875" style="383" bestFit="1" customWidth="1"/>
    <col min="5127" max="5127" width="35.54296875" style="383" bestFit="1" customWidth="1"/>
    <col min="5128" max="5128" width="8.1796875" style="383" bestFit="1" customWidth="1"/>
    <col min="5129" max="5129" width="9" style="383" bestFit="1" customWidth="1"/>
    <col min="5130" max="5130" width="28.7265625" style="383" customWidth="1"/>
    <col min="5131" max="5131" width="6.54296875" style="383" bestFit="1" customWidth="1"/>
    <col min="5132" max="5132" width="7.81640625" style="383" bestFit="1" customWidth="1"/>
    <col min="5133" max="5133" width="11.81640625" style="383" bestFit="1" customWidth="1"/>
    <col min="5134" max="5134" width="7.54296875" style="383" bestFit="1" customWidth="1"/>
    <col min="5135" max="5376" width="9.1796875" style="383"/>
    <col min="5377" max="5377" width="16" style="383" bestFit="1" customWidth="1"/>
    <col min="5378" max="5378" width="8.453125" style="383" bestFit="1" customWidth="1"/>
    <col min="5379" max="5379" width="7.26953125" style="383" bestFit="1" customWidth="1"/>
    <col min="5380" max="5381" width="7.453125" style="383" bestFit="1" customWidth="1"/>
    <col min="5382" max="5382" width="6.54296875" style="383" bestFit="1" customWidth="1"/>
    <col min="5383" max="5383" width="35.54296875" style="383" bestFit="1" customWidth="1"/>
    <col min="5384" max="5384" width="8.1796875" style="383" bestFit="1" customWidth="1"/>
    <col min="5385" max="5385" width="9" style="383" bestFit="1" customWidth="1"/>
    <col min="5386" max="5386" width="28.7265625" style="383" customWidth="1"/>
    <col min="5387" max="5387" width="6.54296875" style="383" bestFit="1" customWidth="1"/>
    <col min="5388" max="5388" width="7.81640625" style="383" bestFit="1" customWidth="1"/>
    <col min="5389" max="5389" width="11.81640625" style="383" bestFit="1" customWidth="1"/>
    <col min="5390" max="5390" width="7.54296875" style="383" bestFit="1" customWidth="1"/>
    <col min="5391" max="5632" width="9.1796875" style="383"/>
    <col min="5633" max="5633" width="16" style="383" bestFit="1" customWidth="1"/>
    <col min="5634" max="5634" width="8.453125" style="383" bestFit="1" customWidth="1"/>
    <col min="5635" max="5635" width="7.26953125" style="383" bestFit="1" customWidth="1"/>
    <col min="5636" max="5637" width="7.453125" style="383" bestFit="1" customWidth="1"/>
    <col min="5638" max="5638" width="6.54296875" style="383" bestFit="1" customWidth="1"/>
    <col min="5639" max="5639" width="35.54296875" style="383" bestFit="1" customWidth="1"/>
    <col min="5640" max="5640" width="8.1796875" style="383" bestFit="1" customWidth="1"/>
    <col min="5641" max="5641" width="9" style="383" bestFit="1" customWidth="1"/>
    <col min="5642" max="5642" width="28.7265625" style="383" customWidth="1"/>
    <col min="5643" max="5643" width="6.54296875" style="383" bestFit="1" customWidth="1"/>
    <col min="5644" max="5644" width="7.81640625" style="383" bestFit="1" customWidth="1"/>
    <col min="5645" max="5645" width="11.81640625" style="383" bestFit="1" customWidth="1"/>
    <col min="5646" max="5646" width="7.54296875" style="383" bestFit="1" customWidth="1"/>
    <col min="5647" max="5888" width="9.1796875" style="383"/>
    <col min="5889" max="5889" width="16" style="383" bestFit="1" customWidth="1"/>
    <col min="5890" max="5890" width="8.453125" style="383" bestFit="1" customWidth="1"/>
    <col min="5891" max="5891" width="7.26953125" style="383" bestFit="1" customWidth="1"/>
    <col min="5892" max="5893" width="7.453125" style="383" bestFit="1" customWidth="1"/>
    <col min="5894" max="5894" width="6.54296875" style="383" bestFit="1" customWidth="1"/>
    <col min="5895" max="5895" width="35.54296875" style="383" bestFit="1" customWidth="1"/>
    <col min="5896" max="5896" width="8.1796875" style="383" bestFit="1" customWidth="1"/>
    <col min="5897" max="5897" width="9" style="383" bestFit="1" customWidth="1"/>
    <col min="5898" max="5898" width="28.7265625" style="383" customWidth="1"/>
    <col min="5899" max="5899" width="6.54296875" style="383" bestFit="1" customWidth="1"/>
    <col min="5900" max="5900" width="7.81640625" style="383" bestFit="1" customWidth="1"/>
    <col min="5901" max="5901" width="11.81640625" style="383" bestFit="1" customWidth="1"/>
    <col min="5902" max="5902" width="7.54296875" style="383" bestFit="1" customWidth="1"/>
    <col min="5903" max="6144" width="9.1796875" style="383"/>
    <col min="6145" max="6145" width="16" style="383" bestFit="1" customWidth="1"/>
    <col min="6146" max="6146" width="8.453125" style="383" bestFit="1" customWidth="1"/>
    <col min="6147" max="6147" width="7.26953125" style="383" bestFit="1" customWidth="1"/>
    <col min="6148" max="6149" width="7.453125" style="383" bestFit="1" customWidth="1"/>
    <col min="6150" max="6150" width="6.54296875" style="383" bestFit="1" customWidth="1"/>
    <col min="6151" max="6151" width="35.54296875" style="383" bestFit="1" customWidth="1"/>
    <col min="6152" max="6152" width="8.1796875" style="383" bestFit="1" customWidth="1"/>
    <col min="6153" max="6153" width="9" style="383" bestFit="1" customWidth="1"/>
    <col min="6154" max="6154" width="28.7265625" style="383" customWidth="1"/>
    <col min="6155" max="6155" width="6.54296875" style="383" bestFit="1" customWidth="1"/>
    <col min="6156" max="6156" width="7.81640625" style="383" bestFit="1" customWidth="1"/>
    <col min="6157" max="6157" width="11.81640625" style="383" bestFit="1" customWidth="1"/>
    <col min="6158" max="6158" width="7.54296875" style="383" bestFit="1" customWidth="1"/>
    <col min="6159" max="6400" width="9.1796875" style="383"/>
    <col min="6401" max="6401" width="16" style="383" bestFit="1" customWidth="1"/>
    <col min="6402" max="6402" width="8.453125" style="383" bestFit="1" customWidth="1"/>
    <col min="6403" max="6403" width="7.26953125" style="383" bestFit="1" customWidth="1"/>
    <col min="6404" max="6405" width="7.453125" style="383" bestFit="1" customWidth="1"/>
    <col min="6406" max="6406" width="6.54296875" style="383" bestFit="1" customWidth="1"/>
    <col min="6407" max="6407" width="35.54296875" style="383" bestFit="1" customWidth="1"/>
    <col min="6408" max="6408" width="8.1796875" style="383" bestFit="1" customWidth="1"/>
    <col min="6409" max="6409" width="9" style="383" bestFit="1" customWidth="1"/>
    <col min="6410" max="6410" width="28.7265625" style="383" customWidth="1"/>
    <col min="6411" max="6411" width="6.54296875" style="383" bestFit="1" customWidth="1"/>
    <col min="6412" max="6412" width="7.81640625" style="383" bestFit="1" customWidth="1"/>
    <col min="6413" max="6413" width="11.81640625" style="383" bestFit="1" customWidth="1"/>
    <col min="6414" max="6414" width="7.54296875" style="383" bestFit="1" customWidth="1"/>
    <col min="6415" max="6656" width="9.1796875" style="383"/>
    <col min="6657" max="6657" width="16" style="383" bestFit="1" customWidth="1"/>
    <col min="6658" max="6658" width="8.453125" style="383" bestFit="1" customWidth="1"/>
    <col min="6659" max="6659" width="7.26953125" style="383" bestFit="1" customWidth="1"/>
    <col min="6660" max="6661" width="7.453125" style="383" bestFit="1" customWidth="1"/>
    <col min="6662" max="6662" width="6.54296875" style="383" bestFit="1" customWidth="1"/>
    <col min="6663" max="6663" width="35.54296875" style="383" bestFit="1" customWidth="1"/>
    <col min="6664" max="6664" width="8.1796875" style="383" bestFit="1" customWidth="1"/>
    <col min="6665" max="6665" width="9" style="383" bestFit="1" customWidth="1"/>
    <col min="6666" max="6666" width="28.7265625" style="383" customWidth="1"/>
    <col min="6667" max="6667" width="6.54296875" style="383" bestFit="1" customWidth="1"/>
    <col min="6668" max="6668" width="7.81640625" style="383" bestFit="1" customWidth="1"/>
    <col min="6669" max="6669" width="11.81640625" style="383" bestFit="1" customWidth="1"/>
    <col min="6670" max="6670" width="7.54296875" style="383" bestFit="1" customWidth="1"/>
    <col min="6671" max="6912" width="9.1796875" style="383"/>
    <col min="6913" max="6913" width="16" style="383" bestFit="1" customWidth="1"/>
    <col min="6914" max="6914" width="8.453125" style="383" bestFit="1" customWidth="1"/>
    <col min="6915" max="6915" width="7.26953125" style="383" bestFit="1" customWidth="1"/>
    <col min="6916" max="6917" width="7.453125" style="383" bestFit="1" customWidth="1"/>
    <col min="6918" max="6918" width="6.54296875" style="383" bestFit="1" customWidth="1"/>
    <col min="6919" max="6919" width="35.54296875" style="383" bestFit="1" customWidth="1"/>
    <col min="6920" max="6920" width="8.1796875" style="383" bestFit="1" customWidth="1"/>
    <col min="6921" max="6921" width="9" style="383" bestFit="1" customWidth="1"/>
    <col min="6922" max="6922" width="28.7265625" style="383" customWidth="1"/>
    <col min="6923" max="6923" width="6.54296875" style="383" bestFit="1" customWidth="1"/>
    <col min="6924" max="6924" width="7.81640625" style="383" bestFit="1" customWidth="1"/>
    <col min="6925" max="6925" width="11.81640625" style="383" bestFit="1" customWidth="1"/>
    <col min="6926" max="6926" width="7.54296875" style="383" bestFit="1" customWidth="1"/>
    <col min="6927" max="7168" width="9.1796875" style="383"/>
    <col min="7169" max="7169" width="16" style="383" bestFit="1" customWidth="1"/>
    <col min="7170" max="7170" width="8.453125" style="383" bestFit="1" customWidth="1"/>
    <col min="7171" max="7171" width="7.26953125" style="383" bestFit="1" customWidth="1"/>
    <col min="7172" max="7173" width="7.453125" style="383" bestFit="1" customWidth="1"/>
    <col min="7174" max="7174" width="6.54296875" style="383" bestFit="1" customWidth="1"/>
    <col min="7175" max="7175" width="35.54296875" style="383" bestFit="1" customWidth="1"/>
    <col min="7176" max="7176" width="8.1796875" style="383" bestFit="1" customWidth="1"/>
    <col min="7177" max="7177" width="9" style="383" bestFit="1" customWidth="1"/>
    <col min="7178" max="7178" width="28.7265625" style="383" customWidth="1"/>
    <col min="7179" max="7179" width="6.54296875" style="383" bestFit="1" customWidth="1"/>
    <col min="7180" max="7180" width="7.81640625" style="383" bestFit="1" customWidth="1"/>
    <col min="7181" max="7181" width="11.81640625" style="383" bestFit="1" customWidth="1"/>
    <col min="7182" max="7182" width="7.54296875" style="383" bestFit="1" customWidth="1"/>
    <col min="7183" max="7424" width="9.1796875" style="383"/>
    <col min="7425" max="7425" width="16" style="383" bestFit="1" customWidth="1"/>
    <col min="7426" max="7426" width="8.453125" style="383" bestFit="1" customWidth="1"/>
    <col min="7427" max="7427" width="7.26953125" style="383" bestFit="1" customWidth="1"/>
    <col min="7428" max="7429" width="7.453125" style="383" bestFit="1" customWidth="1"/>
    <col min="7430" max="7430" width="6.54296875" style="383" bestFit="1" customWidth="1"/>
    <col min="7431" max="7431" width="35.54296875" style="383" bestFit="1" customWidth="1"/>
    <col min="7432" max="7432" width="8.1796875" style="383" bestFit="1" customWidth="1"/>
    <col min="7433" max="7433" width="9" style="383" bestFit="1" customWidth="1"/>
    <col min="7434" max="7434" width="28.7265625" style="383" customWidth="1"/>
    <col min="7435" max="7435" width="6.54296875" style="383" bestFit="1" customWidth="1"/>
    <col min="7436" max="7436" width="7.81640625" style="383" bestFit="1" customWidth="1"/>
    <col min="7437" max="7437" width="11.81640625" style="383" bestFit="1" customWidth="1"/>
    <col min="7438" max="7438" width="7.54296875" style="383" bestFit="1" customWidth="1"/>
    <col min="7439" max="7680" width="9.1796875" style="383"/>
    <col min="7681" max="7681" width="16" style="383" bestFit="1" customWidth="1"/>
    <col min="7682" max="7682" width="8.453125" style="383" bestFit="1" customWidth="1"/>
    <col min="7683" max="7683" width="7.26953125" style="383" bestFit="1" customWidth="1"/>
    <col min="7684" max="7685" width="7.453125" style="383" bestFit="1" customWidth="1"/>
    <col min="7686" max="7686" width="6.54296875" style="383" bestFit="1" customWidth="1"/>
    <col min="7687" max="7687" width="35.54296875" style="383" bestFit="1" customWidth="1"/>
    <col min="7688" max="7688" width="8.1796875" style="383" bestFit="1" customWidth="1"/>
    <col min="7689" max="7689" width="9" style="383" bestFit="1" customWidth="1"/>
    <col min="7690" max="7690" width="28.7265625" style="383" customWidth="1"/>
    <col min="7691" max="7691" width="6.54296875" style="383" bestFit="1" customWidth="1"/>
    <col min="7692" max="7692" width="7.81640625" style="383" bestFit="1" customWidth="1"/>
    <col min="7693" max="7693" width="11.81640625" style="383" bestFit="1" customWidth="1"/>
    <col min="7694" max="7694" width="7.54296875" style="383" bestFit="1" customWidth="1"/>
    <col min="7695" max="7936" width="9.1796875" style="383"/>
    <col min="7937" max="7937" width="16" style="383" bestFit="1" customWidth="1"/>
    <col min="7938" max="7938" width="8.453125" style="383" bestFit="1" customWidth="1"/>
    <col min="7939" max="7939" width="7.26953125" style="383" bestFit="1" customWidth="1"/>
    <col min="7940" max="7941" width="7.453125" style="383" bestFit="1" customWidth="1"/>
    <col min="7942" max="7942" width="6.54296875" style="383" bestFit="1" customWidth="1"/>
    <col min="7943" max="7943" width="35.54296875" style="383" bestFit="1" customWidth="1"/>
    <col min="7944" max="7944" width="8.1796875" style="383" bestFit="1" customWidth="1"/>
    <col min="7945" max="7945" width="9" style="383" bestFit="1" customWidth="1"/>
    <col min="7946" max="7946" width="28.7265625" style="383" customWidth="1"/>
    <col min="7947" max="7947" width="6.54296875" style="383" bestFit="1" customWidth="1"/>
    <col min="7948" max="7948" width="7.81640625" style="383" bestFit="1" customWidth="1"/>
    <col min="7949" max="7949" width="11.81640625" style="383" bestFit="1" customWidth="1"/>
    <col min="7950" max="7950" width="7.54296875" style="383" bestFit="1" customWidth="1"/>
    <col min="7951" max="8192" width="9.1796875" style="383"/>
    <col min="8193" max="8193" width="16" style="383" bestFit="1" customWidth="1"/>
    <col min="8194" max="8194" width="8.453125" style="383" bestFit="1" customWidth="1"/>
    <col min="8195" max="8195" width="7.26953125" style="383" bestFit="1" customWidth="1"/>
    <col min="8196" max="8197" width="7.453125" style="383" bestFit="1" customWidth="1"/>
    <col min="8198" max="8198" width="6.54296875" style="383" bestFit="1" customWidth="1"/>
    <col min="8199" max="8199" width="35.54296875" style="383" bestFit="1" customWidth="1"/>
    <col min="8200" max="8200" width="8.1796875" style="383" bestFit="1" customWidth="1"/>
    <col min="8201" max="8201" width="9" style="383" bestFit="1" customWidth="1"/>
    <col min="8202" max="8202" width="28.7265625" style="383" customWidth="1"/>
    <col min="8203" max="8203" width="6.54296875" style="383" bestFit="1" customWidth="1"/>
    <col min="8204" max="8204" width="7.81640625" style="383" bestFit="1" customWidth="1"/>
    <col min="8205" max="8205" width="11.81640625" style="383" bestFit="1" customWidth="1"/>
    <col min="8206" max="8206" width="7.54296875" style="383" bestFit="1" customWidth="1"/>
    <col min="8207" max="8448" width="9.1796875" style="383"/>
    <col min="8449" max="8449" width="16" style="383" bestFit="1" customWidth="1"/>
    <col min="8450" max="8450" width="8.453125" style="383" bestFit="1" customWidth="1"/>
    <col min="8451" max="8451" width="7.26953125" style="383" bestFit="1" customWidth="1"/>
    <col min="8452" max="8453" width="7.453125" style="383" bestFit="1" customWidth="1"/>
    <col min="8454" max="8454" width="6.54296875" style="383" bestFit="1" customWidth="1"/>
    <col min="8455" max="8455" width="35.54296875" style="383" bestFit="1" customWidth="1"/>
    <col min="8456" max="8456" width="8.1796875" style="383" bestFit="1" customWidth="1"/>
    <col min="8457" max="8457" width="9" style="383" bestFit="1" customWidth="1"/>
    <col min="8458" max="8458" width="28.7265625" style="383" customWidth="1"/>
    <col min="8459" max="8459" width="6.54296875" style="383" bestFit="1" customWidth="1"/>
    <col min="8460" max="8460" width="7.81640625" style="383" bestFit="1" customWidth="1"/>
    <col min="8461" max="8461" width="11.81640625" style="383" bestFit="1" customWidth="1"/>
    <col min="8462" max="8462" width="7.54296875" style="383" bestFit="1" customWidth="1"/>
    <col min="8463" max="8704" width="9.1796875" style="383"/>
    <col min="8705" max="8705" width="16" style="383" bestFit="1" customWidth="1"/>
    <col min="8706" max="8706" width="8.453125" style="383" bestFit="1" customWidth="1"/>
    <col min="8707" max="8707" width="7.26953125" style="383" bestFit="1" customWidth="1"/>
    <col min="8708" max="8709" width="7.453125" style="383" bestFit="1" customWidth="1"/>
    <col min="8710" max="8710" width="6.54296875" style="383" bestFit="1" customWidth="1"/>
    <col min="8711" max="8711" width="35.54296875" style="383" bestFit="1" customWidth="1"/>
    <col min="8712" max="8712" width="8.1796875" style="383" bestFit="1" customWidth="1"/>
    <col min="8713" max="8713" width="9" style="383" bestFit="1" customWidth="1"/>
    <col min="8714" max="8714" width="28.7265625" style="383" customWidth="1"/>
    <col min="8715" max="8715" width="6.54296875" style="383" bestFit="1" customWidth="1"/>
    <col min="8716" max="8716" width="7.81640625" style="383" bestFit="1" customWidth="1"/>
    <col min="8717" max="8717" width="11.81640625" style="383" bestFit="1" customWidth="1"/>
    <col min="8718" max="8718" width="7.54296875" style="383" bestFit="1" customWidth="1"/>
    <col min="8719" max="8960" width="9.1796875" style="383"/>
    <col min="8961" max="8961" width="16" style="383" bestFit="1" customWidth="1"/>
    <col min="8962" max="8962" width="8.453125" style="383" bestFit="1" customWidth="1"/>
    <col min="8963" max="8963" width="7.26953125" style="383" bestFit="1" customWidth="1"/>
    <col min="8964" max="8965" width="7.453125" style="383" bestFit="1" customWidth="1"/>
    <col min="8966" max="8966" width="6.54296875" style="383" bestFit="1" customWidth="1"/>
    <col min="8967" max="8967" width="35.54296875" style="383" bestFit="1" customWidth="1"/>
    <col min="8968" max="8968" width="8.1796875" style="383" bestFit="1" customWidth="1"/>
    <col min="8969" max="8969" width="9" style="383" bestFit="1" customWidth="1"/>
    <col min="8970" max="8970" width="28.7265625" style="383" customWidth="1"/>
    <col min="8971" max="8971" width="6.54296875" style="383" bestFit="1" customWidth="1"/>
    <col min="8972" max="8972" width="7.81640625" style="383" bestFit="1" customWidth="1"/>
    <col min="8973" max="8973" width="11.81640625" style="383" bestFit="1" customWidth="1"/>
    <col min="8974" max="8974" width="7.54296875" style="383" bestFit="1" customWidth="1"/>
    <col min="8975" max="9216" width="9.1796875" style="383"/>
    <col min="9217" max="9217" width="16" style="383" bestFit="1" customWidth="1"/>
    <col min="9218" max="9218" width="8.453125" style="383" bestFit="1" customWidth="1"/>
    <col min="9219" max="9219" width="7.26953125" style="383" bestFit="1" customWidth="1"/>
    <col min="9220" max="9221" width="7.453125" style="383" bestFit="1" customWidth="1"/>
    <col min="9222" max="9222" width="6.54296875" style="383" bestFit="1" customWidth="1"/>
    <col min="9223" max="9223" width="35.54296875" style="383" bestFit="1" customWidth="1"/>
    <col min="9224" max="9224" width="8.1796875" style="383" bestFit="1" customWidth="1"/>
    <col min="9225" max="9225" width="9" style="383" bestFit="1" customWidth="1"/>
    <col min="9226" max="9226" width="28.7265625" style="383" customWidth="1"/>
    <col min="9227" max="9227" width="6.54296875" style="383" bestFit="1" customWidth="1"/>
    <col min="9228" max="9228" width="7.81640625" style="383" bestFit="1" customWidth="1"/>
    <col min="9229" max="9229" width="11.81640625" style="383" bestFit="1" customWidth="1"/>
    <col min="9230" max="9230" width="7.54296875" style="383" bestFit="1" customWidth="1"/>
    <col min="9231" max="9472" width="9.1796875" style="383"/>
    <col min="9473" max="9473" width="16" style="383" bestFit="1" customWidth="1"/>
    <col min="9474" max="9474" width="8.453125" style="383" bestFit="1" customWidth="1"/>
    <col min="9475" max="9475" width="7.26953125" style="383" bestFit="1" customWidth="1"/>
    <col min="9476" max="9477" width="7.453125" style="383" bestFit="1" customWidth="1"/>
    <col min="9478" max="9478" width="6.54296875" style="383" bestFit="1" customWidth="1"/>
    <col min="9479" max="9479" width="35.54296875" style="383" bestFit="1" customWidth="1"/>
    <col min="9480" max="9480" width="8.1796875" style="383" bestFit="1" customWidth="1"/>
    <col min="9481" max="9481" width="9" style="383" bestFit="1" customWidth="1"/>
    <col min="9482" max="9482" width="28.7265625" style="383" customWidth="1"/>
    <col min="9483" max="9483" width="6.54296875" style="383" bestFit="1" customWidth="1"/>
    <col min="9484" max="9484" width="7.81640625" style="383" bestFit="1" customWidth="1"/>
    <col min="9485" max="9485" width="11.81640625" style="383" bestFit="1" customWidth="1"/>
    <col min="9486" max="9486" width="7.54296875" style="383" bestFit="1" customWidth="1"/>
    <col min="9487" max="9728" width="9.1796875" style="383"/>
    <col min="9729" max="9729" width="16" style="383" bestFit="1" customWidth="1"/>
    <col min="9730" max="9730" width="8.453125" style="383" bestFit="1" customWidth="1"/>
    <col min="9731" max="9731" width="7.26953125" style="383" bestFit="1" customWidth="1"/>
    <col min="9732" max="9733" width="7.453125" style="383" bestFit="1" customWidth="1"/>
    <col min="9734" max="9734" width="6.54296875" style="383" bestFit="1" customWidth="1"/>
    <col min="9735" max="9735" width="35.54296875" style="383" bestFit="1" customWidth="1"/>
    <col min="9736" max="9736" width="8.1796875" style="383" bestFit="1" customWidth="1"/>
    <col min="9737" max="9737" width="9" style="383" bestFit="1" customWidth="1"/>
    <col min="9738" max="9738" width="28.7265625" style="383" customWidth="1"/>
    <col min="9739" max="9739" width="6.54296875" style="383" bestFit="1" customWidth="1"/>
    <col min="9740" max="9740" width="7.81640625" style="383" bestFit="1" customWidth="1"/>
    <col min="9741" max="9741" width="11.81640625" style="383" bestFit="1" customWidth="1"/>
    <col min="9742" max="9742" width="7.54296875" style="383" bestFit="1" customWidth="1"/>
    <col min="9743" max="9984" width="9.1796875" style="383"/>
    <col min="9985" max="9985" width="16" style="383" bestFit="1" customWidth="1"/>
    <col min="9986" max="9986" width="8.453125" style="383" bestFit="1" customWidth="1"/>
    <col min="9987" max="9987" width="7.26953125" style="383" bestFit="1" customWidth="1"/>
    <col min="9988" max="9989" width="7.453125" style="383" bestFit="1" customWidth="1"/>
    <col min="9990" max="9990" width="6.54296875" style="383" bestFit="1" customWidth="1"/>
    <col min="9991" max="9991" width="35.54296875" style="383" bestFit="1" customWidth="1"/>
    <col min="9992" max="9992" width="8.1796875" style="383" bestFit="1" customWidth="1"/>
    <col min="9993" max="9993" width="9" style="383" bestFit="1" customWidth="1"/>
    <col min="9994" max="9994" width="28.7265625" style="383" customWidth="1"/>
    <col min="9995" max="9995" width="6.54296875" style="383" bestFit="1" customWidth="1"/>
    <col min="9996" max="9996" width="7.81640625" style="383" bestFit="1" customWidth="1"/>
    <col min="9997" max="9997" width="11.81640625" style="383" bestFit="1" customWidth="1"/>
    <col min="9998" max="9998" width="7.54296875" style="383" bestFit="1" customWidth="1"/>
    <col min="9999" max="10240" width="9.1796875" style="383"/>
    <col min="10241" max="10241" width="16" style="383" bestFit="1" customWidth="1"/>
    <col min="10242" max="10242" width="8.453125" style="383" bestFit="1" customWidth="1"/>
    <col min="10243" max="10243" width="7.26953125" style="383" bestFit="1" customWidth="1"/>
    <col min="10244" max="10245" width="7.453125" style="383" bestFit="1" customWidth="1"/>
    <col min="10246" max="10246" width="6.54296875" style="383" bestFit="1" customWidth="1"/>
    <col min="10247" max="10247" width="35.54296875" style="383" bestFit="1" customWidth="1"/>
    <col min="10248" max="10248" width="8.1796875" style="383" bestFit="1" customWidth="1"/>
    <col min="10249" max="10249" width="9" style="383" bestFit="1" customWidth="1"/>
    <col min="10250" max="10250" width="28.7265625" style="383" customWidth="1"/>
    <col min="10251" max="10251" width="6.54296875" style="383" bestFit="1" customWidth="1"/>
    <col min="10252" max="10252" width="7.81640625" style="383" bestFit="1" customWidth="1"/>
    <col min="10253" max="10253" width="11.81640625" style="383" bestFit="1" customWidth="1"/>
    <col min="10254" max="10254" width="7.54296875" style="383" bestFit="1" customWidth="1"/>
    <col min="10255" max="10496" width="9.1796875" style="383"/>
    <col min="10497" max="10497" width="16" style="383" bestFit="1" customWidth="1"/>
    <col min="10498" max="10498" width="8.453125" style="383" bestFit="1" customWidth="1"/>
    <col min="10499" max="10499" width="7.26953125" style="383" bestFit="1" customWidth="1"/>
    <col min="10500" max="10501" width="7.453125" style="383" bestFit="1" customWidth="1"/>
    <col min="10502" max="10502" width="6.54296875" style="383" bestFit="1" customWidth="1"/>
    <col min="10503" max="10503" width="35.54296875" style="383" bestFit="1" customWidth="1"/>
    <col min="10504" max="10504" width="8.1796875" style="383" bestFit="1" customWidth="1"/>
    <col min="10505" max="10505" width="9" style="383" bestFit="1" customWidth="1"/>
    <col min="10506" max="10506" width="28.7265625" style="383" customWidth="1"/>
    <col min="10507" max="10507" width="6.54296875" style="383" bestFit="1" customWidth="1"/>
    <col min="10508" max="10508" width="7.81640625" style="383" bestFit="1" customWidth="1"/>
    <col min="10509" max="10509" width="11.81640625" style="383" bestFit="1" customWidth="1"/>
    <col min="10510" max="10510" width="7.54296875" style="383" bestFit="1" customWidth="1"/>
    <col min="10511" max="10752" width="9.1796875" style="383"/>
    <col min="10753" max="10753" width="16" style="383" bestFit="1" customWidth="1"/>
    <col min="10754" max="10754" width="8.453125" style="383" bestFit="1" customWidth="1"/>
    <col min="10755" max="10755" width="7.26953125" style="383" bestFit="1" customWidth="1"/>
    <col min="10756" max="10757" width="7.453125" style="383" bestFit="1" customWidth="1"/>
    <col min="10758" max="10758" width="6.54296875" style="383" bestFit="1" customWidth="1"/>
    <col min="10759" max="10759" width="35.54296875" style="383" bestFit="1" customWidth="1"/>
    <col min="10760" max="10760" width="8.1796875" style="383" bestFit="1" customWidth="1"/>
    <col min="10761" max="10761" width="9" style="383" bestFit="1" customWidth="1"/>
    <col min="10762" max="10762" width="28.7265625" style="383" customWidth="1"/>
    <col min="10763" max="10763" width="6.54296875" style="383" bestFit="1" customWidth="1"/>
    <col min="10764" max="10764" width="7.81640625" style="383" bestFit="1" customWidth="1"/>
    <col min="10765" max="10765" width="11.81640625" style="383" bestFit="1" customWidth="1"/>
    <col min="10766" max="10766" width="7.54296875" style="383" bestFit="1" customWidth="1"/>
    <col min="10767" max="11008" width="9.1796875" style="383"/>
    <col min="11009" max="11009" width="16" style="383" bestFit="1" customWidth="1"/>
    <col min="11010" max="11010" width="8.453125" style="383" bestFit="1" customWidth="1"/>
    <col min="11011" max="11011" width="7.26953125" style="383" bestFit="1" customWidth="1"/>
    <col min="11012" max="11013" width="7.453125" style="383" bestFit="1" customWidth="1"/>
    <col min="11014" max="11014" width="6.54296875" style="383" bestFit="1" customWidth="1"/>
    <col min="11015" max="11015" width="35.54296875" style="383" bestFit="1" customWidth="1"/>
    <col min="11016" max="11016" width="8.1796875" style="383" bestFit="1" customWidth="1"/>
    <col min="11017" max="11017" width="9" style="383" bestFit="1" customWidth="1"/>
    <col min="11018" max="11018" width="28.7265625" style="383" customWidth="1"/>
    <col min="11019" max="11019" width="6.54296875" style="383" bestFit="1" customWidth="1"/>
    <col min="11020" max="11020" width="7.81640625" style="383" bestFit="1" customWidth="1"/>
    <col min="11021" max="11021" width="11.81640625" style="383" bestFit="1" customWidth="1"/>
    <col min="11022" max="11022" width="7.54296875" style="383" bestFit="1" customWidth="1"/>
    <col min="11023" max="11264" width="9.1796875" style="383"/>
    <col min="11265" max="11265" width="16" style="383" bestFit="1" customWidth="1"/>
    <col min="11266" max="11266" width="8.453125" style="383" bestFit="1" customWidth="1"/>
    <col min="11267" max="11267" width="7.26953125" style="383" bestFit="1" customWidth="1"/>
    <col min="11268" max="11269" width="7.453125" style="383" bestFit="1" customWidth="1"/>
    <col min="11270" max="11270" width="6.54296875" style="383" bestFit="1" customWidth="1"/>
    <col min="11271" max="11271" width="35.54296875" style="383" bestFit="1" customWidth="1"/>
    <col min="11272" max="11272" width="8.1796875" style="383" bestFit="1" customWidth="1"/>
    <col min="11273" max="11273" width="9" style="383" bestFit="1" customWidth="1"/>
    <col min="11274" max="11274" width="28.7265625" style="383" customWidth="1"/>
    <col min="11275" max="11275" width="6.54296875" style="383" bestFit="1" customWidth="1"/>
    <col min="11276" max="11276" width="7.81640625" style="383" bestFit="1" customWidth="1"/>
    <col min="11277" max="11277" width="11.81640625" style="383" bestFit="1" customWidth="1"/>
    <col min="11278" max="11278" width="7.54296875" style="383" bestFit="1" customWidth="1"/>
    <col min="11279" max="11520" width="9.1796875" style="383"/>
    <col min="11521" max="11521" width="16" style="383" bestFit="1" customWidth="1"/>
    <col min="11522" max="11522" width="8.453125" style="383" bestFit="1" customWidth="1"/>
    <col min="11523" max="11523" width="7.26953125" style="383" bestFit="1" customWidth="1"/>
    <col min="11524" max="11525" width="7.453125" style="383" bestFit="1" customWidth="1"/>
    <col min="11526" max="11526" width="6.54296875" style="383" bestFit="1" customWidth="1"/>
    <col min="11527" max="11527" width="35.54296875" style="383" bestFit="1" customWidth="1"/>
    <col min="11528" max="11528" width="8.1796875" style="383" bestFit="1" customWidth="1"/>
    <col min="11529" max="11529" width="9" style="383" bestFit="1" customWidth="1"/>
    <col min="11530" max="11530" width="28.7265625" style="383" customWidth="1"/>
    <col min="11531" max="11531" width="6.54296875" style="383" bestFit="1" customWidth="1"/>
    <col min="11532" max="11532" width="7.81640625" style="383" bestFit="1" customWidth="1"/>
    <col min="11533" max="11533" width="11.81640625" style="383" bestFit="1" customWidth="1"/>
    <col min="11534" max="11534" width="7.54296875" style="383" bestFit="1" customWidth="1"/>
    <col min="11535" max="11776" width="9.1796875" style="383"/>
    <col min="11777" max="11777" width="16" style="383" bestFit="1" customWidth="1"/>
    <col min="11778" max="11778" width="8.453125" style="383" bestFit="1" customWidth="1"/>
    <col min="11779" max="11779" width="7.26953125" style="383" bestFit="1" customWidth="1"/>
    <col min="11780" max="11781" width="7.453125" style="383" bestFit="1" customWidth="1"/>
    <col min="11782" max="11782" width="6.54296875" style="383" bestFit="1" customWidth="1"/>
    <col min="11783" max="11783" width="35.54296875" style="383" bestFit="1" customWidth="1"/>
    <col min="11784" max="11784" width="8.1796875" style="383" bestFit="1" customWidth="1"/>
    <col min="11785" max="11785" width="9" style="383" bestFit="1" customWidth="1"/>
    <col min="11786" max="11786" width="28.7265625" style="383" customWidth="1"/>
    <col min="11787" max="11787" width="6.54296875" style="383" bestFit="1" customWidth="1"/>
    <col min="11788" max="11788" width="7.81640625" style="383" bestFit="1" customWidth="1"/>
    <col min="11789" max="11789" width="11.81640625" style="383" bestFit="1" customWidth="1"/>
    <col min="11790" max="11790" width="7.54296875" style="383" bestFit="1" customWidth="1"/>
    <col min="11791" max="12032" width="9.1796875" style="383"/>
    <col min="12033" max="12033" width="16" style="383" bestFit="1" customWidth="1"/>
    <col min="12034" max="12034" width="8.453125" style="383" bestFit="1" customWidth="1"/>
    <col min="12035" max="12035" width="7.26953125" style="383" bestFit="1" customWidth="1"/>
    <col min="12036" max="12037" width="7.453125" style="383" bestFit="1" customWidth="1"/>
    <col min="12038" max="12038" width="6.54296875" style="383" bestFit="1" customWidth="1"/>
    <col min="12039" max="12039" width="35.54296875" style="383" bestFit="1" customWidth="1"/>
    <col min="12040" max="12040" width="8.1796875" style="383" bestFit="1" customWidth="1"/>
    <col min="12041" max="12041" width="9" style="383" bestFit="1" customWidth="1"/>
    <col min="12042" max="12042" width="28.7265625" style="383" customWidth="1"/>
    <col min="12043" max="12043" width="6.54296875" style="383" bestFit="1" customWidth="1"/>
    <col min="12044" max="12044" width="7.81640625" style="383" bestFit="1" customWidth="1"/>
    <col min="12045" max="12045" width="11.81640625" style="383" bestFit="1" customWidth="1"/>
    <col min="12046" max="12046" width="7.54296875" style="383" bestFit="1" customWidth="1"/>
    <col min="12047" max="12288" width="9.1796875" style="383"/>
    <col min="12289" max="12289" width="16" style="383" bestFit="1" customWidth="1"/>
    <col min="12290" max="12290" width="8.453125" style="383" bestFit="1" customWidth="1"/>
    <col min="12291" max="12291" width="7.26953125" style="383" bestFit="1" customWidth="1"/>
    <col min="12292" max="12293" width="7.453125" style="383" bestFit="1" customWidth="1"/>
    <col min="12294" max="12294" width="6.54296875" style="383" bestFit="1" customWidth="1"/>
    <col min="12295" max="12295" width="35.54296875" style="383" bestFit="1" customWidth="1"/>
    <col min="12296" max="12296" width="8.1796875" style="383" bestFit="1" customWidth="1"/>
    <col min="12297" max="12297" width="9" style="383" bestFit="1" customWidth="1"/>
    <col min="12298" max="12298" width="28.7265625" style="383" customWidth="1"/>
    <col min="12299" max="12299" width="6.54296875" style="383" bestFit="1" customWidth="1"/>
    <col min="12300" max="12300" width="7.81640625" style="383" bestFit="1" customWidth="1"/>
    <col min="12301" max="12301" width="11.81640625" style="383" bestFit="1" customWidth="1"/>
    <col min="12302" max="12302" width="7.54296875" style="383" bestFit="1" customWidth="1"/>
    <col min="12303" max="12544" width="9.1796875" style="383"/>
    <col min="12545" max="12545" width="16" style="383" bestFit="1" customWidth="1"/>
    <col min="12546" max="12546" width="8.453125" style="383" bestFit="1" customWidth="1"/>
    <col min="12547" max="12547" width="7.26953125" style="383" bestFit="1" customWidth="1"/>
    <col min="12548" max="12549" width="7.453125" style="383" bestFit="1" customWidth="1"/>
    <col min="12550" max="12550" width="6.54296875" style="383" bestFit="1" customWidth="1"/>
    <col min="12551" max="12551" width="35.54296875" style="383" bestFit="1" customWidth="1"/>
    <col min="12552" max="12552" width="8.1796875" style="383" bestFit="1" customWidth="1"/>
    <col min="12553" max="12553" width="9" style="383" bestFit="1" customWidth="1"/>
    <col min="12554" max="12554" width="28.7265625" style="383" customWidth="1"/>
    <col min="12555" max="12555" width="6.54296875" style="383" bestFit="1" customWidth="1"/>
    <col min="12556" max="12556" width="7.81640625" style="383" bestFit="1" customWidth="1"/>
    <col min="12557" max="12557" width="11.81640625" style="383" bestFit="1" customWidth="1"/>
    <col min="12558" max="12558" width="7.54296875" style="383" bestFit="1" customWidth="1"/>
    <col min="12559" max="12800" width="9.1796875" style="383"/>
    <col min="12801" max="12801" width="16" style="383" bestFit="1" customWidth="1"/>
    <col min="12802" max="12802" width="8.453125" style="383" bestFit="1" customWidth="1"/>
    <col min="12803" max="12803" width="7.26953125" style="383" bestFit="1" customWidth="1"/>
    <col min="12804" max="12805" width="7.453125" style="383" bestFit="1" customWidth="1"/>
    <col min="12806" max="12806" width="6.54296875" style="383" bestFit="1" customWidth="1"/>
    <col min="12807" max="12807" width="35.54296875" style="383" bestFit="1" customWidth="1"/>
    <col min="12808" max="12808" width="8.1796875" style="383" bestFit="1" customWidth="1"/>
    <col min="12809" max="12809" width="9" style="383" bestFit="1" customWidth="1"/>
    <col min="12810" max="12810" width="28.7265625" style="383" customWidth="1"/>
    <col min="12811" max="12811" width="6.54296875" style="383" bestFit="1" customWidth="1"/>
    <col min="12812" max="12812" width="7.81640625" style="383" bestFit="1" customWidth="1"/>
    <col min="12813" max="12813" width="11.81640625" style="383" bestFit="1" customWidth="1"/>
    <col min="12814" max="12814" width="7.54296875" style="383" bestFit="1" customWidth="1"/>
    <col min="12815" max="13056" width="9.1796875" style="383"/>
    <col min="13057" max="13057" width="16" style="383" bestFit="1" customWidth="1"/>
    <col min="13058" max="13058" width="8.453125" style="383" bestFit="1" customWidth="1"/>
    <col min="13059" max="13059" width="7.26953125" style="383" bestFit="1" customWidth="1"/>
    <col min="13060" max="13061" width="7.453125" style="383" bestFit="1" customWidth="1"/>
    <col min="13062" max="13062" width="6.54296875" style="383" bestFit="1" customWidth="1"/>
    <col min="13063" max="13063" width="35.54296875" style="383" bestFit="1" customWidth="1"/>
    <col min="13064" max="13064" width="8.1796875" style="383" bestFit="1" customWidth="1"/>
    <col min="13065" max="13065" width="9" style="383" bestFit="1" customWidth="1"/>
    <col min="13066" max="13066" width="28.7265625" style="383" customWidth="1"/>
    <col min="13067" max="13067" width="6.54296875" style="383" bestFit="1" customWidth="1"/>
    <col min="13068" max="13068" width="7.81640625" style="383" bestFit="1" customWidth="1"/>
    <col min="13069" max="13069" width="11.81640625" style="383" bestFit="1" customWidth="1"/>
    <col min="13070" max="13070" width="7.54296875" style="383" bestFit="1" customWidth="1"/>
    <col min="13071" max="13312" width="9.1796875" style="383"/>
    <col min="13313" max="13313" width="16" style="383" bestFit="1" customWidth="1"/>
    <col min="13314" max="13314" width="8.453125" style="383" bestFit="1" customWidth="1"/>
    <col min="13315" max="13315" width="7.26953125" style="383" bestFit="1" customWidth="1"/>
    <col min="13316" max="13317" width="7.453125" style="383" bestFit="1" customWidth="1"/>
    <col min="13318" max="13318" width="6.54296875" style="383" bestFit="1" customWidth="1"/>
    <col min="13319" max="13319" width="35.54296875" style="383" bestFit="1" customWidth="1"/>
    <col min="13320" max="13320" width="8.1796875" style="383" bestFit="1" customWidth="1"/>
    <col min="13321" max="13321" width="9" style="383" bestFit="1" customWidth="1"/>
    <col min="13322" max="13322" width="28.7265625" style="383" customWidth="1"/>
    <col min="13323" max="13323" width="6.54296875" style="383" bestFit="1" customWidth="1"/>
    <col min="13324" max="13324" width="7.81640625" style="383" bestFit="1" customWidth="1"/>
    <col min="13325" max="13325" width="11.81640625" style="383" bestFit="1" customWidth="1"/>
    <col min="13326" max="13326" width="7.54296875" style="383" bestFit="1" customWidth="1"/>
    <col min="13327" max="13568" width="9.1796875" style="383"/>
    <col min="13569" max="13569" width="16" style="383" bestFit="1" customWidth="1"/>
    <col min="13570" max="13570" width="8.453125" style="383" bestFit="1" customWidth="1"/>
    <col min="13571" max="13571" width="7.26953125" style="383" bestFit="1" customWidth="1"/>
    <col min="13572" max="13573" width="7.453125" style="383" bestFit="1" customWidth="1"/>
    <col min="13574" max="13574" width="6.54296875" style="383" bestFit="1" customWidth="1"/>
    <col min="13575" max="13575" width="35.54296875" style="383" bestFit="1" customWidth="1"/>
    <col min="13576" max="13576" width="8.1796875" style="383" bestFit="1" customWidth="1"/>
    <col min="13577" max="13577" width="9" style="383" bestFit="1" customWidth="1"/>
    <col min="13578" max="13578" width="28.7265625" style="383" customWidth="1"/>
    <col min="13579" max="13579" width="6.54296875" style="383" bestFit="1" customWidth="1"/>
    <col min="13580" max="13580" width="7.81640625" style="383" bestFit="1" customWidth="1"/>
    <col min="13581" max="13581" width="11.81640625" style="383" bestFit="1" customWidth="1"/>
    <col min="13582" max="13582" width="7.54296875" style="383" bestFit="1" customWidth="1"/>
    <col min="13583" max="13824" width="9.1796875" style="383"/>
    <col min="13825" max="13825" width="16" style="383" bestFit="1" customWidth="1"/>
    <col min="13826" max="13826" width="8.453125" style="383" bestFit="1" customWidth="1"/>
    <col min="13827" max="13827" width="7.26953125" style="383" bestFit="1" customWidth="1"/>
    <col min="13828" max="13829" width="7.453125" style="383" bestFit="1" customWidth="1"/>
    <col min="13830" max="13830" width="6.54296875" style="383" bestFit="1" customWidth="1"/>
    <col min="13831" max="13831" width="35.54296875" style="383" bestFit="1" customWidth="1"/>
    <col min="13832" max="13832" width="8.1796875" style="383" bestFit="1" customWidth="1"/>
    <col min="13833" max="13833" width="9" style="383" bestFit="1" customWidth="1"/>
    <col min="13834" max="13834" width="28.7265625" style="383" customWidth="1"/>
    <col min="13835" max="13835" width="6.54296875" style="383" bestFit="1" customWidth="1"/>
    <col min="13836" max="13836" width="7.81640625" style="383" bestFit="1" customWidth="1"/>
    <col min="13837" max="13837" width="11.81640625" style="383" bestFit="1" customWidth="1"/>
    <col min="13838" max="13838" width="7.54296875" style="383" bestFit="1" customWidth="1"/>
    <col min="13839" max="14080" width="9.1796875" style="383"/>
    <col min="14081" max="14081" width="16" style="383" bestFit="1" customWidth="1"/>
    <col min="14082" max="14082" width="8.453125" style="383" bestFit="1" customWidth="1"/>
    <col min="14083" max="14083" width="7.26953125" style="383" bestFit="1" customWidth="1"/>
    <col min="14084" max="14085" width="7.453125" style="383" bestFit="1" customWidth="1"/>
    <col min="14086" max="14086" width="6.54296875" style="383" bestFit="1" customWidth="1"/>
    <col min="14087" max="14087" width="35.54296875" style="383" bestFit="1" customWidth="1"/>
    <col min="14088" max="14088" width="8.1796875" style="383" bestFit="1" customWidth="1"/>
    <col min="14089" max="14089" width="9" style="383" bestFit="1" customWidth="1"/>
    <col min="14090" max="14090" width="28.7265625" style="383" customWidth="1"/>
    <col min="14091" max="14091" width="6.54296875" style="383" bestFit="1" customWidth="1"/>
    <col min="14092" max="14092" width="7.81640625" style="383" bestFit="1" customWidth="1"/>
    <col min="14093" max="14093" width="11.81640625" style="383" bestFit="1" customWidth="1"/>
    <col min="14094" max="14094" width="7.54296875" style="383" bestFit="1" customWidth="1"/>
    <col min="14095" max="14336" width="9.1796875" style="383"/>
    <col min="14337" max="14337" width="16" style="383" bestFit="1" customWidth="1"/>
    <col min="14338" max="14338" width="8.453125" style="383" bestFit="1" customWidth="1"/>
    <col min="14339" max="14339" width="7.26953125" style="383" bestFit="1" customWidth="1"/>
    <col min="14340" max="14341" width="7.453125" style="383" bestFit="1" customWidth="1"/>
    <col min="14342" max="14342" width="6.54296875" style="383" bestFit="1" customWidth="1"/>
    <col min="14343" max="14343" width="35.54296875" style="383" bestFit="1" customWidth="1"/>
    <col min="14344" max="14344" width="8.1796875" style="383" bestFit="1" customWidth="1"/>
    <col min="14345" max="14345" width="9" style="383" bestFit="1" customWidth="1"/>
    <col min="14346" max="14346" width="28.7265625" style="383" customWidth="1"/>
    <col min="14347" max="14347" width="6.54296875" style="383" bestFit="1" customWidth="1"/>
    <col min="14348" max="14348" width="7.81640625" style="383" bestFit="1" customWidth="1"/>
    <col min="14349" max="14349" width="11.81640625" style="383" bestFit="1" customWidth="1"/>
    <col min="14350" max="14350" width="7.54296875" style="383" bestFit="1" customWidth="1"/>
    <col min="14351" max="14592" width="9.1796875" style="383"/>
    <col min="14593" max="14593" width="16" style="383" bestFit="1" customWidth="1"/>
    <col min="14594" max="14594" width="8.453125" style="383" bestFit="1" customWidth="1"/>
    <col min="14595" max="14595" width="7.26953125" style="383" bestFit="1" customWidth="1"/>
    <col min="14596" max="14597" width="7.453125" style="383" bestFit="1" customWidth="1"/>
    <col min="14598" max="14598" width="6.54296875" style="383" bestFit="1" customWidth="1"/>
    <col min="14599" max="14599" width="35.54296875" style="383" bestFit="1" customWidth="1"/>
    <col min="14600" max="14600" width="8.1796875" style="383" bestFit="1" customWidth="1"/>
    <col min="14601" max="14601" width="9" style="383" bestFit="1" customWidth="1"/>
    <col min="14602" max="14602" width="28.7265625" style="383" customWidth="1"/>
    <col min="14603" max="14603" width="6.54296875" style="383" bestFit="1" customWidth="1"/>
    <col min="14604" max="14604" width="7.81640625" style="383" bestFit="1" customWidth="1"/>
    <col min="14605" max="14605" width="11.81640625" style="383" bestFit="1" customWidth="1"/>
    <col min="14606" max="14606" width="7.54296875" style="383" bestFit="1" customWidth="1"/>
    <col min="14607" max="14848" width="9.1796875" style="383"/>
    <col min="14849" max="14849" width="16" style="383" bestFit="1" customWidth="1"/>
    <col min="14850" max="14850" width="8.453125" style="383" bestFit="1" customWidth="1"/>
    <col min="14851" max="14851" width="7.26953125" style="383" bestFit="1" customWidth="1"/>
    <col min="14852" max="14853" width="7.453125" style="383" bestFit="1" customWidth="1"/>
    <col min="14854" max="14854" width="6.54296875" style="383" bestFit="1" customWidth="1"/>
    <col min="14855" max="14855" width="35.54296875" style="383" bestFit="1" customWidth="1"/>
    <col min="14856" max="14856" width="8.1796875" style="383" bestFit="1" customWidth="1"/>
    <col min="14857" max="14857" width="9" style="383" bestFit="1" customWidth="1"/>
    <col min="14858" max="14858" width="28.7265625" style="383" customWidth="1"/>
    <col min="14859" max="14859" width="6.54296875" style="383" bestFit="1" customWidth="1"/>
    <col min="14860" max="14860" width="7.81640625" style="383" bestFit="1" customWidth="1"/>
    <col min="14861" max="14861" width="11.81640625" style="383" bestFit="1" customWidth="1"/>
    <col min="14862" max="14862" width="7.54296875" style="383" bestFit="1" customWidth="1"/>
    <col min="14863" max="15104" width="9.1796875" style="383"/>
    <col min="15105" max="15105" width="16" style="383" bestFit="1" customWidth="1"/>
    <col min="15106" max="15106" width="8.453125" style="383" bestFit="1" customWidth="1"/>
    <col min="15107" max="15107" width="7.26953125" style="383" bestFit="1" customWidth="1"/>
    <col min="15108" max="15109" width="7.453125" style="383" bestFit="1" customWidth="1"/>
    <col min="15110" max="15110" width="6.54296875" style="383" bestFit="1" customWidth="1"/>
    <col min="15111" max="15111" width="35.54296875" style="383" bestFit="1" customWidth="1"/>
    <col min="15112" max="15112" width="8.1796875" style="383" bestFit="1" customWidth="1"/>
    <col min="15113" max="15113" width="9" style="383" bestFit="1" customWidth="1"/>
    <col min="15114" max="15114" width="28.7265625" style="383" customWidth="1"/>
    <col min="15115" max="15115" width="6.54296875" style="383" bestFit="1" customWidth="1"/>
    <col min="15116" max="15116" width="7.81640625" style="383" bestFit="1" customWidth="1"/>
    <col min="15117" max="15117" width="11.81640625" style="383" bestFit="1" customWidth="1"/>
    <col min="15118" max="15118" width="7.54296875" style="383" bestFit="1" customWidth="1"/>
    <col min="15119" max="15360" width="9.1796875" style="383"/>
    <col min="15361" max="15361" width="16" style="383" bestFit="1" customWidth="1"/>
    <col min="15362" max="15362" width="8.453125" style="383" bestFit="1" customWidth="1"/>
    <col min="15363" max="15363" width="7.26953125" style="383" bestFit="1" customWidth="1"/>
    <col min="15364" max="15365" width="7.453125" style="383" bestFit="1" customWidth="1"/>
    <col min="15366" max="15366" width="6.54296875" style="383" bestFit="1" customWidth="1"/>
    <col min="15367" max="15367" width="35.54296875" style="383" bestFit="1" customWidth="1"/>
    <col min="15368" max="15368" width="8.1796875" style="383" bestFit="1" customWidth="1"/>
    <col min="15369" max="15369" width="9" style="383" bestFit="1" customWidth="1"/>
    <col min="15370" max="15370" width="28.7265625" style="383" customWidth="1"/>
    <col min="15371" max="15371" width="6.54296875" style="383" bestFit="1" customWidth="1"/>
    <col min="15372" max="15372" width="7.81640625" style="383" bestFit="1" customWidth="1"/>
    <col min="15373" max="15373" width="11.81640625" style="383" bestFit="1" customWidth="1"/>
    <col min="15374" max="15374" width="7.54296875" style="383" bestFit="1" customWidth="1"/>
    <col min="15375" max="15616" width="9.1796875" style="383"/>
    <col min="15617" max="15617" width="16" style="383" bestFit="1" customWidth="1"/>
    <col min="15618" max="15618" width="8.453125" style="383" bestFit="1" customWidth="1"/>
    <col min="15619" max="15619" width="7.26953125" style="383" bestFit="1" customWidth="1"/>
    <col min="15620" max="15621" width="7.453125" style="383" bestFit="1" customWidth="1"/>
    <col min="15622" max="15622" width="6.54296875" style="383" bestFit="1" customWidth="1"/>
    <col min="15623" max="15623" width="35.54296875" style="383" bestFit="1" customWidth="1"/>
    <col min="15624" max="15624" width="8.1796875" style="383" bestFit="1" customWidth="1"/>
    <col min="15625" max="15625" width="9" style="383" bestFit="1" customWidth="1"/>
    <col min="15626" max="15626" width="28.7265625" style="383" customWidth="1"/>
    <col min="15627" max="15627" width="6.54296875" style="383" bestFit="1" customWidth="1"/>
    <col min="15628" max="15628" width="7.81640625" style="383" bestFit="1" customWidth="1"/>
    <col min="15629" max="15629" width="11.81640625" style="383" bestFit="1" customWidth="1"/>
    <col min="15630" max="15630" width="7.54296875" style="383" bestFit="1" customWidth="1"/>
    <col min="15631" max="15872" width="9.1796875" style="383"/>
    <col min="15873" max="15873" width="16" style="383" bestFit="1" customWidth="1"/>
    <col min="15874" max="15874" width="8.453125" style="383" bestFit="1" customWidth="1"/>
    <col min="15875" max="15875" width="7.26953125" style="383" bestFit="1" customWidth="1"/>
    <col min="15876" max="15877" width="7.453125" style="383" bestFit="1" customWidth="1"/>
    <col min="15878" max="15878" width="6.54296875" style="383" bestFit="1" customWidth="1"/>
    <col min="15879" max="15879" width="35.54296875" style="383" bestFit="1" customWidth="1"/>
    <col min="15880" max="15880" width="8.1796875" style="383" bestFit="1" customWidth="1"/>
    <col min="15881" max="15881" width="9" style="383" bestFit="1" customWidth="1"/>
    <col min="15882" max="15882" width="28.7265625" style="383" customWidth="1"/>
    <col min="15883" max="15883" width="6.54296875" style="383" bestFit="1" customWidth="1"/>
    <col min="15884" max="15884" width="7.81640625" style="383" bestFit="1" customWidth="1"/>
    <col min="15885" max="15885" width="11.81640625" style="383" bestFit="1" customWidth="1"/>
    <col min="15886" max="15886" width="7.54296875" style="383" bestFit="1" customWidth="1"/>
    <col min="15887" max="16128" width="9.1796875" style="383"/>
    <col min="16129" max="16129" width="16" style="383" bestFit="1" customWidth="1"/>
    <col min="16130" max="16130" width="8.453125" style="383" bestFit="1" customWidth="1"/>
    <col min="16131" max="16131" width="7.26953125" style="383" bestFit="1" customWidth="1"/>
    <col min="16132" max="16133" width="7.453125" style="383" bestFit="1" customWidth="1"/>
    <col min="16134" max="16134" width="6.54296875" style="383" bestFit="1" customWidth="1"/>
    <col min="16135" max="16135" width="35.54296875" style="383" bestFit="1" customWidth="1"/>
    <col min="16136" max="16136" width="8.1796875" style="383" bestFit="1" customWidth="1"/>
    <col min="16137" max="16137" width="9" style="383" bestFit="1" customWidth="1"/>
    <col min="16138" max="16138" width="28.7265625" style="383" customWidth="1"/>
    <col min="16139" max="16139" width="6.54296875" style="383" bestFit="1" customWidth="1"/>
    <col min="16140" max="16140" width="7.81640625" style="383" bestFit="1" customWidth="1"/>
    <col min="16141" max="16141" width="11.81640625" style="383" bestFit="1" customWidth="1"/>
    <col min="16142" max="16142" width="7.54296875" style="383" bestFit="1" customWidth="1"/>
    <col min="16143" max="16384" width="9.1796875" style="383"/>
  </cols>
  <sheetData>
    <row r="1" spans="1:14" s="214" customFormat="1" ht="94.5">
      <c r="A1" s="209" t="s">
        <v>0</v>
      </c>
      <c r="B1" s="210" t="s">
        <v>1</v>
      </c>
      <c r="C1" s="210" t="s">
        <v>2</v>
      </c>
      <c r="D1" s="210" t="s">
        <v>3</v>
      </c>
      <c r="E1" s="210" t="s">
        <v>4</v>
      </c>
      <c r="F1" s="210" t="s">
        <v>5</v>
      </c>
      <c r="G1" s="210" t="s">
        <v>6</v>
      </c>
      <c r="H1" s="210" t="s">
        <v>505</v>
      </c>
      <c r="I1" s="210" t="s">
        <v>506</v>
      </c>
      <c r="J1" s="210" t="s">
        <v>286</v>
      </c>
      <c r="K1" s="210" t="s">
        <v>10</v>
      </c>
      <c r="L1" s="211" t="s">
        <v>507</v>
      </c>
      <c r="M1" s="212" t="s">
        <v>12</v>
      </c>
      <c r="N1" s="213" t="s">
        <v>287</v>
      </c>
    </row>
    <row r="2" spans="1:14" s="221" customFormat="1" ht="21">
      <c r="A2" s="215" t="s">
        <v>859</v>
      </c>
      <c r="B2" s="216" t="s">
        <v>14</v>
      </c>
      <c r="C2" s="216"/>
      <c r="D2" s="216">
        <v>1</v>
      </c>
      <c r="E2" s="216">
        <f>E8</f>
        <v>50</v>
      </c>
      <c r="F2" s="216">
        <f>SUM(F3:F8)</f>
        <v>50</v>
      </c>
      <c r="G2" s="372" t="s">
        <v>510</v>
      </c>
      <c r="H2" s="217"/>
      <c r="I2" s="217"/>
      <c r="J2" s="216"/>
      <c r="K2" s="216"/>
      <c r="L2" s="218"/>
      <c r="M2" s="219" t="s">
        <v>511</v>
      </c>
      <c r="N2" s="220"/>
    </row>
    <row r="3" spans="1:14" s="221" customFormat="1">
      <c r="A3" s="222" t="s">
        <v>17</v>
      </c>
      <c r="B3" s="223" t="s">
        <v>18</v>
      </c>
      <c r="C3" s="224">
        <v>1</v>
      </c>
      <c r="D3" s="225">
        <v>1</v>
      </c>
      <c r="E3" s="225">
        <f t="shared" ref="E3:E8" si="0">D3+F3-1</f>
        <v>1</v>
      </c>
      <c r="F3" s="225">
        <v>1</v>
      </c>
      <c r="G3" s="226" t="s">
        <v>19</v>
      </c>
      <c r="H3" s="226"/>
      <c r="I3" s="226"/>
      <c r="J3" s="225"/>
      <c r="K3" s="225"/>
      <c r="L3" s="227"/>
      <c r="M3" s="219" t="s">
        <v>511</v>
      </c>
      <c r="N3" s="220"/>
    </row>
    <row r="4" spans="1:14" s="23" customFormat="1" ht="10">
      <c r="A4" s="18" t="s">
        <v>513</v>
      </c>
      <c r="B4" s="18" t="s">
        <v>514</v>
      </c>
      <c r="C4" s="19">
        <v>2</v>
      </c>
      <c r="D4" s="19">
        <f>E3+1</f>
        <v>2</v>
      </c>
      <c r="E4" s="19">
        <f t="shared" si="0"/>
        <v>16</v>
      </c>
      <c r="F4" s="19">
        <v>15</v>
      </c>
      <c r="G4" s="18" t="s">
        <v>515</v>
      </c>
      <c r="H4" s="20"/>
      <c r="I4" s="20"/>
      <c r="J4" s="18"/>
      <c r="K4" s="19"/>
      <c r="L4" s="19"/>
      <c r="M4" s="21"/>
      <c r="N4" s="22"/>
    </row>
    <row r="5" spans="1:14" s="23" customFormat="1" ht="10">
      <c r="A5" s="18" t="s">
        <v>516</v>
      </c>
      <c r="B5" s="18" t="s">
        <v>517</v>
      </c>
      <c r="C5" s="19">
        <v>3</v>
      </c>
      <c r="D5" s="19">
        <f>E4+1</f>
        <v>17</v>
      </c>
      <c r="E5" s="19">
        <f t="shared" si="0"/>
        <v>26</v>
      </c>
      <c r="F5" s="19">
        <v>10</v>
      </c>
      <c r="G5" s="18" t="s">
        <v>518</v>
      </c>
      <c r="H5" s="20"/>
      <c r="I5" s="20"/>
      <c r="J5" s="18"/>
      <c r="K5" s="19"/>
      <c r="L5" s="19"/>
      <c r="M5" s="21"/>
      <c r="N5" s="22"/>
    </row>
    <row r="6" spans="1:14" s="23" customFormat="1" ht="10.5">
      <c r="A6" s="18" t="s">
        <v>215</v>
      </c>
      <c r="B6" s="18" t="s">
        <v>216</v>
      </c>
      <c r="C6" s="19">
        <v>4</v>
      </c>
      <c r="D6" s="19">
        <f>E5+1</f>
        <v>27</v>
      </c>
      <c r="E6" s="19">
        <f t="shared" si="0"/>
        <v>34</v>
      </c>
      <c r="F6" s="19">
        <v>8</v>
      </c>
      <c r="G6" s="18" t="s">
        <v>519</v>
      </c>
      <c r="H6" s="24"/>
      <c r="I6" s="24"/>
      <c r="J6" s="18"/>
      <c r="K6" s="19"/>
      <c r="L6" s="19"/>
      <c r="M6" s="21"/>
      <c r="N6" s="22"/>
    </row>
    <row r="7" spans="1:14" s="235" customFormat="1" ht="10.5">
      <c r="A7" s="18" t="s">
        <v>520</v>
      </c>
      <c r="B7" s="18" t="s">
        <v>514</v>
      </c>
      <c r="C7" s="228">
        <v>5</v>
      </c>
      <c r="D7" s="19">
        <f>E6+1</f>
        <v>35</v>
      </c>
      <c r="E7" s="19">
        <f t="shared" si="0"/>
        <v>49</v>
      </c>
      <c r="F7" s="229">
        <v>15</v>
      </c>
      <c r="G7" s="230" t="s">
        <v>1342</v>
      </c>
      <c r="H7" s="231"/>
      <c r="I7" s="231"/>
      <c r="J7" s="229"/>
      <c r="K7" s="229"/>
      <c r="L7" s="232"/>
      <c r="M7" s="233" t="s">
        <v>511</v>
      </c>
      <c r="N7" s="234"/>
    </row>
    <row r="8" spans="1:14" s="23" customFormat="1" ht="10">
      <c r="A8" s="18" t="s">
        <v>522</v>
      </c>
      <c r="B8" s="18" t="s">
        <v>18</v>
      </c>
      <c r="C8" s="19">
        <v>6</v>
      </c>
      <c r="D8" s="19">
        <f>E7+1</f>
        <v>50</v>
      </c>
      <c r="E8" s="19">
        <f t="shared" si="0"/>
        <v>50</v>
      </c>
      <c r="F8" s="19">
        <v>1</v>
      </c>
      <c r="G8" s="18" t="s">
        <v>523</v>
      </c>
      <c r="H8" s="20"/>
      <c r="I8" s="20"/>
      <c r="J8" s="18"/>
      <c r="K8" s="19"/>
      <c r="L8" s="19"/>
      <c r="M8" s="21"/>
      <c r="N8" s="22"/>
    </row>
    <row r="9" spans="1:14" s="221" customFormat="1" ht="21">
      <c r="A9" s="215" t="s">
        <v>861</v>
      </c>
      <c r="B9" s="216" t="s">
        <v>14</v>
      </c>
      <c r="C9" s="216"/>
      <c r="D9" s="216">
        <v>1</v>
      </c>
      <c r="E9" s="216">
        <f>E15</f>
        <v>66</v>
      </c>
      <c r="F9" s="216">
        <f>SUM(F10:F15)</f>
        <v>66</v>
      </c>
      <c r="G9" s="236"/>
      <c r="H9" s="236"/>
      <c r="I9" s="236"/>
      <c r="J9" s="216"/>
      <c r="K9" s="216"/>
      <c r="L9" s="218"/>
      <c r="M9" s="219" t="s">
        <v>511</v>
      </c>
      <c r="N9" s="220"/>
    </row>
    <row r="10" spans="1:14" s="235" customFormat="1" ht="10.5">
      <c r="A10" s="237" t="s">
        <v>17</v>
      </c>
      <c r="B10" s="238" t="s">
        <v>18</v>
      </c>
      <c r="C10" s="228">
        <v>7</v>
      </c>
      <c r="D10" s="228">
        <v>1</v>
      </c>
      <c r="E10" s="229">
        <f t="shared" ref="E10:E15" si="1">D10+F10-1</f>
        <v>1</v>
      </c>
      <c r="F10" s="228">
        <v>1</v>
      </c>
      <c r="G10" s="239" t="s">
        <v>38</v>
      </c>
      <c r="H10" s="239"/>
      <c r="I10" s="239"/>
      <c r="J10" s="228"/>
      <c r="K10" s="228"/>
      <c r="L10" s="240"/>
      <c r="M10" s="233" t="s">
        <v>511</v>
      </c>
      <c r="N10" s="234"/>
    </row>
    <row r="11" spans="1:14" s="248" customFormat="1" ht="10.5">
      <c r="A11" s="241" t="s">
        <v>1343</v>
      </c>
      <c r="B11" s="241" t="s">
        <v>995</v>
      </c>
      <c r="C11" s="242">
        <v>8</v>
      </c>
      <c r="D11" s="242">
        <f>E10+1</f>
        <v>2</v>
      </c>
      <c r="E11" s="242">
        <f t="shared" si="1"/>
        <v>17</v>
      </c>
      <c r="F11" s="242">
        <v>16</v>
      </c>
      <c r="G11" s="243" t="s">
        <v>1157</v>
      </c>
      <c r="H11" s="243" t="s">
        <v>526</v>
      </c>
      <c r="I11" s="243" t="s">
        <v>1344</v>
      </c>
      <c r="J11" s="244" t="s">
        <v>1345</v>
      </c>
      <c r="K11" s="242"/>
      <c r="L11" s="245"/>
      <c r="M11" s="246" t="s">
        <v>511</v>
      </c>
      <c r="N11" s="247"/>
    </row>
    <row r="12" spans="1:14" s="248" customFormat="1" ht="10.5">
      <c r="A12" s="241" t="s">
        <v>1346</v>
      </c>
      <c r="B12" s="241" t="s">
        <v>216</v>
      </c>
      <c r="C12" s="242">
        <v>9</v>
      </c>
      <c r="D12" s="242">
        <f>E11+1</f>
        <v>18</v>
      </c>
      <c r="E12" s="242">
        <f t="shared" si="1"/>
        <v>25</v>
      </c>
      <c r="F12" s="242">
        <v>8</v>
      </c>
      <c r="G12" s="243" t="s">
        <v>1347</v>
      </c>
      <c r="H12" s="243" t="s">
        <v>526</v>
      </c>
      <c r="I12" s="243" t="s">
        <v>1344</v>
      </c>
      <c r="J12" s="244" t="s">
        <v>1348</v>
      </c>
      <c r="K12" s="242"/>
      <c r="L12" s="245" t="s">
        <v>1349</v>
      </c>
      <c r="M12" s="246" t="s">
        <v>511</v>
      </c>
      <c r="N12" s="247"/>
    </row>
    <row r="13" spans="1:14" s="248" customFormat="1" ht="10.5">
      <c r="A13" s="241" t="s">
        <v>1350</v>
      </c>
      <c r="B13" s="241" t="s">
        <v>1351</v>
      </c>
      <c r="C13" s="242">
        <v>10</v>
      </c>
      <c r="D13" s="242">
        <f>E12+1</f>
        <v>26</v>
      </c>
      <c r="E13" s="242">
        <f t="shared" si="1"/>
        <v>45</v>
      </c>
      <c r="F13" s="373">
        <v>20</v>
      </c>
      <c r="G13" s="243" t="s">
        <v>1352</v>
      </c>
      <c r="H13" s="243" t="s">
        <v>526</v>
      </c>
      <c r="I13" s="243" t="s">
        <v>1344</v>
      </c>
      <c r="J13" s="244" t="s">
        <v>1353</v>
      </c>
      <c r="K13" s="374"/>
      <c r="L13" s="245" t="s">
        <v>1354</v>
      </c>
      <c r="M13" s="246" t="s">
        <v>511</v>
      </c>
      <c r="N13" s="375"/>
    </row>
    <row r="14" spans="1:14" s="248" customFormat="1" ht="40">
      <c r="A14" s="241" t="s">
        <v>1355</v>
      </c>
      <c r="B14" s="241" t="s">
        <v>1351</v>
      </c>
      <c r="C14" s="242">
        <v>11</v>
      </c>
      <c r="D14" s="242">
        <f>E13+1</f>
        <v>46</v>
      </c>
      <c r="E14" s="242">
        <f t="shared" si="1"/>
        <v>65</v>
      </c>
      <c r="F14" s="373">
        <v>20</v>
      </c>
      <c r="G14" s="243" t="s">
        <v>1356</v>
      </c>
      <c r="H14" s="243" t="s">
        <v>526</v>
      </c>
      <c r="I14" s="243" t="s">
        <v>1357</v>
      </c>
      <c r="J14" s="244" t="s">
        <v>1358</v>
      </c>
      <c r="K14" s="374"/>
      <c r="L14" s="245" t="s">
        <v>1354</v>
      </c>
      <c r="M14" s="246" t="s">
        <v>511</v>
      </c>
      <c r="N14" s="376"/>
    </row>
    <row r="15" spans="1:14" s="382" customFormat="1" ht="10.5">
      <c r="A15" s="241" t="s">
        <v>522</v>
      </c>
      <c r="B15" s="241" t="s">
        <v>18</v>
      </c>
      <c r="C15" s="242">
        <v>12</v>
      </c>
      <c r="D15" s="242">
        <f>E14+1</f>
        <v>66</v>
      </c>
      <c r="E15" s="242">
        <f t="shared" si="1"/>
        <v>66</v>
      </c>
      <c r="F15" s="377">
        <v>1</v>
      </c>
      <c r="G15" s="378" t="s">
        <v>523</v>
      </c>
      <c r="H15" s="379"/>
      <c r="I15" s="379"/>
      <c r="J15" s="378"/>
      <c r="K15" s="377"/>
      <c r="L15" s="377"/>
      <c r="M15" s="380"/>
      <c r="N15" s="381"/>
    </row>
    <row r="16" spans="1:14" s="235" customFormat="1" ht="52.5">
      <c r="A16" s="215" t="s">
        <v>877</v>
      </c>
      <c r="B16" s="249" t="s">
        <v>14</v>
      </c>
      <c r="C16" s="249"/>
      <c r="D16" s="249">
        <v>1</v>
      </c>
      <c r="E16" s="249">
        <f>E19</f>
        <v>11</v>
      </c>
      <c r="F16" s="249">
        <f>SUM(F17:F19)</f>
        <v>11</v>
      </c>
      <c r="G16" s="250"/>
      <c r="H16" s="250"/>
      <c r="I16" s="250"/>
      <c r="J16" s="250"/>
      <c r="K16" s="250" t="s">
        <v>204</v>
      </c>
      <c r="L16" s="250"/>
      <c r="M16" s="233" t="s">
        <v>511</v>
      </c>
      <c r="N16" s="234"/>
    </row>
    <row r="17" spans="1:14" s="235" customFormat="1">
      <c r="A17" s="237" t="s">
        <v>17</v>
      </c>
      <c r="B17" s="251" t="s">
        <v>18</v>
      </c>
      <c r="C17" s="228">
        <v>13</v>
      </c>
      <c r="D17" s="229">
        <v>1</v>
      </c>
      <c r="E17" s="229">
        <v>1</v>
      </c>
      <c r="F17" s="229">
        <v>1</v>
      </c>
      <c r="G17" s="239" t="s">
        <v>701</v>
      </c>
      <c r="H17" s="239"/>
      <c r="I17" s="239"/>
      <c r="J17" s="229"/>
      <c r="K17" s="229"/>
      <c r="L17" s="232"/>
      <c r="M17" s="233" t="s">
        <v>511</v>
      </c>
      <c r="N17" s="234"/>
    </row>
    <row r="18" spans="1:14" s="235" customFormat="1" ht="20">
      <c r="A18" s="252" t="s">
        <v>206</v>
      </c>
      <c r="B18" s="253" t="s">
        <v>207</v>
      </c>
      <c r="C18" s="229">
        <v>14</v>
      </c>
      <c r="D18" s="229">
        <v>2</v>
      </c>
      <c r="E18" s="229">
        <f>D18+F18-1</f>
        <v>10</v>
      </c>
      <c r="F18" s="229">
        <v>9</v>
      </c>
      <c r="G18" s="239" t="s">
        <v>233</v>
      </c>
      <c r="H18" s="239"/>
      <c r="I18" s="239"/>
      <c r="J18" s="229"/>
      <c r="K18" s="229"/>
      <c r="L18" s="232"/>
      <c r="M18" s="233" t="s">
        <v>511</v>
      </c>
      <c r="N18" s="234"/>
    </row>
    <row r="19" spans="1:14" s="23" customFormat="1" ht="10">
      <c r="A19" s="254" t="s">
        <v>522</v>
      </c>
      <c r="B19" s="253" t="s">
        <v>18</v>
      </c>
      <c r="C19" s="19">
        <v>15</v>
      </c>
      <c r="D19" s="19">
        <f>E18+1</f>
        <v>11</v>
      </c>
      <c r="E19" s="19">
        <f>D19+F19-1</f>
        <v>11</v>
      </c>
      <c r="F19" s="19">
        <v>1</v>
      </c>
      <c r="G19" s="18" t="s">
        <v>523</v>
      </c>
      <c r="H19" s="20"/>
      <c r="I19" s="20"/>
      <c r="J19" s="18"/>
      <c r="K19" s="19"/>
      <c r="L19" s="19"/>
      <c r="M19" s="21"/>
      <c r="N19" s="22"/>
    </row>
    <row r="20" spans="1:14" s="221" customFormat="1" ht="10">
      <c r="A20" s="255"/>
      <c r="B20" s="256"/>
      <c r="C20" s="256"/>
      <c r="D20" s="256"/>
      <c r="E20" s="256"/>
      <c r="F20" s="256"/>
      <c r="G20" s="257"/>
      <c r="H20" s="257"/>
      <c r="I20" s="257"/>
      <c r="J20" s="256"/>
      <c r="K20" s="256"/>
      <c r="L20" s="258"/>
      <c r="M20" s="259"/>
    </row>
    <row r="21" spans="1:14" s="221" customFormat="1" ht="10">
      <c r="A21" s="255"/>
      <c r="B21" s="256"/>
      <c r="C21" s="256"/>
      <c r="D21" s="256"/>
      <c r="E21" s="256"/>
      <c r="F21" s="256"/>
      <c r="G21" s="257"/>
      <c r="H21" s="257"/>
      <c r="I21" s="257"/>
      <c r="J21" s="256"/>
      <c r="K21" s="256"/>
      <c r="L21" s="258"/>
      <c r="M21" s="259"/>
    </row>
  </sheetData>
  <pageMargins left="0.7" right="0.7" top="0.75" bottom="0.75" header="0.3" footer="0.3"/>
  <headerFooter>
    <oddHeader>&amp;L&amp;"Arial"&amp;9&amp;K0078D7 INTERNAL&amp;1#_x000D_</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D11F-15D2-45D5-9114-CBBDDE46B73A}">
  <sheetPr codeName="Sheet14">
    <tabColor indexed="14"/>
  </sheetPr>
  <dimension ref="A1:N152"/>
  <sheetViews>
    <sheetView topLeftCell="A20" zoomScale="130" zoomScaleNormal="130" workbookViewId="0">
      <selection activeCell="A46" sqref="A46"/>
    </sheetView>
  </sheetViews>
  <sheetFormatPr defaultColWidth="9.1796875" defaultRowHeight="10"/>
  <cols>
    <col min="1" max="1" width="24.7265625" style="43" bestFit="1" customWidth="1"/>
    <col min="2" max="2" width="18.7265625" style="44" bestFit="1" customWidth="1"/>
    <col min="3" max="3" width="8.1796875" style="44" customWidth="1"/>
    <col min="4" max="5" width="8.26953125" style="44" customWidth="1"/>
    <col min="6" max="6" width="7.26953125" style="44" customWidth="1"/>
    <col min="7" max="7" width="49" style="46" customWidth="1"/>
    <col min="8" max="8" width="20.7265625" style="46" customWidth="1"/>
    <col min="9" max="9" width="20.81640625" style="46" customWidth="1"/>
    <col min="10" max="10" width="19.54296875" style="44" bestFit="1" customWidth="1"/>
    <col min="11" max="11" width="9.1796875" style="44"/>
    <col min="12" max="12" width="22.1796875" style="87" customWidth="1"/>
    <col min="13" max="13" width="13.26953125" style="11" customWidth="1"/>
    <col min="14" max="256" width="9.1796875" style="11"/>
    <col min="257" max="257" width="24.7265625" style="11" bestFit="1" customWidth="1"/>
    <col min="258" max="258" width="18.7265625" style="11" bestFit="1" customWidth="1"/>
    <col min="259" max="259" width="8.1796875" style="11" customWidth="1"/>
    <col min="260" max="261" width="8.26953125" style="11" customWidth="1"/>
    <col min="262" max="262" width="7.26953125" style="11" customWidth="1"/>
    <col min="263" max="263" width="17.1796875" style="11" customWidth="1"/>
    <col min="264" max="264" width="20.7265625" style="11" customWidth="1"/>
    <col min="265" max="265" width="20.81640625" style="11" customWidth="1"/>
    <col min="266" max="266" width="19.54296875" style="11" bestFit="1" customWidth="1"/>
    <col min="267" max="267" width="9.1796875" style="11"/>
    <col min="268" max="268" width="22.1796875" style="11" customWidth="1"/>
    <col min="269" max="269" width="13.26953125" style="11" customWidth="1"/>
    <col min="270" max="512" width="9.1796875" style="11"/>
    <col min="513" max="513" width="24.7265625" style="11" bestFit="1" customWidth="1"/>
    <col min="514" max="514" width="18.7265625" style="11" bestFit="1" customWidth="1"/>
    <col min="515" max="515" width="8.1796875" style="11" customWidth="1"/>
    <col min="516" max="517" width="8.26953125" style="11" customWidth="1"/>
    <col min="518" max="518" width="7.26953125" style="11" customWidth="1"/>
    <col min="519" max="519" width="17.1796875" style="11" customWidth="1"/>
    <col min="520" max="520" width="20.7265625" style="11" customWidth="1"/>
    <col min="521" max="521" width="20.81640625" style="11" customWidth="1"/>
    <col min="522" max="522" width="19.54296875" style="11" bestFit="1" customWidth="1"/>
    <col min="523" max="523" width="9.1796875" style="11"/>
    <col min="524" max="524" width="22.1796875" style="11" customWidth="1"/>
    <col min="525" max="525" width="13.26953125" style="11" customWidth="1"/>
    <col min="526" max="768" width="9.1796875" style="11"/>
    <col min="769" max="769" width="24.7265625" style="11" bestFit="1" customWidth="1"/>
    <col min="770" max="770" width="18.7265625" style="11" bestFit="1" customWidth="1"/>
    <col min="771" max="771" width="8.1796875" style="11" customWidth="1"/>
    <col min="772" max="773" width="8.26953125" style="11" customWidth="1"/>
    <col min="774" max="774" width="7.26953125" style="11" customWidth="1"/>
    <col min="775" max="775" width="17.1796875" style="11" customWidth="1"/>
    <col min="776" max="776" width="20.7265625" style="11" customWidth="1"/>
    <col min="777" max="777" width="20.81640625" style="11" customWidth="1"/>
    <col min="778" max="778" width="19.54296875" style="11" bestFit="1" customWidth="1"/>
    <col min="779" max="779" width="9.1796875" style="11"/>
    <col min="780" max="780" width="22.1796875" style="11" customWidth="1"/>
    <col min="781" max="781" width="13.26953125" style="11" customWidth="1"/>
    <col min="782" max="1024" width="9.1796875" style="11"/>
    <col min="1025" max="1025" width="24.7265625" style="11" bestFit="1" customWidth="1"/>
    <col min="1026" max="1026" width="18.7265625" style="11" bestFit="1" customWidth="1"/>
    <col min="1027" max="1027" width="8.1796875" style="11" customWidth="1"/>
    <col min="1028" max="1029" width="8.26953125" style="11" customWidth="1"/>
    <col min="1030" max="1030" width="7.26953125" style="11" customWidth="1"/>
    <col min="1031" max="1031" width="17.1796875" style="11" customWidth="1"/>
    <col min="1032" max="1032" width="20.7265625" style="11" customWidth="1"/>
    <col min="1033" max="1033" width="20.81640625" style="11" customWidth="1"/>
    <col min="1034" max="1034" width="19.54296875" style="11" bestFit="1" customWidth="1"/>
    <col min="1035" max="1035" width="9.1796875" style="11"/>
    <col min="1036" max="1036" width="22.1796875" style="11" customWidth="1"/>
    <col min="1037" max="1037" width="13.26953125" style="11" customWidth="1"/>
    <col min="1038" max="1280" width="9.1796875" style="11"/>
    <col min="1281" max="1281" width="24.7265625" style="11" bestFit="1" customWidth="1"/>
    <col min="1282" max="1282" width="18.7265625" style="11" bestFit="1" customWidth="1"/>
    <col min="1283" max="1283" width="8.1796875" style="11" customWidth="1"/>
    <col min="1284" max="1285" width="8.26953125" style="11" customWidth="1"/>
    <col min="1286" max="1286" width="7.26953125" style="11" customWidth="1"/>
    <col min="1287" max="1287" width="17.1796875" style="11" customWidth="1"/>
    <col min="1288" max="1288" width="20.7265625" style="11" customWidth="1"/>
    <col min="1289" max="1289" width="20.81640625" style="11" customWidth="1"/>
    <col min="1290" max="1290" width="19.54296875" style="11" bestFit="1" customWidth="1"/>
    <col min="1291" max="1291" width="9.1796875" style="11"/>
    <col min="1292" max="1292" width="22.1796875" style="11" customWidth="1"/>
    <col min="1293" max="1293" width="13.26953125" style="11" customWidth="1"/>
    <col min="1294" max="1536" width="9.1796875" style="11"/>
    <col min="1537" max="1537" width="24.7265625" style="11" bestFit="1" customWidth="1"/>
    <col min="1538" max="1538" width="18.7265625" style="11" bestFit="1" customWidth="1"/>
    <col min="1539" max="1539" width="8.1796875" style="11" customWidth="1"/>
    <col min="1540" max="1541" width="8.26953125" style="11" customWidth="1"/>
    <col min="1542" max="1542" width="7.26953125" style="11" customWidth="1"/>
    <col min="1543" max="1543" width="17.1796875" style="11" customWidth="1"/>
    <col min="1544" max="1544" width="20.7265625" style="11" customWidth="1"/>
    <col min="1545" max="1545" width="20.81640625" style="11" customWidth="1"/>
    <col min="1546" max="1546" width="19.54296875" style="11" bestFit="1" customWidth="1"/>
    <col min="1547" max="1547" width="9.1796875" style="11"/>
    <col min="1548" max="1548" width="22.1796875" style="11" customWidth="1"/>
    <col min="1549" max="1549" width="13.26953125" style="11" customWidth="1"/>
    <col min="1550" max="1792" width="9.1796875" style="11"/>
    <col min="1793" max="1793" width="24.7265625" style="11" bestFit="1" customWidth="1"/>
    <col min="1794" max="1794" width="18.7265625" style="11" bestFit="1" customWidth="1"/>
    <col min="1795" max="1795" width="8.1796875" style="11" customWidth="1"/>
    <col min="1796" max="1797" width="8.26953125" style="11" customWidth="1"/>
    <col min="1798" max="1798" width="7.26953125" style="11" customWidth="1"/>
    <col min="1799" max="1799" width="17.1796875" style="11" customWidth="1"/>
    <col min="1800" max="1800" width="20.7265625" style="11" customWidth="1"/>
    <col min="1801" max="1801" width="20.81640625" style="11" customWidth="1"/>
    <col min="1802" max="1802" width="19.54296875" style="11" bestFit="1" customWidth="1"/>
    <col min="1803" max="1803" width="9.1796875" style="11"/>
    <col min="1804" max="1804" width="22.1796875" style="11" customWidth="1"/>
    <col min="1805" max="1805" width="13.26953125" style="11" customWidth="1"/>
    <col min="1806" max="2048" width="9.1796875" style="11"/>
    <col min="2049" max="2049" width="24.7265625" style="11" bestFit="1" customWidth="1"/>
    <col min="2050" max="2050" width="18.7265625" style="11" bestFit="1" customWidth="1"/>
    <col min="2051" max="2051" width="8.1796875" style="11" customWidth="1"/>
    <col min="2052" max="2053" width="8.26953125" style="11" customWidth="1"/>
    <col min="2054" max="2054" width="7.26953125" style="11" customWidth="1"/>
    <col min="2055" max="2055" width="17.1796875" style="11" customWidth="1"/>
    <col min="2056" max="2056" width="20.7265625" style="11" customWidth="1"/>
    <col min="2057" max="2057" width="20.81640625" style="11" customWidth="1"/>
    <col min="2058" max="2058" width="19.54296875" style="11" bestFit="1" customWidth="1"/>
    <col min="2059" max="2059" width="9.1796875" style="11"/>
    <col min="2060" max="2060" width="22.1796875" style="11" customWidth="1"/>
    <col min="2061" max="2061" width="13.26953125" style="11" customWidth="1"/>
    <col min="2062" max="2304" width="9.1796875" style="11"/>
    <col min="2305" max="2305" width="24.7265625" style="11" bestFit="1" customWidth="1"/>
    <col min="2306" max="2306" width="18.7265625" style="11" bestFit="1" customWidth="1"/>
    <col min="2307" max="2307" width="8.1796875" style="11" customWidth="1"/>
    <col min="2308" max="2309" width="8.26953125" style="11" customWidth="1"/>
    <col min="2310" max="2310" width="7.26953125" style="11" customWidth="1"/>
    <col min="2311" max="2311" width="17.1796875" style="11" customWidth="1"/>
    <col min="2312" max="2312" width="20.7265625" style="11" customWidth="1"/>
    <col min="2313" max="2313" width="20.81640625" style="11" customWidth="1"/>
    <col min="2314" max="2314" width="19.54296875" style="11" bestFit="1" customWidth="1"/>
    <col min="2315" max="2315" width="9.1796875" style="11"/>
    <col min="2316" max="2316" width="22.1796875" style="11" customWidth="1"/>
    <col min="2317" max="2317" width="13.26953125" style="11" customWidth="1"/>
    <col min="2318" max="2560" width="9.1796875" style="11"/>
    <col min="2561" max="2561" width="24.7265625" style="11" bestFit="1" customWidth="1"/>
    <col min="2562" max="2562" width="18.7265625" style="11" bestFit="1" customWidth="1"/>
    <col min="2563" max="2563" width="8.1796875" style="11" customWidth="1"/>
    <col min="2564" max="2565" width="8.26953125" style="11" customWidth="1"/>
    <col min="2566" max="2566" width="7.26953125" style="11" customWidth="1"/>
    <col min="2567" max="2567" width="17.1796875" style="11" customWidth="1"/>
    <col min="2568" max="2568" width="20.7265625" style="11" customWidth="1"/>
    <col min="2569" max="2569" width="20.81640625" style="11" customWidth="1"/>
    <col min="2570" max="2570" width="19.54296875" style="11" bestFit="1" customWidth="1"/>
    <col min="2571" max="2571" width="9.1796875" style="11"/>
    <col min="2572" max="2572" width="22.1796875" style="11" customWidth="1"/>
    <col min="2573" max="2573" width="13.26953125" style="11" customWidth="1"/>
    <col min="2574" max="2816" width="9.1796875" style="11"/>
    <col min="2817" max="2817" width="24.7265625" style="11" bestFit="1" customWidth="1"/>
    <col min="2818" max="2818" width="18.7265625" style="11" bestFit="1" customWidth="1"/>
    <col min="2819" max="2819" width="8.1796875" style="11" customWidth="1"/>
    <col min="2820" max="2821" width="8.26953125" style="11" customWidth="1"/>
    <col min="2822" max="2822" width="7.26953125" style="11" customWidth="1"/>
    <col min="2823" max="2823" width="17.1796875" style="11" customWidth="1"/>
    <col min="2824" max="2824" width="20.7265625" style="11" customWidth="1"/>
    <col min="2825" max="2825" width="20.81640625" style="11" customWidth="1"/>
    <col min="2826" max="2826" width="19.54296875" style="11" bestFit="1" customWidth="1"/>
    <col min="2827" max="2827" width="9.1796875" style="11"/>
    <col min="2828" max="2828" width="22.1796875" style="11" customWidth="1"/>
    <col min="2829" max="2829" width="13.26953125" style="11" customWidth="1"/>
    <col min="2830" max="3072" width="9.1796875" style="11"/>
    <col min="3073" max="3073" width="24.7265625" style="11" bestFit="1" customWidth="1"/>
    <col min="3074" max="3074" width="18.7265625" style="11" bestFit="1" customWidth="1"/>
    <col min="3075" max="3075" width="8.1796875" style="11" customWidth="1"/>
    <col min="3076" max="3077" width="8.26953125" style="11" customWidth="1"/>
    <col min="3078" max="3078" width="7.26953125" style="11" customWidth="1"/>
    <col min="3079" max="3079" width="17.1796875" style="11" customWidth="1"/>
    <col min="3080" max="3080" width="20.7265625" style="11" customWidth="1"/>
    <col min="3081" max="3081" width="20.81640625" style="11" customWidth="1"/>
    <col min="3082" max="3082" width="19.54296875" style="11" bestFit="1" customWidth="1"/>
    <col min="3083" max="3083" width="9.1796875" style="11"/>
    <col min="3084" max="3084" width="22.1796875" style="11" customWidth="1"/>
    <col min="3085" max="3085" width="13.26953125" style="11" customWidth="1"/>
    <col min="3086" max="3328" width="9.1796875" style="11"/>
    <col min="3329" max="3329" width="24.7265625" style="11" bestFit="1" customWidth="1"/>
    <col min="3330" max="3330" width="18.7265625" style="11" bestFit="1" customWidth="1"/>
    <col min="3331" max="3331" width="8.1796875" style="11" customWidth="1"/>
    <col min="3332" max="3333" width="8.26953125" style="11" customWidth="1"/>
    <col min="3334" max="3334" width="7.26953125" style="11" customWidth="1"/>
    <col min="3335" max="3335" width="17.1796875" style="11" customWidth="1"/>
    <col min="3336" max="3336" width="20.7265625" style="11" customWidth="1"/>
    <col min="3337" max="3337" width="20.81640625" style="11" customWidth="1"/>
    <col min="3338" max="3338" width="19.54296875" style="11" bestFit="1" customWidth="1"/>
    <col min="3339" max="3339" width="9.1796875" style="11"/>
    <col min="3340" max="3340" width="22.1796875" style="11" customWidth="1"/>
    <col min="3341" max="3341" width="13.26953125" style="11" customWidth="1"/>
    <col min="3342" max="3584" width="9.1796875" style="11"/>
    <col min="3585" max="3585" width="24.7265625" style="11" bestFit="1" customWidth="1"/>
    <col min="3586" max="3586" width="18.7265625" style="11" bestFit="1" customWidth="1"/>
    <col min="3587" max="3587" width="8.1796875" style="11" customWidth="1"/>
    <col min="3588" max="3589" width="8.26953125" style="11" customWidth="1"/>
    <col min="3590" max="3590" width="7.26953125" style="11" customWidth="1"/>
    <col min="3591" max="3591" width="17.1796875" style="11" customWidth="1"/>
    <col min="3592" max="3592" width="20.7265625" style="11" customWidth="1"/>
    <col min="3593" max="3593" width="20.81640625" style="11" customWidth="1"/>
    <col min="3594" max="3594" width="19.54296875" style="11" bestFit="1" customWidth="1"/>
    <col min="3595" max="3595" width="9.1796875" style="11"/>
    <col min="3596" max="3596" width="22.1796875" style="11" customWidth="1"/>
    <col min="3597" max="3597" width="13.26953125" style="11" customWidth="1"/>
    <col min="3598" max="3840" width="9.1796875" style="11"/>
    <col min="3841" max="3841" width="24.7265625" style="11" bestFit="1" customWidth="1"/>
    <col min="3842" max="3842" width="18.7265625" style="11" bestFit="1" customWidth="1"/>
    <col min="3843" max="3843" width="8.1796875" style="11" customWidth="1"/>
    <col min="3844" max="3845" width="8.26953125" style="11" customWidth="1"/>
    <col min="3846" max="3846" width="7.26953125" style="11" customWidth="1"/>
    <col min="3847" max="3847" width="17.1796875" style="11" customWidth="1"/>
    <col min="3848" max="3848" width="20.7265625" style="11" customWidth="1"/>
    <col min="3849" max="3849" width="20.81640625" style="11" customWidth="1"/>
    <col min="3850" max="3850" width="19.54296875" style="11" bestFit="1" customWidth="1"/>
    <col min="3851" max="3851" width="9.1796875" style="11"/>
    <col min="3852" max="3852" width="22.1796875" style="11" customWidth="1"/>
    <col min="3853" max="3853" width="13.26953125" style="11" customWidth="1"/>
    <col min="3854" max="4096" width="9.1796875" style="11"/>
    <col min="4097" max="4097" width="24.7265625" style="11" bestFit="1" customWidth="1"/>
    <col min="4098" max="4098" width="18.7265625" style="11" bestFit="1" customWidth="1"/>
    <col min="4099" max="4099" width="8.1796875" style="11" customWidth="1"/>
    <col min="4100" max="4101" width="8.26953125" style="11" customWidth="1"/>
    <col min="4102" max="4102" width="7.26953125" style="11" customWidth="1"/>
    <col min="4103" max="4103" width="17.1796875" style="11" customWidth="1"/>
    <col min="4104" max="4104" width="20.7265625" style="11" customWidth="1"/>
    <col min="4105" max="4105" width="20.81640625" style="11" customWidth="1"/>
    <col min="4106" max="4106" width="19.54296875" style="11" bestFit="1" customWidth="1"/>
    <col min="4107" max="4107" width="9.1796875" style="11"/>
    <col min="4108" max="4108" width="22.1796875" style="11" customWidth="1"/>
    <col min="4109" max="4109" width="13.26953125" style="11" customWidth="1"/>
    <col min="4110" max="4352" width="9.1796875" style="11"/>
    <col min="4353" max="4353" width="24.7265625" style="11" bestFit="1" customWidth="1"/>
    <col min="4354" max="4354" width="18.7265625" style="11" bestFit="1" customWidth="1"/>
    <col min="4355" max="4355" width="8.1796875" style="11" customWidth="1"/>
    <col min="4356" max="4357" width="8.26953125" style="11" customWidth="1"/>
    <col min="4358" max="4358" width="7.26953125" style="11" customWidth="1"/>
    <col min="4359" max="4359" width="17.1796875" style="11" customWidth="1"/>
    <col min="4360" max="4360" width="20.7265625" style="11" customWidth="1"/>
    <col min="4361" max="4361" width="20.81640625" style="11" customWidth="1"/>
    <col min="4362" max="4362" width="19.54296875" style="11" bestFit="1" customWidth="1"/>
    <col min="4363" max="4363" width="9.1796875" style="11"/>
    <col min="4364" max="4364" width="22.1796875" style="11" customWidth="1"/>
    <col min="4365" max="4365" width="13.26953125" style="11" customWidth="1"/>
    <col min="4366" max="4608" width="9.1796875" style="11"/>
    <col min="4609" max="4609" width="24.7265625" style="11" bestFit="1" customWidth="1"/>
    <col min="4610" max="4610" width="18.7265625" style="11" bestFit="1" customWidth="1"/>
    <col min="4611" max="4611" width="8.1796875" style="11" customWidth="1"/>
    <col min="4612" max="4613" width="8.26953125" style="11" customWidth="1"/>
    <col min="4614" max="4614" width="7.26953125" style="11" customWidth="1"/>
    <col min="4615" max="4615" width="17.1796875" style="11" customWidth="1"/>
    <col min="4616" max="4616" width="20.7265625" style="11" customWidth="1"/>
    <col min="4617" max="4617" width="20.81640625" style="11" customWidth="1"/>
    <col min="4618" max="4618" width="19.54296875" style="11" bestFit="1" customWidth="1"/>
    <col min="4619" max="4619" width="9.1796875" style="11"/>
    <col min="4620" max="4620" width="22.1796875" style="11" customWidth="1"/>
    <col min="4621" max="4621" width="13.26953125" style="11" customWidth="1"/>
    <col min="4622" max="4864" width="9.1796875" style="11"/>
    <col min="4865" max="4865" width="24.7265625" style="11" bestFit="1" customWidth="1"/>
    <col min="4866" max="4866" width="18.7265625" style="11" bestFit="1" customWidth="1"/>
    <col min="4867" max="4867" width="8.1796875" style="11" customWidth="1"/>
    <col min="4868" max="4869" width="8.26953125" style="11" customWidth="1"/>
    <col min="4870" max="4870" width="7.26953125" style="11" customWidth="1"/>
    <col min="4871" max="4871" width="17.1796875" style="11" customWidth="1"/>
    <col min="4872" max="4872" width="20.7265625" style="11" customWidth="1"/>
    <col min="4873" max="4873" width="20.81640625" style="11" customWidth="1"/>
    <col min="4874" max="4874" width="19.54296875" style="11" bestFit="1" customWidth="1"/>
    <col min="4875" max="4875" width="9.1796875" style="11"/>
    <col min="4876" max="4876" width="22.1796875" style="11" customWidth="1"/>
    <col min="4877" max="4877" width="13.26953125" style="11" customWidth="1"/>
    <col min="4878" max="5120" width="9.1796875" style="11"/>
    <col min="5121" max="5121" width="24.7265625" style="11" bestFit="1" customWidth="1"/>
    <col min="5122" max="5122" width="18.7265625" style="11" bestFit="1" customWidth="1"/>
    <col min="5123" max="5123" width="8.1796875" style="11" customWidth="1"/>
    <col min="5124" max="5125" width="8.26953125" style="11" customWidth="1"/>
    <col min="5126" max="5126" width="7.26953125" style="11" customWidth="1"/>
    <col min="5127" max="5127" width="17.1796875" style="11" customWidth="1"/>
    <col min="5128" max="5128" width="20.7265625" style="11" customWidth="1"/>
    <col min="5129" max="5129" width="20.81640625" style="11" customWidth="1"/>
    <col min="5130" max="5130" width="19.54296875" style="11" bestFit="1" customWidth="1"/>
    <col min="5131" max="5131" width="9.1796875" style="11"/>
    <col min="5132" max="5132" width="22.1796875" style="11" customWidth="1"/>
    <col min="5133" max="5133" width="13.26953125" style="11" customWidth="1"/>
    <col min="5134" max="5376" width="9.1796875" style="11"/>
    <col min="5377" max="5377" width="24.7265625" style="11" bestFit="1" customWidth="1"/>
    <col min="5378" max="5378" width="18.7265625" style="11" bestFit="1" customWidth="1"/>
    <col min="5379" max="5379" width="8.1796875" style="11" customWidth="1"/>
    <col min="5380" max="5381" width="8.26953125" style="11" customWidth="1"/>
    <col min="5382" max="5382" width="7.26953125" style="11" customWidth="1"/>
    <col min="5383" max="5383" width="17.1796875" style="11" customWidth="1"/>
    <col min="5384" max="5384" width="20.7265625" style="11" customWidth="1"/>
    <col min="5385" max="5385" width="20.81640625" style="11" customWidth="1"/>
    <col min="5386" max="5386" width="19.54296875" style="11" bestFit="1" customWidth="1"/>
    <col min="5387" max="5387" width="9.1796875" style="11"/>
    <col min="5388" max="5388" width="22.1796875" style="11" customWidth="1"/>
    <col min="5389" max="5389" width="13.26953125" style="11" customWidth="1"/>
    <col min="5390" max="5632" width="9.1796875" style="11"/>
    <col min="5633" max="5633" width="24.7265625" style="11" bestFit="1" customWidth="1"/>
    <col min="5634" max="5634" width="18.7265625" style="11" bestFit="1" customWidth="1"/>
    <col min="5635" max="5635" width="8.1796875" style="11" customWidth="1"/>
    <col min="5636" max="5637" width="8.26953125" style="11" customWidth="1"/>
    <col min="5638" max="5638" width="7.26953125" style="11" customWidth="1"/>
    <col min="5639" max="5639" width="17.1796875" style="11" customWidth="1"/>
    <col min="5640" max="5640" width="20.7265625" style="11" customWidth="1"/>
    <col min="5641" max="5641" width="20.81640625" style="11" customWidth="1"/>
    <col min="5642" max="5642" width="19.54296875" style="11" bestFit="1" customWidth="1"/>
    <col min="5643" max="5643" width="9.1796875" style="11"/>
    <col min="5644" max="5644" width="22.1796875" style="11" customWidth="1"/>
    <col min="5645" max="5645" width="13.26953125" style="11" customWidth="1"/>
    <col min="5646" max="5888" width="9.1796875" style="11"/>
    <col min="5889" max="5889" width="24.7265625" style="11" bestFit="1" customWidth="1"/>
    <col min="5890" max="5890" width="18.7265625" style="11" bestFit="1" customWidth="1"/>
    <col min="5891" max="5891" width="8.1796875" style="11" customWidth="1"/>
    <col min="5892" max="5893" width="8.26953125" style="11" customWidth="1"/>
    <col min="5894" max="5894" width="7.26953125" style="11" customWidth="1"/>
    <col min="5895" max="5895" width="17.1796875" style="11" customWidth="1"/>
    <col min="5896" max="5896" width="20.7265625" style="11" customWidth="1"/>
    <col min="5897" max="5897" width="20.81640625" style="11" customWidth="1"/>
    <col min="5898" max="5898" width="19.54296875" style="11" bestFit="1" customWidth="1"/>
    <col min="5899" max="5899" width="9.1796875" style="11"/>
    <col min="5900" max="5900" width="22.1796875" style="11" customWidth="1"/>
    <col min="5901" max="5901" width="13.26953125" style="11" customWidth="1"/>
    <col min="5902" max="6144" width="9.1796875" style="11"/>
    <col min="6145" max="6145" width="24.7265625" style="11" bestFit="1" customWidth="1"/>
    <col min="6146" max="6146" width="18.7265625" style="11" bestFit="1" customWidth="1"/>
    <col min="6147" max="6147" width="8.1796875" style="11" customWidth="1"/>
    <col min="6148" max="6149" width="8.26953125" style="11" customWidth="1"/>
    <col min="6150" max="6150" width="7.26953125" style="11" customWidth="1"/>
    <col min="6151" max="6151" width="17.1796875" style="11" customWidth="1"/>
    <col min="6152" max="6152" width="20.7265625" style="11" customWidth="1"/>
    <col min="6153" max="6153" width="20.81640625" style="11" customWidth="1"/>
    <col min="6154" max="6154" width="19.54296875" style="11" bestFit="1" customWidth="1"/>
    <col min="6155" max="6155" width="9.1796875" style="11"/>
    <col min="6156" max="6156" width="22.1796875" style="11" customWidth="1"/>
    <col min="6157" max="6157" width="13.26953125" style="11" customWidth="1"/>
    <col min="6158" max="6400" width="9.1796875" style="11"/>
    <col min="6401" max="6401" width="24.7265625" style="11" bestFit="1" customWidth="1"/>
    <col min="6402" max="6402" width="18.7265625" style="11" bestFit="1" customWidth="1"/>
    <col min="6403" max="6403" width="8.1796875" style="11" customWidth="1"/>
    <col min="6404" max="6405" width="8.26953125" style="11" customWidth="1"/>
    <col min="6406" max="6406" width="7.26953125" style="11" customWidth="1"/>
    <col min="6407" max="6407" width="17.1796875" style="11" customWidth="1"/>
    <col min="6408" max="6408" width="20.7265625" style="11" customWidth="1"/>
    <col min="6409" max="6409" width="20.81640625" style="11" customWidth="1"/>
    <col min="6410" max="6410" width="19.54296875" style="11" bestFit="1" customWidth="1"/>
    <col min="6411" max="6411" width="9.1796875" style="11"/>
    <col min="6412" max="6412" width="22.1796875" style="11" customWidth="1"/>
    <col min="6413" max="6413" width="13.26953125" style="11" customWidth="1"/>
    <col min="6414" max="6656" width="9.1796875" style="11"/>
    <col min="6657" max="6657" width="24.7265625" style="11" bestFit="1" customWidth="1"/>
    <col min="6658" max="6658" width="18.7265625" style="11" bestFit="1" customWidth="1"/>
    <col min="6659" max="6659" width="8.1796875" style="11" customWidth="1"/>
    <col min="6660" max="6661" width="8.26953125" style="11" customWidth="1"/>
    <col min="6662" max="6662" width="7.26953125" style="11" customWidth="1"/>
    <col min="6663" max="6663" width="17.1796875" style="11" customWidth="1"/>
    <col min="6664" max="6664" width="20.7265625" style="11" customWidth="1"/>
    <col min="6665" max="6665" width="20.81640625" style="11" customWidth="1"/>
    <col min="6666" max="6666" width="19.54296875" style="11" bestFit="1" customWidth="1"/>
    <col min="6667" max="6667" width="9.1796875" style="11"/>
    <col min="6668" max="6668" width="22.1796875" style="11" customWidth="1"/>
    <col min="6669" max="6669" width="13.26953125" style="11" customWidth="1"/>
    <col min="6670" max="6912" width="9.1796875" style="11"/>
    <col min="6913" max="6913" width="24.7265625" style="11" bestFit="1" customWidth="1"/>
    <col min="6914" max="6914" width="18.7265625" style="11" bestFit="1" customWidth="1"/>
    <col min="6915" max="6915" width="8.1796875" style="11" customWidth="1"/>
    <col min="6916" max="6917" width="8.26953125" style="11" customWidth="1"/>
    <col min="6918" max="6918" width="7.26953125" style="11" customWidth="1"/>
    <col min="6919" max="6919" width="17.1796875" style="11" customWidth="1"/>
    <col min="6920" max="6920" width="20.7265625" style="11" customWidth="1"/>
    <col min="6921" max="6921" width="20.81640625" style="11" customWidth="1"/>
    <col min="6922" max="6922" width="19.54296875" style="11" bestFit="1" customWidth="1"/>
    <col min="6923" max="6923" width="9.1796875" style="11"/>
    <col min="6924" max="6924" width="22.1796875" style="11" customWidth="1"/>
    <col min="6925" max="6925" width="13.26953125" style="11" customWidth="1"/>
    <col min="6926" max="7168" width="9.1796875" style="11"/>
    <col min="7169" max="7169" width="24.7265625" style="11" bestFit="1" customWidth="1"/>
    <col min="7170" max="7170" width="18.7265625" style="11" bestFit="1" customWidth="1"/>
    <col min="7171" max="7171" width="8.1796875" style="11" customWidth="1"/>
    <col min="7172" max="7173" width="8.26953125" style="11" customWidth="1"/>
    <col min="7174" max="7174" width="7.26953125" style="11" customWidth="1"/>
    <col min="7175" max="7175" width="17.1796875" style="11" customWidth="1"/>
    <col min="7176" max="7176" width="20.7265625" style="11" customWidth="1"/>
    <col min="7177" max="7177" width="20.81640625" style="11" customWidth="1"/>
    <col min="7178" max="7178" width="19.54296875" style="11" bestFit="1" customWidth="1"/>
    <col min="7179" max="7179" width="9.1796875" style="11"/>
    <col min="7180" max="7180" width="22.1796875" style="11" customWidth="1"/>
    <col min="7181" max="7181" width="13.26953125" style="11" customWidth="1"/>
    <col min="7182" max="7424" width="9.1796875" style="11"/>
    <col min="7425" max="7425" width="24.7265625" style="11" bestFit="1" customWidth="1"/>
    <col min="7426" max="7426" width="18.7265625" style="11" bestFit="1" customWidth="1"/>
    <col min="7427" max="7427" width="8.1796875" style="11" customWidth="1"/>
    <col min="7428" max="7429" width="8.26953125" style="11" customWidth="1"/>
    <col min="7430" max="7430" width="7.26953125" style="11" customWidth="1"/>
    <col min="7431" max="7431" width="17.1796875" style="11" customWidth="1"/>
    <col min="7432" max="7432" width="20.7265625" style="11" customWidth="1"/>
    <col min="7433" max="7433" width="20.81640625" style="11" customWidth="1"/>
    <col min="7434" max="7434" width="19.54296875" style="11" bestFit="1" customWidth="1"/>
    <col min="7435" max="7435" width="9.1796875" style="11"/>
    <col min="7436" max="7436" width="22.1796875" style="11" customWidth="1"/>
    <col min="7437" max="7437" width="13.26953125" style="11" customWidth="1"/>
    <col min="7438" max="7680" width="9.1796875" style="11"/>
    <col min="7681" max="7681" width="24.7265625" style="11" bestFit="1" customWidth="1"/>
    <col min="7682" max="7682" width="18.7265625" style="11" bestFit="1" customWidth="1"/>
    <col min="7683" max="7683" width="8.1796875" style="11" customWidth="1"/>
    <col min="7684" max="7685" width="8.26953125" style="11" customWidth="1"/>
    <col min="7686" max="7686" width="7.26953125" style="11" customWidth="1"/>
    <col min="7687" max="7687" width="17.1796875" style="11" customWidth="1"/>
    <col min="7688" max="7688" width="20.7265625" style="11" customWidth="1"/>
    <col min="7689" max="7689" width="20.81640625" style="11" customWidth="1"/>
    <col min="7690" max="7690" width="19.54296875" style="11" bestFit="1" customWidth="1"/>
    <col min="7691" max="7691" width="9.1796875" style="11"/>
    <col min="7692" max="7692" width="22.1796875" style="11" customWidth="1"/>
    <col min="7693" max="7693" width="13.26953125" style="11" customWidth="1"/>
    <col min="7694" max="7936" width="9.1796875" style="11"/>
    <col min="7937" max="7937" width="24.7265625" style="11" bestFit="1" customWidth="1"/>
    <col min="7938" max="7938" width="18.7265625" style="11" bestFit="1" customWidth="1"/>
    <col min="7939" max="7939" width="8.1796875" style="11" customWidth="1"/>
    <col min="7940" max="7941" width="8.26953125" style="11" customWidth="1"/>
    <col min="7942" max="7942" width="7.26953125" style="11" customWidth="1"/>
    <col min="7943" max="7943" width="17.1796875" style="11" customWidth="1"/>
    <col min="7944" max="7944" width="20.7265625" style="11" customWidth="1"/>
    <col min="7945" max="7945" width="20.81640625" style="11" customWidth="1"/>
    <col min="7946" max="7946" width="19.54296875" style="11" bestFit="1" customWidth="1"/>
    <col min="7947" max="7947" width="9.1796875" style="11"/>
    <col min="7948" max="7948" width="22.1796875" style="11" customWidth="1"/>
    <col min="7949" max="7949" width="13.26953125" style="11" customWidth="1"/>
    <col min="7950" max="8192" width="9.1796875" style="11"/>
    <col min="8193" max="8193" width="24.7265625" style="11" bestFit="1" customWidth="1"/>
    <col min="8194" max="8194" width="18.7265625" style="11" bestFit="1" customWidth="1"/>
    <col min="8195" max="8195" width="8.1796875" style="11" customWidth="1"/>
    <col min="8196" max="8197" width="8.26953125" style="11" customWidth="1"/>
    <col min="8198" max="8198" width="7.26953125" style="11" customWidth="1"/>
    <col min="8199" max="8199" width="17.1796875" style="11" customWidth="1"/>
    <col min="8200" max="8200" width="20.7265625" style="11" customWidth="1"/>
    <col min="8201" max="8201" width="20.81640625" style="11" customWidth="1"/>
    <col min="8202" max="8202" width="19.54296875" style="11" bestFit="1" customWidth="1"/>
    <col min="8203" max="8203" width="9.1796875" style="11"/>
    <col min="8204" max="8204" width="22.1796875" style="11" customWidth="1"/>
    <col min="8205" max="8205" width="13.26953125" style="11" customWidth="1"/>
    <col min="8206" max="8448" width="9.1796875" style="11"/>
    <col min="8449" max="8449" width="24.7265625" style="11" bestFit="1" customWidth="1"/>
    <col min="8450" max="8450" width="18.7265625" style="11" bestFit="1" customWidth="1"/>
    <col min="8451" max="8451" width="8.1796875" style="11" customWidth="1"/>
    <col min="8452" max="8453" width="8.26953125" style="11" customWidth="1"/>
    <col min="8454" max="8454" width="7.26953125" style="11" customWidth="1"/>
    <col min="8455" max="8455" width="17.1796875" style="11" customWidth="1"/>
    <col min="8456" max="8456" width="20.7265625" style="11" customWidth="1"/>
    <col min="8457" max="8457" width="20.81640625" style="11" customWidth="1"/>
    <col min="8458" max="8458" width="19.54296875" style="11" bestFit="1" customWidth="1"/>
    <col min="8459" max="8459" width="9.1796875" style="11"/>
    <col min="8460" max="8460" width="22.1796875" style="11" customWidth="1"/>
    <col min="8461" max="8461" width="13.26953125" style="11" customWidth="1"/>
    <col min="8462" max="8704" width="9.1796875" style="11"/>
    <col min="8705" max="8705" width="24.7265625" style="11" bestFit="1" customWidth="1"/>
    <col min="8706" max="8706" width="18.7265625" style="11" bestFit="1" customWidth="1"/>
    <col min="8707" max="8707" width="8.1796875" style="11" customWidth="1"/>
    <col min="8708" max="8709" width="8.26953125" style="11" customWidth="1"/>
    <col min="8710" max="8710" width="7.26953125" style="11" customWidth="1"/>
    <col min="8711" max="8711" width="17.1796875" style="11" customWidth="1"/>
    <col min="8712" max="8712" width="20.7265625" style="11" customWidth="1"/>
    <col min="8713" max="8713" width="20.81640625" style="11" customWidth="1"/>
    <col min="8714" max="8714" width="19.54296875" style="11" bestFit="1" customWidth="1"/>
    <col min="8715" max="8715" width="9.1796875" style="11"/>
    <col min="8716" max="8716" width="22.1796875" style="11" customWidth="1"/>
    <col min="8717" max="8717" width="13.26953125" style="11" customWidth="1"/>
    <col min="8718" max="8960" width="9.1796875" style="11"/>
    <col min="8961" max="8961" width="24.7265625" style="11" bestFit="1" customWidth="1"/>
    <col min="8962" max="8962" width="18.7265625" style="11" bestFit="1" customWidth="1"/>
    <col min="8963" max="8963" width="8.1796875" style="11" customWidth="1"/>
    <col min="8964" max="8965" width="8.26953125" style="11" customWidth="1"/>
    <col min="8966" max="8966" width="7.26953125" style="11" customWidth="1"/>
    <col min="8967" max="8967" width="17.1796875" style="11" customWidth="1"/>
    <col min="8968" max="8968" width="20.7265625" style="11" customWidth="1"/>
    <col min="8969" max="8969" width="20.81640625" style="11" customWidth="1"/>
    <col min="8970" max="8970" width="19.54296875" style="11" bestFit="1" customWidth="1"/>
    <col min="8971" max="8971" width="9.1796875" style="11"/>
    <col min="8972" max="8972" width="22.1796875" style="11" customWidth="1"/>
    <col min="8973" max="8973" width="13.26953125" style="11" customWidth="1"/>
    <col min="8974" max="9216" width="9.1796875" style="11"/>
    <col min="9217" max="9217" width="24.7265625" style="11" bestFit="1" customWidth="1"/>
    <col min="9218" max="9218" width="18.7265625" style="11" bestFit="1" customWidth="1"/>
    <col min="9219" max="9219" width="8.1796875" style="11" customWidth="1"/>
    <col min="9220" max="9221" width="8.26953125" style="11" customWidth="1"/>
    <col min="9222" max="9222" width="7.26953125" style="11" customWidth="1"/>
    <col min="9223" max="9223" width="17.1796875" style="11" customWidth="1"/>
    <col min="9224" max="9224" width="20.7265625" style="11" customWidth="1"/>
    <col min="9225" max="9225" width="20.81640625" style="11" customWidth="1"/>
    <col min="9226" max="9226" width="19.54296875" style="11" bestFit="1" customWidth="1"/>
    <col min="9227" max="9227" width="9.1796875" style="11"/>
    <col min="9228" max="9228" width="22.1796875" style="11" customWidth="1"/>
    <col min="9229" max="9229" width="13.26953125" style="11" customWidth="1"/>
    <col min="9230" max="9472" width="9.1796875" style="11"/>
    <col min="9473" max="9473" width="24.7265625" style="11" bestFit="1" customWidth="1"/>
    <col min="9474" max="9474" width="18.7265625" style="11" bestFit="1" customWidth="1"/>
    <col min="9475" max="9475" width="8.1796875" style="11" customWidth="1"/>
    <col min="9476" max="9477" width="8.26953125" style="11" customWidth="1"/>
    <col min="9478" max="9478" width="7.26953125" style="11" customWidth="1"/>
    <col min="9479" max="9479" width="17.1796875" style="11" customWidth="1"/>
    <col min="9480" max="9480" width="20.7265625" style="11" customWidth="1"/>
    <col min="9481" max="9481" width="20.81640625" style="11" customWidth="1"/>
    <col min="9482" max="9482" width="19.54296875" style="11" bestFit="1" customWidth="1"/>
    <col min="9483" max="9483" width="9.1796875" style="11"/>
    <col min="9484" max="9484" width="22.1796875" style="11" customWidth="1"/>
    <col min="9485" max="9485" width="13.26953125" style="11" customWidth="1"/>
    <col min="9486" max="9728" width="9.1796875" style="11"/>
    <col min="9729" max="9729" width="24.7265625" style="11" bestFit="1" customWidth="1"/>
    <col min="9730" max="9730" width="18.7265625" style="11" bestFit="1" customWidth="1"/>
    <col min="9731" max="9731" width="8.1796875" style="11" customWidth="1"/>
    <col min="9732" max="9733" width="8.26953125" style="11" customWidth="1"/>
    <col min="9734" max="9734" width="7.26953125" style="11" customWidth="1"/>
    <col min="9735" max="9735" width="17.1796875" style="11" customWidth="1"/>
    <col min="9736" max="9736" width="20.7265625" style="11" customWidth="1"/>
    <col min="9737" max="9737" width="20.81640625" style="11" customWidth="1"/>
    <col min="9738" max="9738" width="19.54296875" style="11" bestFit="1" customWidth="1"/>
    <col min="9739" max="9739" width="9.1796875" style="11"/>
    <col min="9740" max="9740" width="22.1796875" style="11" customWidth="1"/>
    <col min="9741" max="9741" width="13.26953125" style="11" customWidth="1"/>
    <col min="9742" max="9984" width="9.1796875" style="11"/>
    <col min="9985" max="9985" width="24.7265625" style="11" bestFit="1" customWidth="1"/>
    <col min="9986" max="9986" width="18.7265625" style="11" bestFit="1" customWidth="1"/>
    <col min="9987" max="9987" width="8.1796875" style="11" customWidth="1"/>
    <col min="9988" max="9989" width="8.26953125" style="11" customWidth="1"/>
    <col min="9990" max="9990" width="7.26953125" style="11" customWidth="1"/>
    <col min="9991" max="9991" width="17.1796875" style="11" customWidth="1"/>
    <col min="9992" max="9992" width="20.7265625" style="11" customWidth="1"/>
    <col min="9993" max="9993" width="20.81640625" style="11" customWidth="1"/>
    <col min="9994" max="9994" width="19.54296875" style="11" bestFit="1" customWidth="1"/>
    <col min="9995" max="9995" width="9.1796875" style="11"/>
    <col min="9996" max="9996" width="22.1796875" style="11" customWidth="1"/>
    <col min="9997" max="9997" width="13.26953125" style="11" customWidth="1"/>
    <col min="9998" max="10240" width="9.1796875" style="11"/>
    <col min="10241" max="10241" width="24.7265625" style="11" bestFit="1" customWidth="1"/>
    <col min="10242" max="10242" width="18.7265625" style="11" bestFit="1" customWidth="1"/>
    <col min="10243" max="10243" width="8.1796875" style="11" customWidth="1"/>
    <col min="10244" max="10245" width="8.26953125" style="11" customWidth="1"/>
    <col min="10246" max="10246" width="7.26953125" style="11" customWidth="1"/>
    <col min="10247" max="10247" width="17.1796875" style="11" customWidth="1"/>
    <col min="10248" max="10248" width="20.7265625" style="11" customWidth="1"/>
    <col min="10249" max="10249" width="20.81640625" style="11" customWidth="1"/>
    <col min="10250" max="10250" width="19.54296875" style="11" bestFit="1" customWidth="1"/>
    <col min="10251" max="10251" width="9.1796875" style="11"/>
    <col min="10252" max="10252" width="22.1796875" style="11" customWidth="1"/>
    <col min="10253" max="10253" width="13.26953125" style="11" customWidth="1"/>
    <col min="10254" max="10496" width="9.1796875" style="11"/>
    <col min="10497" max="10497" width="24.7265625" style="11" bestFit="1" customWidth="1"/>
    <col min="10498" max="10498" width="18.7265625" style="11" bestFit="1" customWidth="1"/>
    <col min="10499" max="10499" width="8.1796875" style="11" customWidth="1"/>
    <col min="10500" max="10501" width="8.26953125" style="11" customWidth="1"/>
    <col min="10502" max="10502" width="7.26953125" style="11" customWidth="1"/>
    <col min="10503" max="10503" width="17.1796875" style="11" customWidth="1"/>
    <col min="10504" max="10504" width="20.7265625" style="11" customWidth="1"/>
    <col min="10505" max="10505" width="20.81640625" style="11" customWidth="1"/>
    <col min="10506" max="10506" width="19.54296875" style="11" bestFit="1" customWidth="1"/>
    <col min="10507" max="10507" width="9.1796875" style="11"/>
    <col min="10508" max="10508" width="22.1796875" style="11" customWidth="1"/>
    <col min="10509" max="10509" width="13.26953125" style="11" customWidth="1"/>
    <col min="10510" max="10752" width="9.1796875" style="11"/>
    <col min="10753" max="10753" width="24.7265625" style="11" bestFit="1" customWidth="1"/>
    <col min="10754" max="10754" width="18.7265625" style="11" bestFit="1" customWidth="1"/>
    <col min="10755" max="10755" width="8.1796875" style="11" customWidth="1"/>
    <col min="10756" max="10757" width="8.26953125" style="11" customWidth="1"/>
    <col min="10758" max="10758" width="7.26953125" style="11" customWidth="1"/>
    <col min="10759" max="10759" width="17.1796875" style="11" customWidth="1"/>
    <col min="10760" max="10760" width="20.7265625" style="11" customWidth="1"/>
    <col min="10761" max="10761" width="20.81640625" style="11" customWidth="1"/>
    <col min="10762" max="10762" width="19.54296875" style="11" bestFit="1" customWidth="1"/>
    <col min="10763" max="10763" width="9.1796875" style="11"/>
    <col min="10764" max="10764" width="22.1796875" style="11" customWidth="1"/>
    <col min="10765" max="10765" width="13.26953125" style="11" customWidth="1"/>
    <col min="10766" max="11008" width="9.1796875" style="11"/>
    <col min="11009" max="11009" width="24.7265625" style="11" bestFit="1" customWidth="1"/>
    <col min="11010" max="11010" width="18.7265625" style="11" bestFit="1" customWidth="1"/>
    <col min="11011" max="11011" width="8.1796875" style="11" customWidth="1"/>
    <col min="11012" max="11013" width="8.26953125" style="11" customWidth="1"/>
    <col min="11014" max="11014" width="7.26953125" style="11" customWidth="1"/>
    <col min="11015" max="11015" width="17.1796875" style="11" customWidth="1"/>
    <col min="11016" max="11016" width="20.7265625" style="11" customWidth="1"/>
    <col min="11017" max="11017" width="20.81640625" style="11" customWidth="1"/>
    <col min="11018" max="11018" width="19.54296875" style="11" bestFit="1" customWidth="1"/>
    <col min="11019" max="11019" width="9.1796875" style="11"/>
    <col min="11020" max="11020" width="22.1796875" style="11" customWidth="1"/>
    <col min="11021" max="11021" width="13.26953125" style="11" customWidth="1"/>
    <col min="11022" max="11264" width="9.1796875" style="11"/>
    <col min="11265" max="11265" width="24.7265625" style="11" bestFit="1" customWidth="1"/>
    <col min="11266" max="11266" width="18.7265625" style="11" bestFit="1" customWidth="1"/>
    <col min="11267" max="11267" width="8.1796875" style="11" customWidth="1"/>
    <col min="11268" max="11269" width="8.26953125" style="11" customWidth="1"/>
    <col min="11270" max="11270" width="7.26953125" style="11" customWidth="1"/>
    <col min="11271" max="11271" width="17.1796875" style="11" customWidth="1"/>
    <col min="11272" max="11272" width="20.7265625" style="11" customWidth="1"/>
    <col min="11273" max="11273" width="20.81640625" style="11" customWidth="1"/>
    <col min="11274" max="11274" width="19.54296875" style="11" bestFit="1" customWidth="1"/>
    <col min="11275" max="11275" width="9.1796875" style="11"/>
    <col min="11276" max="11276" width="22.1796875" style="11" customWidth="1"/>
    <col min="11277" max="11277" width="13.26953125" style="11" customWidth="1"/>
    <col min="11278" max="11520" width="9.1796875" style="11"/>
    <col min="11521" max="11521" width="24.7265625" style="11" bestFit="1" customWidth="1"/>
    <col min="11522" max="11522" width="18.7265625" style="11" bestFit="1" customWidth="1"/>
    <col min="11523" max="11523" width="8.1796875" style="11" customWidth="1"/>
    <col min="11524" max="11525" width="8.26953125" style="11" customWidth="1"/>
    <col min="11526" max="11526" width="7.26953125" style="11" customWidth="1"/>
    <col min="11527" max="11527" width="17.1796875" style="11" customWidth="1"/>
    <col min="11528" max="11528" width="20.7265625" style="11" customWidth="1"/>
    <col min="11529" max="11529" width="20.81640625" style="11" customWidth="1"/>
    <col min="11530" max="11530" width="19.54296875" style="11" bestFit="1" customWidth="1"/>
    <col min="11531" max="11531" width="9.1796875" style="11"/>
    <col min="11532" max="11532" width="22.1796875" style="11" customWidth="1"/>
    <col min="11533" max="11533" width="13.26953125" style="11" customWidth="1"/>
    <col min="11534" max="11776" width="9.1796875" style="11"/>
    <col min="11777" max="11777" width="24.7265625" style="11" bestFit="1" customWidth="1"/>
    <col min="11778" max="11778" width="18.7265625" style="11" bestFit="1" customWidth="1"/>
    <col min="11779" max="11779" width="8.1796875" style="11" customWidth="1"/>
    <col min="11780" max="11781" width="8.26953125" style="11" customWidth="1"/>
    <col min="11782" max="11782" width="7.26953125" style="11" customWidth="1"/>
    <col min="11783" max="11783" width="17.1796875" style="11" customWidth="1"/>
    <col min="11784" max="11784" width="20.7265625" style="11" customWidth="1"/>
    <col min="11785" max="11785" width="20.81640625" style="11" customWidth="1"/>
    <col min="11786" max="11786" width="19.54296875" style="11" bestFit="1" customWidth="1"/>
    <col min="11787" max="11787" width="9.1796875" style="11"/>
    <col min="11788" max="11788" width="22.1796875" style="11" customWidth="1"/>
    <col min="11789" max="11789" width="13.26953125" style="11" customWidth="1"/>
    <col min="11790" max="12032" width="9.1796875" style="11"/>
    <col min="12033" max="12033" width="24.7265625" style="11" bestFit="1" customWidth="1"/>
    <col min="12034" max="12034" width="18.7265625" style="11" bestFit="1" customWidth="1"/>
    <col min="12035" max="12035" width="8.1796875" style="11" customWidth="1"/>
    <col min="12036" max="12037" width="8.26953125" style="11" customWidth="1"/>
    <col min="12038" max="12038" width="7.26953125" style="11" customWidth="1"/>
    <col min="12039" max="12039" width="17.1796875" style="11" customWidth="1"/>
    <col min="12040" max="12040" width="20.7265625" style="11" customWidth="1"/>
    <col min="12041" max="12041" width="20.81640625" style="11" customWidth="1"/>
    <col min="12042" max="12042" width="19.54296875" style="11" bestFit="1" customWidth="1"/>
    <col min="12043" max="12043" width="9.1796875" style="11"/>
    <col min="12044" max="12044" width="22.1796875" style="11" customWidth="1"/>
    <col min="12045" max="12045" width="13.26953125" style="11" customWidth="1"/>
    <col min="12046" max="12288" width="9.1796875" style="11"/>
    <col min="12289" max="12289" width="24.7265625" style="11" bestFit="1" customWidth="1"/>
    <col min="12290" max="12290" width="18.7265625" style="11" bestFit="1" customWidth="1"/>
    <col min="12291" max="12291" width="8.1796875" style="11" customWidth="1"/>
    <col min="12292" max="12293" width="8.26953125" style="11" customWidth="1"/>
    <col min="12294" max="12294" width="7.26953125" style="11" customWidth="1"/>
    <col min="12295" max="12295" width="17.1796875" style="11" customWidth="1"/>
    <col min="12296" max="12296" width="20.7265625" style="11" customWidth="1"/>
    <col min="12297" max="12297" width="20.81640625" style="11" customWidth="1"/>
    <col min="12298" max="12298" width="19.54296875" style="11" bestFit="1" customWidth="1"/>
    <col min="12299" max="12299" width="9.1796875" style="11"/>
    <col min="12300" max="12300" width="22.1796875" style="11" customWidth="1"/>
    <col min="12301" max="12301" width="13.26953125" style="11" customWidth="1"/>
    <col min="12302" max="12544" width="9.1796875" style="11"/>
    <col min="12545" max="12545" width="24.7265625" style="11" bestFit="1" customWidth="1"/>
    <col min="12546" max="12546" width="18.7265625" style="11" bestFit="1" customWidth="1"/>
    <col min="12547" max="12547" width="8.1796875" style="11" customWidth="1"/>
    <col min="12548" max="12549" width="8.26953125" style="11" customWidth="1"/>
    <col min="12550" max="12550" width="7.26953125" style="11" customWidth="1"/>
    <col min="12551" max="12551" width="17.1796875" style="11" customWidth="1"/>
    <col min="12552" max="12552" width="20.7265625" style="11" customWidth="1"/>
    <col min="12553" max="12553" width="20.81640625" style="11" customWidth="1"/>
    <col min="12554" max="12554" width="19.54296875" style="11" bestFit="1" customWidth="1"/>
    <col min="12555" max="12555" width="9.1796875" style="11"/>
    <col min="12556" max="12556" width="22.1796875" style="11" customWidth="1"/>
    <col min="12557" max="12557" width="13.26953125" style="11" customWidth="1"/>
    <col min="12558" max="12800" width="9.1796875" style="11"/>
    <col min="12801" max="12801" width="24.7265625" style="11" bestFit="1" customWidth="1"/>
    <col min="12802" max="12802" width="18.7265625" style="11" bestFit="1" customWidth="1"/>
    <col min="12803" max="12803" width="8.1796875" style="11" customWidth="1"/>
    <col min="12804" max="12805" width="8.26953125" style="11" customWidth="1"/>
    <col min="12806" max="12806" width="7.26953125" style="11" customWidth="1"/>
    <col min="12807" max="12807" width="17.1796875" style="11" customWidth="1"/>
    <col min="12808" max="12808" width="20.7265625" style="11" customWidth="1"/>
    <col min="12809" max="12809" width="20.81640625" style="11" customWidth="1"/>
    <col min="12810" max="12810" width="19.54296875" style="11" bestFit="1" customWidth="1"/>
    <col min="12811" max="12811" width="9.1796875" style="11"/>
    <col min="12812" max="12812" width="22.1796875" style="11" customWidth="1"/>
    <col min="12813" max="12813" width="13.26953125" style="11" customWidth="1"/>
    <col min="12814" max="13056" width="9.1796875" style="11"/>
    <col min="13057" max="13057" width="24.7265625" style="11" bestFit="1" customWidth="1"/>
    <col min="13058" max="13058" width="18.7265625" style="11" bestFit="1" customWidth="1"/>
    <col min="13059" max="13059" width="8.1796875" style="11" customWidth="1"/>
    <col min="13060" max="13061" width="8.26953125" style="11" customWidth="1"/>
    <col min="13062" max="13062" width="7.26953125" style="11" customWidth="1"/>
    <col min="13063" max="13063" width="17.1796875" style="11" customWidth="1"/>
    <col min="13064" max="13064" width="20.7265625" style="11" customWidth="1"/>
    <col min="13065" max="13065" width="20.81640625" style="11" customWidth="1"/>
    <col min="13066" max="13066" width="19.54296875" style="11" bestFit="1" customWidth="1"/>
    <col min="13067" max="13067" width="9.1796875" style="11"/>
    <col min="13068" max="13068" width="22.1796875" style="11" customWidth="1"/>
    <col min="13069" max="13069" width="13.26953125" style="11" customWidth="1"/>
    <col min="13070" max="13312" width="9.1796875" style="11"/>
    <col min="13313" max="13313" width="24.7265625" style="11" bestFit="1" customWidth="1"/>
    <col min="13314" max="13314" width="18.7265625" style="11" bestFit="1" customWidth="1"/>
    <col min="13315" max="13315" width="8.1796875" style="11" customWidth="1"/>
    <col min="13316" max="13317" width="8.26953125" style="11" customWidth="1"/>
    <col min="13318" max="13318" width="7.26953125" style="11" customWidth="1"/>
    <col min="13319" max="13319" width="17.1796875" style="11" customWidth="1"/>
    <col min="13320" max="13320" width="20.7265625" style="11" customWidth="1"/>
    <col min="13321" max="13321" width="20.81640625" style="11" customWidth="1"/>
    <col min="13322" max="13322" width="19.54296875" style="11" bestFit="1" customWidth="1"/>
    <col min="13323" max="13323" width="9.1796875" style="11"/>
    <col min="13324" max="13324" width="22.1796875" style="11" customWidth="1"/>
    <col min="13325" max="13325" width="13.26953125" style="11" customWidth="1"/>
    <col min="13326" max="13568" width="9.1796875" style="11"/>
    <col min="13569" max="13569" width="24.7265625" style="11" bestFit="1" customWidth="1"/>
    <col min="13570" max="13570" width="18.7265625" style="11" bestFit="1" customWidth="1"/>
    <col min="13571" max="13571" width="8.1796875" style="11" customWidth="1"/>
    <col min="13572" max="13573" width="8.26953125" style="11" customWidth="1"/>
    <col min="13574" max="13574" width="7.26953125" style="11" customWidth="1"/>
    <col min="13575" max="13575" width="17.1796875" style="11" customWidth="1"/>
    <col min="13576" max="13576" width="20.7265625" style="11" customWidth="1"/>
    <col min="13577" max="13577" width="20.81640625" style="11" customWidth="1"/>
    <col min="13578" max="13578" width="19.54296875" style="11" bestFit="1" customWidth="1"/>
    <col min="13579" max="13579" width="9.1796875" style="11"/>
    <col min="13580" max="13580" width="22.1796875" style="11" customWidth="1"/>
    <col min="13581" max="13581" width="13.26953125" style="11" customWidth="1"/>
    <col min="13582" max="13824" width="9.1796875" style="11"/>
    <col min="13825" max="13825" width="24.7265625" style="11" bestFit="1" customWidth="1"/>
    <col min="13826" max="13826" width="18.7265625" style="11" bestFit="1" customWidth="1"/>
    <col min="13827" max="13827" width="8.1796875" style="11" customWidth="1"/>
    <col min="13828" max="13829" width="8.26953125" style="11" customWidth="1"/>
    <col min="13830" max="13830" width="7.26953125" style="11" customWidth="1"/>
    <col min="13831" max="13831" width="17.1796875" style="11" customWidth="1"/>
    <col min="13832" max="13832" width="20.7265625" style="11" customWidth="1"/>
    <col min="13833" max="13833" width="20.81640625" style="11" customWidth="1"/>
    <col min="13834" max="13834" width="19.54296875" style="11" bestFit="1" customWidth="1"/>
    <col min="13835" max="13835" width="9.1796875" style="11"/>
    <col min="13836" max="13836" width="22.1796875" style="11" customWidth="1"/>
    <col min="13837" max="13837" width="13.26953125" style="11" customWidth="1"/>
    <col min="13838" max="14080" width="9.1796875" style="11"/>
    <col min="14081" max="14081" width="24.7265625" style="11" bestFit="1" customWidth="1"/>
    <col min="14082" max="14082" width="18.7265625" style="11" bestFit="1" customWidth="1"/>
    <col min="14083" max="14083" width="8.1796875" style="11" customWidth="1"/>
    <col min="14084" max="14085" width="8.26953125" style="11" customWidth="1"/>
    <col min="14086" max="14086" width="7.26953125" style="11" customWidth="1"/>
    <col min="14087" max="14087" width="17.1796875" style="11" customWidth="1"/>
    <col min="14088" max="14088" width="20.7265625" style="11" customWidth="1"/>
    <col min="14089" max="14089" width="20.81640625" style="11" customWidth="1"/>
    <col min="14090" max="14090" width="19.54296875" style="11" bestFit="1" customWidth="1"/>
    <col min="14091" max="14091" width="9.1796875" style="11"/>
    <col min="14092" max="14092" width="22.1796875" style="11" customWidth="1"/>
    <col min="14093" max="14093" width="13.26953125" style="11" customWidth="1"/>
    <col min="14094" max="14336" width="9.1796875" style="11"/>
    <col min="14337" max="14337" width="24.7265625" style="11" bestFit="1" customWidth="1"/>
    <col min="14338" max="14338" width="18.7265625" style="11" bestFit="1" customWidth="1"/>
    <col min="14339" max="14339" width="8.1796875" style="11" customWidth="1"/>
    <col min="14340" max="14341" width="8.26953125" style="11" customWidth="1"/>
    <col min="14342" max="14342" width="7.26953125" style="11" customWidth="1"/>
    <col min="14343" max="14343" width="17.1796875" style="11" customWidth="1"/>
    <col min="14344" max="14344" width="20.7265625" style="11" customWidth="1"/>
    <col min="14345" max="14345" width="20.81640625" style="11" customWidth="1"/>
    <col min="14346" max="14346" width="19.54296875" style="11" bestFit="1" customWidth="1"/>
    <col min="14347" max="14347" width="9.1796875" style="11"/>
    <col min="14348" max="14348" width="22.1796875" style="11" customWidth="1"/>
    <col min="14349" max="14349" width="13.26953125" style="11" customWidth="1"/>
    <col min="14350" max="14592" width="9.1796875" style="11"/>
    <col min="14593" max="14593" width="24.7265625" style="11" bestFit="1" customWidth="1"/>
    <col min="14594" max="14594" width="18.7265625" style="11" bestFit="1" customWidth="1"/>
    <col min="14595" max="14595" width="8.1796875" style="11" customWidth="1"/>
    <col min="14596" max="14597" width="8.26953125" style="11" customWidth="1"/>
    <col min="14598" max="14598" width="7.26953125" style="11" customWidth="1"/>
    <col min="14599" max="14599" width="17.1796875" style="11" customWidth="1"/>
    <col min="14600" max="14600" width="20.7265625" style="11" customWidth="1"/>
    <col min="14601" max="14601" width="20.81640625" style="11" customWidth="1"/>
    <col min="14602" max="14602" width="19.54296875" style="11" bestFit="1" customWidth="1"/>
    <col min="14603" max="14603" width="9.1796875" style="11"/>
    <col min="14604" max="14604" width="22.1796875" style="11" customWidth="1"/>
    <col min="14605" max="14605" width="13.26953125" style="11" customWidth="1"/>
    <col min="14606" max="14848" width="9.1796875" style="11"/>
    <col min="14849" max="14849" width="24.7265625" style="11" bestFit="1" customWidth="1"/>
    <col min="14850" max="14850" width="18.7265625" style="11" bestFit="1" customWidth="1"/>
    <col min="14851" max="14851" width="8.1796875" style="11" customWidth="1"/>
    <col min="14852" max="14853" width="8.26953125" style="11" customWidth="1"/>
    <col min="14854" max="14854" width="7.26953125" style="11" customWidth="1"/>
    <col min="14855" max="14855" width="17.1796875" style="11" customWidth="1"/>
    <col min="14856" max="14856" width="20.7265625" style="11" customWidth="1"/>
    <col min="14857" max="14857" width="20.81640625" style="11" customWidth="1"/>
    <col min="14858" max="14858" width="19.54296875" style="11" bestFit="1" customWidth="1"/>
    <col min="14859" max="14859" width="9.1796875" style="11"/>
    <col min="14860" max="14860" width="22.1796875" style="11" customWidth="1"/>
    <col min="14861" max="14861" width="13.26953125" style="11" customWidth="1"/>
    <col min="14862" max="15104" width="9.1796875" style="11"/>
    <col min="15105" max="15105" width="24.7265625" style="11" bestFit="1" customWidth="1"/>
    <col min="15106" max="15106" width="18.7265625" style="11" bestFit="1" customWidth="1"/>
    <col min="15107" max="15107" width="8.1796875" style="11" customWidth="1"/>
    <col min="15108" max="15109" width="8.26953125" style="11" customWidth="1"/>
    <col min="15110" max="15110" width="7.26953125" style="11" customWidth="1"/>
    <col min="15111" max="15111" width="17.1796875" style="11" customWidth="1"/>
    <col min="15112" max="15112" width="20.7265625" style="11" customWidth="1"/>
    <col min="15113" max="15113" width="20.81640625" style="11" customWidth="1"/>
    <col min="15114" max="15114" width="19.54296875" style="11" bestFit="1" customWidth="1"/>
    <col min="15115" max="15115" width="9.1796875" style="11"/>
    <col min="15116" max="15116" width="22.1796875" style="11" customWidth="1"/>
    <col min="15117" max="15117" width="13.26953125" style="11" customWidth="1"/>
    <col min="15118" max="15360" width="9.1796875" style="11"/>
    <col min="15361" max="15361" width="24.7265625" style="11" bestFit="1" customWidth="1"/>
    <col min="15362" max="15362" width="18.7265625" style="11" bestFit="1" customWidth="1"/>
    <col min="15363" max="15363" width="8.1796875" style="11" customWidth="1"/>
    <col min="15364" max="15365" width="8.26953125" style="11" customWidth="1"/>
    <col min="15366" max="15366" width="7.26953125" style="11" customWidth="1"/>
    <col min="15367" max="15367" width="17.1796875" style="11" customWidth="1"/>
    <col min="15368" max="15368" width="20.7265625" style="11" customWidth="1"/>
    <col min="15369" max="15369" width="20.81640625" style="11" customWidth="1"/>
    <col min="15370" max="15370" width="19.54296875" style="11" bestFit="1" customWidth="1"/>
    <col min="15371" max="15371" width="9.1796875" style="11"/>
    <col min="15372" max="15372" width="22.1796875" style="11" customWidth="1"/>
    <col min="15373" max="15373" width="13.26953125" style="11" customWidth="1"/>
    <col min="15374" max="15616" width="9.1796875" style="11"/>
    <col min="15617" max="15617" width="24.7265625" style="11" bestFit="1" customWidth="1"/>
    <col min="15618" max="15618" width="18.7265625" style="11" bestFit="1" customWidth="1"/>
    <col min="15619" max="15619" width="8.1796875" style="11" customWidth="1"/>
    <col min="15620" max="15621" width="8.26953125" style="11" customWidth="1"/>
    <col min="15622" max="15622" width="7.26953125" style="11" customWidth="1"/>
    <col min="15623" max="15623" width="17.1796875" style="11" customWidth="1"/>
    <col min="15624" max="15624" width="20.7265625" style="11" customWidth="1"/>
    <col min="15625" max="15625" width="20.81640625" style="11" customWidth="1"/>
    <col min="15626" max="15626" width="19.54296875" style="11" bestFit="1" customWidth="1"/>
    <col min="15627" max="15627" width="9.1796875" style="11"/>
    <col min="15628" max="15628" width="22.1796875" style="11" customWidth="1"/>
    <col min="15629" max="15629" width="13.26953125" style="11" customWidth="1"/>
    <col min="15630" max="15872" width="9.1796875" style="11"/>
    <col min="15873" max="15873" width="24.7265625" style="11" bestFit="1" customWidth="1"/>
    <col min="15874" max="15874" width="18.7265625" style="11" bestFit="1" customWidth="1"/>
    <col min="15875" max="15875" width="8.1796875" style="11" customWidth="1"/>
    <col min="15876" max="15877" width="8.26953125" style="11" customWidth="1"/>
    <col min="15878" max="15878" width="7.26953125" style="11" customWidth="1"/>
    <col min="15879" max="15879" width="17.1796875" style="11" customWidth="1"/>
    <col min="15880" max="15880" width="20.7265625" style="11" customWidth="1"/>
    <col min="15881" max="15881" width="20.81640625" style="11" customWidth="1"/>
    <col min="15882" max="15882" width="19.54296875" style="11" bestFit="1" customWidth="1"/>
    <col min="15883" max="15883" width="9.1796875" style="11"/>
    <col min="15884" max="15884" width="22.1796875" style="11" customWidth="1"/>
    <col min="15885" max="15885" width="13.26953125" style="11" customWidth="1"/>
    <col min="15886" max="16128" width="9.1796875" style="11"/>
    <col min="16129" max="16129" width="24.7265625" style="11" bestFit="1" customWidth="1"/>
    <col min="16130" max="16130" width="18.7265625" style="11" bestFit="1" customWidth="1"/>
    <col min="16131" max="16131" width="8.1796875" style="11" customWidth="1"/>
    <col min="16132" max="16133" width="8.26953125" style="11" customWidth="1"/>
    <col min="16134" max="16134" width="7.26953125" style="11" customWidth="1"/>
    <col min="16135" max="16135" width="17.1796875" style="11" customWidth="1"/>
    <col min="16136" max="16136" width="20.7265625" style="11" customWidth="1"/>
    <col min="16137" max="16137" width="20.81640625" style="11" customWidth="1"/>
    <col min="16138" max="16138" width="19.54296875" style="11" bestFit="1" customWidth="1"/>
    <col min="16139" max="16139" width="9.1796875" style="11"/>
    <col min="16140" max="16140" width="22.1796875" style="11" customWidth="1"/>
    <col min="16141" max="16141" width="13.26953125" style="11" customWidth="1"/>
    <col min="16142" max="16384" width="9.1796875" style="11"/>
  </cols>
  <sheetData>
    <row r="1" spans="1:14" s="5" customFormat="1" ht="57.75" customHeight="1">
      <c r="A1" s="1" t="s">
        <v>0</v>
      </c>
      <c r="B1" s="2" t="s">
        <v>1</v>
      </c>
      <c r="C1" s="2" t="s">
        <v>2</v>
      </c>
      <c r="D1" s="2" t="s">
        <v>3</v>
      </c>
      <c r="E1" s="2" t="s">
        <v>4</v>
      </c>
      <c r="F1" s="2" t="s">
        <v>5</v>
      </c>
      <c r="G1" s="2" t="s">
        <v>6</v>
      </c>
      <c r="H1" s="2" t="s">
        <v>7</v>
      </c>
      <c r="I1" s="2" t="s">
        <v>8</v>
      </c>
      <c r="J1" s="2" t="s">
        <v>286</v>
      </c>
      <c r="K1" s="2" t="s">
        <v>10</v>
      </c>
      <c r="L1" s="55" t="s">
        <v>11</v>
      </c>
      <c r="M1" s="56" t="s">
        <v>12</v>
      </c>
      <c r="N1" s="57" t="s">
        <v>287</v>
      </c>
    </row>
    <row r="2" spans="1:14" ht="10.5">
      <c r="A2" s="6" t="s">
        <v>288</v>
      </c>
      <c r="B2" s="7" t="s">
        <v>14</v>
      </c>
      <c r="C2" s="7" t="s">
        <v>15</v>
      </c>
      <c r="D2" s="7">
        <v>1</v>
      </c>
      <c r="E2" s="7">
        <f>E8</f>
        <v>50</v>
      </c>
      <c r="F2" s="7">
        <f>E2</f>
        <v>50</v>
      </c>
      <c r="G2" s="58" t="s">
        <v>289</v>
      </c>
      <c r="H2" s="9"/>
      <c r="I2" s="9"/>
      <c r="J2" s="7"/>
      <c r="K2" s="7"/>
      <c r="L2" s="59"/>
      <c r="M2" s="60" t="s">
        <v>290</v>
      </c>
      <c r="N2" s="61"/>
    </row>
    <row r="3" spans="1:14" ht="12.5">
      <c r="A3" s="12" t="s">
        <v>17</v>
      </c>
      <c r="B3" s="62" t="s">
        <v>18</v>
      </c>
      <c r="C3" s="14">
        <v>1</v>
      </c>
      <c r="D3" s="14">
        <v>1</v>
      </c>
      <c r="E3" s="14">
        <f t="shared" ref="E3:E8" si="0">D3+F3-1</f>
        <v>1</v>
      </c>
      <c r="F3" s="14">
        <v>1</v>
      </c>
      <c r="G3" s="16" t="s">
        <v>19</v>
      </c>
      <c r="H3" s="16"/>
      <c r="I3" s="16"/>
      <c r="J3" s="14"/>
      <c r="K3" s="14"/>
      <c r="L3" s="63"/>
      <c r="M3" s="60" t="s">
        <v>290</v>
      </c>
      <c r="N3" s="61"/>
    </row>
    <row r="4" spans="1:14" s="23" customFormat="1" ht="12.5">
      <c r="A4" s="64" t="s">
        <v>21</v>
      </c>
      <c r="B4" s="65" t="s">
        <v>22</v>
      </c>
      <c r="C4" s="14">
        <v>2</v>
      </c>
      <c r="D4" s="14">
        <f>E3+1</f>
        <v>2</v>
      </c>
      <c r="E4" s="14">
        <f t="shared" si="0"/>
        <v>16</v>
      </c>
      <c r="F4" s="19">
        <v>15</v>
      </c>
      <c r="G4" s="20" t="s">
        <v>291</v>
      </c>
      <c r="H4" s="66"/>
      <c r="I4" s="66"/>
      <c r="J4" s="19"/>
      <c r="K4" s="19"/>
      <c r="L4" s="19"/>
      <c r="M4" s="21"/>
      <c r="N4" s="22"/>
    </row>
    <row r="5" spans="1:14" s="23" customFormat="1" ht="12.5">
      <c r="A5" s="64" t="s">
        <v>24</v>
      </c>
      <c r="B5" s="65" t="s">
        <v>25</v>
      </c>
      <c r="C5" s="14">
        <v>3</v>
      </c>
      <c r="D5" s="14">
        <f>E4+1</f>
        <v>17</v>
      </c>
      <c r="E5" s="14">
        <f t="shared" si="0"/>
        <v>26</v>
      </c>
      <c r="F5" s="19">
        <v>10</v>
      </c>
      <c r="G5" s="20" t="s">
        <v>26</v>
      </c>
      <c r="H5" s="66"/>
      <c r="I5" s="66"/>
      <c r="J5" s="19"/>
      <c r="K5" s="19"/>
      <c r="L5" s="19"/>
      <c r="M5" s="21"/>
      <c r="N5" s="22"/>
    </row>
    <row r="6" spans="1:14" ht="12.5">
      <c r="A6" s="12" t="s">
        <v>215</v>
      </c>
      <c r="B6" s="62" t="s">
        <v>216</v>
      </c>
      <c r="C6" s="14">
        <v>4</v>
      </c>
      <c r="D6" s="14">
        <f>E5+1</f>
        <v>27</v>
      </c>
      <c r="E6" s="14">
        <f t="shared" si="0"/>
        <v>34</v>
      </c>
      <c r="F6" s="14">
        <v>8</v>
      </c>
      <c r="G6" s="67" t="s">
        <v>292</v>
      </c>
      <c r="H6" s="26"/>
      <c r="I6" s="26"/>
      <c r="J6" s="14"/>
      <c r="K6" s="14"/>
      <c r="L6" s="63"/>
      <c r="M6" s="60" t="s">
        <v>290</v>
      </c>
      <c r="N6" s="61"/>
    </row>
    <row r="7" spans="1:14" ht="12.5">
      <c r="A7" s="12" t="s">
        <v>30</v>
      </c>
      <c r="B7" s="62" t="s">
        <v>22</v>
      </c>
      <c r="C7" s="14">
        <v>5</v>
      </c>
      <c r="D7" s="14">
        <f>E6+1</f>
        <v>35</v>
      </c>
      <c r="E7" s="14">
        <f t="shared" si="0"/>
        <v>49</v>
      </c>
      <c r="F7" s="14">
        <v>15</v>
      </c>
      <c r="G7" s="26" t="s">
        <v>293</v>
      </c>
      <c r="H7" s="26"/>
      <c r="I7" s="26"/>
      <c r="J7" s="14"/>
      <c r="K7" s="14"/>
      <c r="L7" s="63"/>
      <c r="M7" s="60" t="s">
        <v>290</v>
      </c>
      <c r="N7" s="61"/>
    </row>
    <row r="8" spans="1:14">
      <c r="A8" s="42" t="s">
        <v>33</v>
      </c>
      <c r="B8" s="14" t="s">
        <v>294</v>
      </c>
      <c r="C8" s="14">
        <v>6</v>
      </c>
      <c r="D8" s="14">
        <f>E7+1</f>
        <v>50</v>
      </c>
      <c r="E8" s="14">
        <f t="shared" si="0"/>
        <v>50</v>
      </c>
      <c r="F8" s="14">
        <v>1</v>
      </c>
      <c r="G8" s="20" t="s">
        <v>295</v>
      </c>
      <c r="H8" s="16"/>
      <c r="I8" s="16"/>
      <c r="J8" s="14"/>
      <c r="K8" s="14"/>
      <c r="L8" s="63"/>
      <c r="M8" s="60" t="s">
        <v>290</v>
      </c>
      <c r="N8" s="61"/>
    </row>
    <row r="9" spans="1:14" ht="10.5">
      <c r="A9" s="6" t="s">
        <v>296</v>
      </c>
      <c r="B9" s="7" t="s">
        <v>14</v>
      </c>
      <c r="C9" s="27"/>
      <c r="D9" s="7">
        <v>1</v>
      </c>
      <c r="E9" s="7">
        <f>E67</f>
        <v>494</v>
      </c>
      <c r="F9" s="7">
        <f>E9</f>
        <v>494</v>
      </c>
      <c r="G9" s="29"/>
      <c r="H9" s="29"/>
      <c r="I9" s="29"/>
      <c r="J9" s="7"/>
      <c r="K9" s="7"/>
      <c r="L9" s="59"/>
      <c r="M9" s="60" t="s">
        <v>290</v>
      </c>
      <c r="N9" s="61"/>
    </row>
    <row r="10" spans="1:14" ht="12.5">
      <c r="A10" s="30" t="s">
        <v>37</v>
      </c>
      <c r="B10" s="62" t="s">
        <v>18</v>
      </c>
      <c r="C10" s="14">
        <v>7</v>
      </c>
      <c r="D10" s="31">
        <v>1</v>
      </c>
      <c r="E10" s="14">
        <f>D10+F10-1</f>
        <v>1</v>
      </c>
      <c r="F10" s="31">
        <v>1</v>
      </c>
      <c r="G10" s="16" t="s">
        <v>38</v>
      </c>
      <c r="H10" s="16" t="s">
        <v>297</v>
      </c>
      <c r="I10" s="16"/>
      <c r="J10" s="31"/>
      <c r="K10" s="31"/>
      <c r="L10" s="68"/>
      <c r="M10" s="60" t="s">
        <v>298</v>
      </c>
      <c r="N10" s="61"/>
    </row>
    <row r="11" spans="1:14" ht="15.75" customHeight="1">
      <c r="A11" s="69" t="s">
        <v>299</v>
      </c>
      <c r="B11" s="70" t="s">
        <v>300</v>
      </c>
      <c r="C11" s="14">
        <v>8</v>
      </c>
      <c r="D11" s="14">
        <f t="shared" ref="D11:D67" si="1">E10+1</f>
        <v>2</v>
      </c>
      <c r="E11" s="14">
        <f>D11+F11-1</f>
        <v>16</v>
      </c>
      <c r="F11" s="14">
        <v>15</v>
      </c>
      <c r="G11" s="15" t="s">
        <v>301</v>
      </c>
      <c r="H11" s="16" t="s">
        <v>297</v>
      </c>
      <c r="I11" s="16" t="s">
        <v>302</v>
      </c>
      <c r="J11" s="71" t="s">
        <v>303</v>
      </c>
      <c r="K11" s="14" t="s">
        <v>304</v>
      </c>
      <c r="L11" s="72" t="s">
        <v>305</v>
      </c>
      <c r="M11" s="60" t="s">
        <v>290</v>
      </c>
      <c r="N11" s="61" t="s">
        <v>306</v>
      </c>
    </row>
    <row r="12" spans="1:14" ht="15.75" customHeight="1">
      <c r="A12" s="33" t="s">
        <v>307</v>
      </c>
      <c r="B12" s="70" t="s">
        <v>83</v>
      </c>
      <c r="C12" s="14">
        <v>9</v>
      </c>
      <c r="D12" s="14">
        <f t="shared" si="1"/>
        <v>17</v>
      </c>
      <c r="E12" s="14">
        <f t="shared" ref="E12:E67" si="2">D12+F12-1</f>
        <v>19</v>
      </c>
      <c r="F12" s="14">
        <v>3</v>
      </c>
      <c r="G12" s="15" t="s">
        <v>308</v>
      </c>
      <c r="H12" s="16" t="s">
        <v>297</v>
      </c>
      <c r="I12" s="16" t="s">
        <v>309</v>
      </c>
      <c r="J12" s="71" t="s">
        <v>310</v>
      </c>
      <c r="K12" s="14" t="s">
        <v>311</v>
      </c>
      <c r="L12" s="72" t="s">
        <v>312</v>
      </c>
      <c r="M12" s="60" t="s">
        <v>290</v>
      </c>
      <c r="N12" s="61" t="s">
        <v>313</v>
      </c>
    </row>
    <row r="13" spans="1:14" ht="14.25" customHeight="1">
      <c r="A13" s="33" t="s">
        <v>314</v>
      </c>
      <c r="B13" s="70" t="s">
        <v>83</v>
      </c>
      <c r="C13" s="14">
        <v>10</v>
      </c>
      <c r="D13" s="14">
        <f t="shared" si="1"/>
        <v>20</v>
      </c>
      <c r="E13" s="14">
        <f t="shared" si="2"/>
        <v>22</v>
      </c>
      <c r="F13" s="14">
        <v>3</v>
      </c>
      <c r="G13" s="73" t="s">
        <v>315</v>
      </c>
      <c r="H13" s="16" t="s">
        <v>297</v>
      </c>
      <c r="I13" s="16" t="s">
        <v>302</v>
      </c>
      <c r="J13" s="33" t="s">
        <v>316</v>
      </c>
      <c r="K13" s="14" t="s">
        <v>304</v>
      </c>
      <c r="L13" s="36" t="s">
        <v>317</v>
      </c>
      <c r="M13" s="60" t="s">
        <v>290</v>
      </c>
      <c r="N13" s="61" t="s">
        <v>313</v>
      </c>
    </row>
    <row r="14" spans="1:14" ht="21">
      <c r="A14" s="33" t="s">
        <v>318</v>
      </c>
      <c r="B14" s="70" t="s">
        <v>34</v>
      </c>
      <c r="C14" s="14">
        <v>11</v>
      </c>
      <c r="D14" s="14">
        <f t="shared" si="1"/>
        <v>23</v>
      </c>
      <c r="E14" s="14">
        <f t="shared" si="2"/>
        <v>23</v>
      </c>
      <c r="F14" s="14">
        <v>1</v>
      </c>
      <c r="G14" s="74" t="s">
        <v>319</v>
      </c>
      <c r="H14" s="16" t="s">
        <v>297</v>
      </c>
      <c r="I14" s="16" t="s">
        <v>302</v>
      </c>
      <c r="J14" s="33" t="s">
        <v>320</v>
      </c>
      <c r="K14" s="14" t="s">
        <v>304</v>
      </c>
      <c r="L14" s="36" t="s">
        <v>321</v>
      </c>
      <c r="M14" s="60" t="s">
        <v>290</v>
      </c>
      <c r="N14" s="61" t="s">
        <v>313</v>
      </c>
    </row>
    <row r="15" spans="1:14" ht="10.5">
      <c r="A15" s="33" t="s">
        <v>322</v>
      </c>
      <c r="B15" s="70" t="s">
        <v>300</v>
      </c>
      <c r="C15" s="14">
        <v>12</v>
      </c>
      <c r="D15" s="14">
        <f t="shared" si="1"/>
        <v>24</v>
      </c>
      <c r="E15" s="14">
        <f t="shared" si="2"/>
        <v>38</v>
      </c>
      <c r="F15" s="14">
        <v>15</v>
      </c>
      <c r="G15" s="74" t="s">
        <v>323</v>
      </c>
      <c r="H15" s="16" t="s">
        <v>297</v>
      </c>
      <c r="I15" s="16" t="s">
        <v>302</v>
      </c>
      <c r="J15" s="33" t="s">
        <v>324</v>
      </c>
      <c r="K15" s="14" t="s">
        <v>304</v>
      </c>
      <c r="L15" s="36" t="s">
        <v>325</v>
      </c>
      <c r="M15" s="60" t="s">
        <v>290</v>
      </c>
      <c r="N15" s="61" t="s">
        <v>313</v>
      </c>
    </row>
    <row r="16" spans="1:14" ht="14.25" customHeight="1">
      <c r="A16" s="33" t="s">
        <v>326</v>
      </c>
      <c r="B16" s="70" t="s">
        <v>239</v>
      </c>
      <c r="C16" s="14">
        <v>13</v>
      </c>
      <c r="D16" s="14">
        <f t="shared" si="1"/>
        <v>39</v>
      </c>
      <c r="E16" s="14">
        <f t="shared" si="2"/>
        <v>40</v>
      </c>
      <c r="F16" s="14">
        <v>2</v>
      </c>
      <c r="G16" s="74"/>
      <c r="H16" s="16" t="s">
        <v>297</v>
      </c>
      <c r="I16" s="16" t="s">
        <v>302</v>
      </c>
      <c r="J16" s="33" t="s">
        <v>327</v>
      </c>
      <c r="K16" s="14" t="s">
        <v>304</v>
      </c>
      <c r="L16" s="36" t="s">
        <v>328</v>
      </c>
      <c r="M16" s="60" t="s">
        <v>290</v>
      </c>
      <c r="N16" s="61" t="s">
        <v>313</v>
      </c>
    </row>
    <row r="17" spans="1:14" ht="20">
      <c r="A17" s="33" t="s">
        <v>329</v>
      </c>
      <c r="B17" s="70" t="s">
        <v>239</v>
      </c>
      <c r="C17" s="14">
        <v>14</v>
      </c>
      <c r="D17" s="14">
        <f t="shared" si="1"/>
        <v>41</v>
      </c>
      <c r="E17" s="14">
        <f t="shared" si="2"/>
        <v>41</v>
      </c>
      <c r="F17" s="14">
        <v>1</v>
      </c>
      <c r="G17" s="16" t="s">
        <v>330</v>
      </c>
      <c r="H17" s="16" t="s">
        <v>297</v>
      </c>
      <c r="I17" s="16" t="s">
        <v>302</v>
      </c>
      <c r="J17" s="33" t="s">
        <v>331</v>
      </c>
      <c r="K17" s="14" t="s">
        <v>304</v>
      </c>
      <c r="L17" s="36" t="s">
        <v>332</v>
      </c>
      <c r="M17" s="60" t="s">
        <v>290</v>
      </c>
      <c r="N17" s="61" t="s">
        <v>306</v>
      </c>
    </row>
    <row r="18" spans="1:14" ht="14.25" customHeight="1">
      <c r="A18" s="33" t="s">
        <v>333</v>
      </c>
      <c r="B18" s="70" t="s">
        <v>334</v>
      </c>
      <c r="C18" s="14">
        <v>15</v>
      </c>
      <c r="D18" s="14">
        <f t="shared" si="1"/>
        <v>42</v>
      </c>
      <c r="E18" s="14">
        <f t="shared" si="2"/>
        <v>42</v>
      </c>
      <c r="F18" s="14">
        <v>1</v>
      </c>
      <c r="G18" s="74" t="s">
        <v>335</v>
      </c>
      <c r="H18" s="16" t="s">
        <v>297</v>
      </c>
      <c r="I18" s="16" t="s">
        <v>302</v>
      </c>
      <c r="J18" s="33" t="s">
        <v>336</v>
      </c>
      <c r="K18" s="14" t="s">
        <v>304</v>
      </c>
      <c r="L18" s="36" t="s">
        <v>337</v>
      </c>
      <c r="M18" s="60" t="s">
        <v>290</v>
      </c>
      <c r="N18" s="61" t="s">
        <v>306</v>
      </c>
    </row>
    <row r="19" spans="1:14" ht="40">
      <c r="A19" s="33" t="s">
        <v>338</v>
      </c>
      <c r="B19" s="70" t="s">
        <v>222</v>
      </c>
      <c r="C19" s="14">
        <v>16</v>
      </c>
      <c r="D19" s="14">
        <f t="shared" si="1"/>
        <v>43</v>
      </c>
      <c r="E19" s="14">
        <f t="shared" si="2"/>
        <v>46</v>
      </c>
      <c r="F19" s="14">
        <v>4</v>
      </c>
      <c r="G19" s="75" t="s">
        <v>339</v>
      </c>
      <c r="H19" s="16" t="s">
        <v>297</v>
      </c>
      <c r="I19" s="16" t="s">
        <v>302</v>
      </c>
      <c r="J19" s="76"/>
      <c r="K19" s="14" t="s">
        <v>304</v>
      </c>
      <c r="L19" s="36" t="s">
        <v>340</v>
      </c>
      <c r="M19" s="60" t="s">
        <v>290</v>
      </c>
      <c r="N19" s="61" t="s">
        <v>313</v>
      </c>
    </row>
    <row r="20" spans="1:14" ht="14.25" customHeight="1">
      <c r="A20" s="33" t="s">
        <v>341</v>
      </c>
      <c r="B20" s="70" t="s">
        <v>28</v>
      </c>
      <c r="C20" s="14">
        <v>17</v>
      </c>
      <c r="D20" s="14">
        <f t="shared" si="1"/>
        <v>47</v>
      </c>
      <c r="E20" s="14">
        <f t="shared" si="2"/>
        <v>54</v>
      </c>
      <c r="F20" s="14">
        <v>8</v>
      </c>
      <c r="G20" s="74"/>
      <c r="H20" s="16" t="s">
        <v>297</v>
      </c>
      <c r="I20" s="16" t="s">
        <v>302</v>
      </c>
      <c r="J20" s="33" t="s">
        <v>342</v>
      </c>
      <c r="K20" s="14" t="s">
        <v>304</v>
      </c>
      <c r="L20" s="36" t="s">
        <v>343</v>
      </c>
      <c r="M20" s="60" t="s">
        <v>290</v>
      </c>
      <c r="N20" s="61" t="s">
        <v>313</v>
      </c>
    </row>
    <row r="21" spans="1:14" ht="14.25" customHeight="1">
      <c r="A21" s="33" t="s">
        <v>344</v>
      </c>
      <c r="B21" s="70" t="s">
        <v>239</v>
      </c>
      <c r="C21" s="14">
        <v>18</v>
      </c>
      <c r="D21" s="14">
        <f t="shared" si="1"/>
        <v>55</v>
      </c>
      <c r="E21" s="14">
        <f t="shared" si="2"/>
        <v>56</v>
      </c>
      <c r="F21" s="14">
        <v>2</v>
      </c>
      <c r="G21" s="74"/>
      <c r="H21" s="16" t="s">
        <v>297</v>
      </c>
      <c r="I21" s="16" t="s">
        <v>302</v>
      </c>
      <c r="J21" s="33" t="s">
        <v>345</v>
      </c>
      <c r="K21" s="14" t="s">
        <v>304</v>
      </c>
      <c r="L21" s="36" t="s">
        <v>346</v>
      </c>
      <c r="M21" s="60" t="s">
        <v>290</v>
      </c>
      <c r="N21" s="61" t="s">
        <v>306</v>
      </c>
    </row>
    <row r="22" spans="1:14" ht="14.25" customHeight="1">
      <c r="A22" s="33" t="s">
        <v>347</v>
      </c>
      <c r="B22" s="70" t="s">
        <v>348</v>
      </c>
      <c r="C22" s="14">
        <v>19</v>
      </c>
      <c r="D22" s="14">
        <f t="shared" si="1"/>
        <v>57</v>
      </c>
      <c r="E22" s="14">
        <f t="shared" si="2"/>
        <v>70</v>
      </c>
      <c r="F22" s="14">
        <v>14</v>
      </c>
      <c r="G22" s="74"/>
      <c r="H22" s="16" t="s">
        <v>297</v>
      </c>
      <c r="I22" s="16" t="s">
        <v>302</v>
      </c>
      <c r="J22" s="33" t="s">
        <v>349</v>
      </c>
      <c r="K22" s="14" t="s">
        <v>304</v>
      </c>
      <c r="L22" s="36" t="s">
        <v>350</v>
      </c>
      <c r="M22" s="60" t="s">
        <v>290</v>
      </c>
      <c r="N22" s="61" t="s">
        <v>313</v>
      </c>
    </row>
    <row r="23" spans="1:14" ht="11.5">
      <c r="A23" s="33" t="s">
        <v>351</v>
      </c>
      <c r="B23" s="70" t="s">
        <v>352</v>
      </c>
      <c r="C23" s="14">
        <v>20</v>
      </c>
      <c r="D23" s="14">
        <f t="shared" si="1"/>
        <v>71</v>
      </c>
      <c r="E23" s="14">
        <f t="shared" si="2"/>
        <v>78</v>
      </c>
      <c r="F23" s="14">
        <v>8</v>
      </c>
      <c r="G23" s="16" t="s">
        <v>353</v>
      </c>
      <c r="H23" s="16" t="s">
        <v>297</v>
      </c>
      <c r="I23" s="16" t="s">
        <v>302</v>
      </c>
      <c r="J23" s="76"/>
      <c r="K23" s="14" t="s">
        <v>304</v>
      </c>
      <c r="L23" s="36" t="s">
        <v>354</v>
      </c>
      <c r="M23" s="60" t="s">
        <v>290</v>
      </c>
      <c r="N23" s="61" t="s">
        <v>306</v>
      </c>
    </row>
    <row r="24" spans="1:14" ht="14.25" customHeight="1">
      <c r="A24" s="33" t="s">
        <v>355</v>
      </c>
      <c r="B24" s="70" t="s">
        <v>348</v>
      </c>
      <c r="C24" s="14">
        <v>21</v>
      </c>
      <c r="D24" s="14">
        <f t="shared" si="1"/>
        <v>79</v>
      </c>
      <c r="E24" s="14">
        <f t="shared" si="2"/>
        <v>92</v>
      </c>
      <c r="F24" s="14">
        <v>14</v>
      </c>
      <c r="G24" s="74"/>
      <c r="H24" s="16" t="s">
        <v>297</v>
      </c>
      <c r="I24" s="16" t="s">
        <v>302</v>
      </c>
      <c r="J24" s="33" t="s">
        <v>356</v>
      </c>
      <c r="K24" s="14" t="s">
        <v>304</v>
      </c>
      <c r="L24" s="36" t="s">
        <v>357</v>
      </c>
      <c r="M24" s="60" t="s">
        <v>290</v>
      </c>
      <c r="N24" s="61" t="s">
        <v>313</v>
      </c>
    </row>
    <row r="25" spans="1:14" ht="14.25" customHeight="1">
      <c r="A25" s="33" t="s">
        <v>358</v>
      </c>
      <c r="B25" s="70" t="s">
        <v>359</v>
      </c>
      <c r="C25" s="14">
        <v>22</v>
      </c>
      <c r="D25" s="14">
        <f t="shared" si="1"/>
        <v>93</v>
      </c>
      <c r="E25" s="14">
        <f t="shared" si="2"/>
        <v>103</v>
      </c>
      <c r="F25" s="14">
        <v>11</v>
      </c>
      <c r="G25" s="74"/>
      <c r="H25" s="16" t="s">
        <v>297</v>
      </c>
      <c r="I25" s="16" t="s">
        <v>302</v>
      </c>
      <c r="J25" s="33" t="s">
        <v>360</v>
      </c>
      <c r="K25" s="14" t="s">
        <v>304</v>
      </c>
      <c r="L25" s="36" t="s">
        <v>361</v>
      </c>
      <c r="M25" s="60" t="s">
        <v>290</v>
      </c>
      <c r="N25" s="61" t="s">
        <v>313</v>
      </c>
    </row>
    <row r="26" spans="1:14" ht="14.25" customHeight="1">
      <c r="A26" s="33" t="s">
        <v>362</v>
      </c>
      <c r="B26" s="70" t="s">
        <v>348</v>
      </c>
      <c r="C26" s="14">
        <v>23</v>
      </c>
      <c r="D26" s="14">
        <f t="shared" si="1"/>
        <v>104</v>
      </c>
      <c r="E26" s="14">
        <f t="shared" si="2"/>
        <v>117</v>
      </c>
      <c r="F26" s="14">
        <v>14</v>
      </c>
      <c r="G26" s="74"/>
      <c r="H26" s="16" t="s">
        <v>297</v>
      </c>
      <c r="I26" s="16" t="s">
        <v>302</v>
      </c>
      <c r="J26" s="33" t="s">
        <v>363</v>
      </c>
      <c r="K26" s="14" t="s">
        <v>304</v>
      </c>
      <c r="L26" s="36" t="s">
        <v>364</v>
      </c>
      <c r="M26" s="60" t="s">
        <v>290</v>
      </c>
      <c r="N26" s="61" t="s">
        <v>313</v>
      </c>
    </row>
    <row r="27" spans="1:14" ht="14.25" customHeight="1">
      <c r="A27" s="33" t="s">
        <v>365</v>
      </c>
      <c r="B27" s="70" t="s">
        <v>366</v>
      </c>
      <c r="C27" s="14">
        <v>24</v>
      </c>
      <c r="D27" s="14">
        <f t="shared" si="1"/>
        <v>118</v>
      </c>
      <c r="E27" s="14">
        <f t="shared" si="2"/>
        <v>129</v>
      </c>
      <c r="F27" s="14">
        <v>12</v>
      </c>
      <c r="G27" s="74"/>
      <c r="H27" s="16" t="s">
        <v>297</v>
      </c>
      <c r="I27" s="16" t="s">
        <v>302</v>
      </c>
      <c r="J27" s="33" t="s">
        <v>367</v>
      </c>
      <c r="K27" s="14" t="s">
        <v>304</v>
      </c>
      <c r="L27" s="36" t="s">
        <v>368</v>
      </c>
      <c r="M27" s="60" t="s">
        <v>290</v>
      </c>
      <c r="N27" s="61" t="s">
        <v>306</v>
      </c>
    </row>
    <row r="28" spans="1:14" ht="14.25" customHeight="1">
      <c r="A28" s="33" t="s">
        <v>369</v>
      </c>
      <c r="B28" s="70" t="s">
        <v>348</v>
      </c>
      <c r="C28" s="14">
        <v>25</v>
      </c>
      <c r="D28" s="14">
        <f t="shared" si="1"/>
        <v>130</v>
      </c>
      <c r="E28" s="14">
        <f t="shared" si="2"/>
        <v>143</v>
      </c>
      <c r="F28" s="14">
        <v>14</v>
      </c>
      <c r="G28" s="74"/>
      <c r="H28" s="16" t="s">
        <v>297</v>
      </c>
      <c r="I28" s="16" t="s">
        <v>302</v>
      </c>
      <c r="J28" s="33" t="s">
        <v>370</v>
      </c>
      <c r="K28" s="14" t="s">
        <v>304</v>
      </c>
      <c r="L28" s="36" t="s">
        <v>371</v>
      </c>
      <c r="M28" s="60" t="s">
        <v>290</v>
      </c>
      <c r="N28" s="61" t="s">
        <v>313</v>
      </c>
    </row>
    <row r="29" spans="1:14" ht="14.25" customHeight="1">
      <c r="A29" s="33" t="s">
        <v>372</v>
      </c>
      <c r="B29" s="70" t="s">
        <v>28</v>
      </c>
      <c r="C29" s="14">
        <v>26</v>
      </c>
      <c r="D29" s="14">
        <f t="shared" si="1"/>
        <v>144</v>
      </c>
      <c r="E29" s="14">
        <f t="shared" si="2"/>
        <v>151</v>
      </c>
      <c r="F29" s="14">
        <v>8</v>
      </c>
      <c r="G29" s="77" t="s">
        <v>292</v>
      </c>
      <c r="H29" s="16" t="s">
        <v>297</v>
      </c>
      <c r="I29" s="16" t="s">
        <v>302</v>
      </c>
      <c r="J29" s="33" t="s">
        <v>373</v>
      </c>
      <c r="K29" s="14" t="s">
        <v>304</v>
      </c>
      <c r="L29" s="36" t="s">
        <v>374</v>
      </c>
      <c r="M29" s="60" t="s">
        <v>290</v>
      </c>
      <c r="N29" s="61" t="s">
        <v>306</v>
      </c>
    </row>
    <row r="30" spans="1:14" ht="14.25" customHeight="1">
      <c r="A30" s="33" t="s">
        <v>375</v>
      </c>
      <c r="B30" s="70" t="s">
        <v>348</v>
      </c>
      <c r="C30" s="14">
        <v>27</v>
      </c>
      <c r="D30" s="14">
        <f t="shared" si="1"/>
        <v>152</v>
      </c>
      <c r="E30" s="14">
        <f t="shared" si="2"/>
        <v>165</v>
      </c>
      <c r="F30" s="14">
        <v>14</v>
      </c>
      <c r="G30" s="74"/>
      <c r="H30" s="16" t="s">
        <v>297</v>
      </c>
      <c r="I30" s="16" t="s">
        <v>302</v>
      </c>
      <c r="J30" s="33" t="s">
        <v>376</v>
      </c>
      <c r="K30" s="14" t="s">
        <v>304</v>
      </c>
      <c r="L30" s="36" t="s">
        <v>377</v>
      </c>
      <c r="M30" s="60" t="s">
        <v>290</v>
      </c>
      <c r="N30" s="61" t="s">
        <v>313</v>
      </c>
    </row>
    <row r="31" spans="1:14" ht="14.25" customHeight="1">
      <c r="A31" s="33" t="s">
        <v>378</v>
      </c>
      <c r="B31" s="70" t="s">
        <v>28</v>
      </c>
      <c r="C31" s="14">
        <v>28</v>
      </c>
      <c r="D31" s="14">
        <f t="shared" si="1"/>
        <v>166</v>
      </c>
      <c r="E31" s="14">
        <f t="shared" si="2"/>
        <v>173</v>
      </c>
      <c r="F31" s="14">
        <v>8</v>
      </c>
      <c r="G31" s="77" t="s">
        <v>292</v>
      </c>
      <c r="H31" s="16" t="s">
        <v>297</v>
      </c>
      <c r="I31" s="16" t="s">
        <v>302</v>
      </c>
      <c r="J31" s="33" t="s">
        <v>379</v>
      </c>
      <c r="K31" s="14" t="s">
        <v>304</v>
      </c>
      <c r="L31" s="36" t="s">
        <v>380</v>
      </c>
      <c r="M31" s="60" t="s">
        <v>290</v>
      </c>
      <c r="N31" s="61" t="s">
        <v>313</v>
      </c>
    </row>
    <row r="32" spans="1:14" ht="14.25" customHeight="1">
      <c r="A32" s="33" t="s">
        <v>381</v>
      </c>
      <c r="B32" s="70" t="s">
        <v>348</v>
      </c>
      <c r="C32" s="14">
        <v>29</v>
      </c>
      <c r="D32" s="14">
        <f t="shared" si="1"/>
        <v>174</v>
      </c>
      <c r="E32" s="14">
        <f t="shared" si="2"/>
        <v>187</v>
      </c>
      <c r="F32" s="14">
        <v>14</v>
      </c>
      <c r="G32" s="74"/>
      <c r="H32" s="16" t="s">
        <v>297</v>
      </c>
      <c r="I32" s="16" t="s">
        <v>302</v>
      </c>
      <c r="J32" s="33" t="s">
        <v>382</v>
      </c>
      <c r="K32" s="14" t="s">
        <v>304</v>
      </c>
      <c r="L32" s="36" t="s">
        <v>383</v>
      </c>
      <c r="M32" s="60" t="s">
        <v>290</v>
      </c>
      <c r="N32" s="61" t="s">
        <v>313</v>
      </c>
    </row>
    <row r="33" spans="1:14" ht="14.25" customHeight="1">
      <c r="A33" s="33" t="s">
        <v>384</v>
      </c>
      <c r="B33" s="70" t="s">
        <v>28</v>
      </c>
      <c r="C33" s="14">
        <v>30</v>
      </c>
      <c r="D33" s="14">
        <f t="shared" si="1"/>
        <v>188</v>
      </c>
      <c r="E33" s="14">
        <f t="shared" si="2"/>
        <v>195</v>
      </c>
      <c r="F33" s="14">
        <v>8</v>
      </c>
      <c r="G33" s="77" t="s">
        <v>292</v>
      </c>
      <c r="H33" s="16" t="s">
        <v>297</v>
      </c>
      <c r="I33" s="16" t="s">
        <v>302</v>
      </c>
      <c r="J33" s="33" t="s">
        <v>385</v>
      </c>
      <c r="K33" s="14" t="s">
        <v>304</v>
      </c>
      <c r="L33" s="36" t="s">
        <v>386</v>
      </c>
      <c r="M33" s="60" t="s">
        <v>290</v>
      </c>
      <c r="N33" s="61" t="s">
        <v>313</v>
      </c>
    </row>
    <row r="34" spans="1:14" ht="14.25" customHeight="1">
      <c r="A34" s="33" t="s">
        <v>387</v>
      </c>
      <c r="B34" s="70" t="s">
        <v>348</v>
      </c>
      <c r="C34" s="14">
        <v>31</v>
      </c>
      <c r="D34" s="14">
        <f t="shared" si="1"/>
        <v>196</v>
      </c>
      <c r="E34" s="14">
        <f t="shared" si="2"/>
        <v>209</v>
      </c>
      <c r="F34" s="14">
        <v>14</v>
      </c>
      <c r="G34" s="74"/>
      <c r="H34" s="16" t="s">
        <v>297</v>
      </c>
      <c r="I34" s="16" t="s">
        <v>302</v>
      </c>
      <c r="J34" s="33" t="s">
        <v>388</v>
      </c>
      <c r="K34" s="14" t="s">
        <v>304</v>
      </c>
      <c r="L34" s="36" t="s">
        <v>389</v>
      </c>
      <c r="M34" s="60" t="s">
        <v>290</v>
      </c>
      <c r="N34" s="61" t="s">
        <v>306</v>
      </c>
    </row>
    <row r="35" spans="1:14" ht="21">
      <c r="A35" s="33" t="s">
        <v>390</v>
      </c>
      <c r="B35" s="70" t="s">
        <v>28</v>
      </c>
      <c r="C35" s="14">
        <v>32</v>
      </c>
      <c r="D35" s="14">
        <f t="shared" si="1"/>
        <v>210</v>
      </c>
      <c r="E35" s="14">
        <f t="shared" si="2"/>
        <v>217</v>
      </c>
      <c r="F35" s="14">
        <v>8</v>
      </c>
      <c r="G35" s="77" t="s">
        <v>391</v>
      </c>
      <c r="H35" s="16" t="s">
        <v>297</v>
      </c>
      <c r="I35" s="16" t="s">
        <v>302</v>
      </c>
      <c r="J35" s="33" t="s">
        <v>392</v>
      </c>
      <c r="K35" s="14" t="s">
        <v>304</v>
      </c>
      <c r="L35" s="36" t="s">
        <v>393</v>
      </c>
      <c r="M35" s="60" t="s">
        <v>290</v>
      </c>
      <c r="N35" s="61" t="s">
        <v>306</v>
      </c>
    </row>
    <row r="36" spans="1:14" ht="10.5">
      <c r="A36" s="33" t="s">
        <v>394</v>
      </c>
      <c r="B36" s="70" t="s">
        <v>348</v>
      </c>
      <c r="C36" s="14">
        <v>33</v>
      </c>
      <c r="D36" s="14">
        <f t="shared" si="1"/>
        <v>218</v>
      </c>
      <c r="E36" s="14">
        <f t="shared" si="2"/>
        <v>231</v>
      </c>
      <c r="F36" s="14">
        <v>14</v>
      </c>
      <c r="G36" s="74" t="s">
        <v>15</v>
      </c>
      <c r="H36" s="16" t="s">
        <v>297</v>
      </c>
      <c r="I36" s="16" t="s">
        <v>302</v>
      </c>
      <c r="J36" s="33" t="s">
        <v>395</v>
      </c>
      <c r="K36" s="14" t="s">
        <v>304</v>
      </c>
      <c r="L36" s="36" t="s">
        <v>396</v>
      </c>
      <c r="M36" s="60" t="s">
        <v>290</v>
      </c>
      <c r="N36" s="61" t="s">
        <v>313</v>
      </c>
    </row>
    <row r="37" spans="1:14" s="726" customFormat="1">
      <c r="A37" s="648" t="s">
        <v>397</v>
      </c>
      <c r="B37" s="720" t="s">
        <v>334</v>
      </c>
      <c r="C37" s="721">
        <v>34</v>
      </c>
      <c r="D37" s="721">
        <f t="shared" si="1"/>
        <v>232</v>
      </c>
      <c r="E37" s="721">
        <f t="shared" si="2"/>
        <v>232</v>
      </c>
      <c r="F37" s="721">
        <v>1</v>
      </c>
      <c r="G37" s="722" t="s">
        <v>398</v>
      </c>
      <c r="H37" s="722" t="s">
        <v>297</v>
      </c>
      <c r="I37" s="722" t="s">
        <v>302</v>
      </c>
      <c r="J37" s="648" t="s">
        <v>399</v>
      </c>
      <c r="K37" s="721" t="s">
        <v>304</v>
      </c>
      <c r="L37" s="723" t="s">
        <v>400</v>
      </c>
      <c r="M37" s="724" t="s">
        <v>290</v>
      </c>
      <c r="N37" s="725" t="s">
        <v>313</v>
      </c>
    </row>
    <row r="38" spans="1:14" ht="11.5">
      <c r="A38" s="33" t="s">
        <v>401</v>
      </c>
      <c r="B38" s="70" t="s">
        <v>348</v>
      </c>
      <c r="C38" s="14">
        <v>35</v>
      </c>
      <c r="D38" s="14">
        <f t="shared" si="1"/>
        <v>233</v>
      </c>
      <c r="E38" s="14">
        <f t="shared" si="2"/>
        <v>246</v>
      </c>
      <c r="F38" s="14">
        <v>14</v>
      </c>
      <c r="G38" s="16" t="s">
        <v>402</v>
      </c>
      <c r="H38" s="16" t="s">
        <v>297</v>
      </c>
      <c r="I38" s="16" t="s">
        <v>302</v>
      </c>
      <c r="J38" s="76"/>
      <c r="K38" s="14" t="s">
        <v>304</v>
      </c>
      <c r="L38" s="36" t="s">
        <v>403</v>
      </c>
      <c r="M38" s="60" t="s">
        <v>290</v>
      </c>
      <c r="N38" s="61" t="s">
        <v>313</v>
      </c>
    </row>
    <row r="39" spans="1:14" ht="14.25" customHeight="1">
      <c r="A39" s="33" t="s">
        <v>404</v>
      </c>
      <c r="B39" s="70" t="s">
        <v>405</v>
      </c>
      <c r="C39" s="14">
        <v>36</v>
      </c>
      <c r="D39" s="14">
        <f t="shared" si="1"/>
        <v>247</v>
      </c>
      <c r="E39" s="14">
        <f t="shared" si="2"/>
        <v>260</v>
      </c>
      <c r="F39" s="14">
        <v>14</v>
      </c>
      <c r="G39" s="74" t="s">
        <v>335</v>
      </c>
      <c r="H39" s="16" t="s">
        <v>297</v>
      </c>
      <c r="I39" s="16" t="s">
        <v>302</v>
      </c>
      <c r="J39" s="33" t="s">
        <v>406</v>
      </c>
      <c r="K39" s="14" t="s">
        <v>304</v>
      </c>
      <c r="L39" s="36" t="s">
        <v>407</v>
      </c>
      <c r="M39" s="60" t="s">
        <v>290</v>
      </c>
      <c r="N39" s="61" t="s">
        <v>313</v>
      </c>
    </row>
    <row r="40" spans="1:14" ht="14.25" customHeight="1">
      <c r="A40" s="33" t="s">
        <v>408</v>
      </c>
      <c r="B40" s="70" t="s">
        <v>348</v>
      </c>
      <c r="C40" s="14">
        <v>37</v>
      </c>
      <c r="D40" s="14">
        <f t="shared" si="1"/>
        <v>261</v>
      </c>
      <c r="E40" s="14">
        <f t="shared" si="2"/>
        <v>274</v>
      </c>
      <c r="F40" s="14">
        <v>14</v>
      </c>
      <c r="G40" s="74"/>
      <c r="H40" s="16" t="s">
        <v>297</v>
      </c>
      <c r="I40" s="16" t="s">
        <v>302</v>
      </c>
      <c r="J40" s="33" t="s">
        <v>409</v>
      </c>
      <c r="K40" s="14" t="s">
        <v>304</v>
      </c>
      <c r="L40" s="36" t="s">
        <v>410</v>
      </c>
      <c r="M40" s="60" t="s">
        <v>290</v>
      </c>
      <c r="N40" s="61" t="s">
        <v>313</v>
      </c>
    </row>
    <row r="41" spans="1:14" ht="40">
      <c r="A41" s="33" t="s">
        <v>411</v>
      </c>
      <c r="B41" s="70" t="s">
        <v>34</v>
      </c>
      <c r="C41" s="14">
        <v>38</v>
      </c>
      <c r="D41" s="14">
        <f t="shared" si="1"/>
        <v>275</v>
      </c>
      <c r="E41" s="14">
        <f t="shared" si="2"/>
        <v>275</v>
      </c>
      <c r="F41" s="14">
        <v>1</v>
      </c>
      <c r="G41" s="16" t="s">
        <v>412</v>
      </c>
      <c r="H41" s="16" t="s">
        <v>297</v>
      </c>
      <c r="I41" s="16" t="s">
        <v>302</v>
      </c>
      <c r="J41" s="33"/>
      <c r="K41" s="14" t="s">
        <v>304</v>
      </c>
      <c r="L41" s="36" t="s">
        <v>413</v>
      </c>
      <c r="M41" s="60" t="s">
        <v>290</v>
      </c>
      <c r="N41" s="61" t="s">
        <v>306</v>
      </c>
    </row>
    <row r="42" spans="1:14" ht="14.25" customHeight="1">
      <c r="A42" s="33" t="s">
        <v>414</v>
      </c>
      <c r="B42" s="70" t="s">
        <v>300</v>
      </c>
      <c r="C42" s="14">
        <v>39</v>
      </c>
      <c r="D42" s="14">
        <f t="shared" si="1"/>
        <v>276</v>
      </c>
      <c r="E42" s="14">
        <f t="shared" si="2"/>
        <v>290</v>
      </c>
      <c r="F42" s="14">
        <v>15</v>
      </c>
      <c r="G42" s="74"/>
      <c r="H42" s="16" t="s">
        <v>297</v>
      </c>
      <c r="I42" s="16" t="s">
        <v>302</v>
      </c>
      <c r="J42" s="33" t="s">
        <v>415</v>
      </c>
      <c r="K42" s="14" t="s">
        <v>304</v>
      </c>
      <c r="L42" s="36" t="s">
        <v>416</v>
      </c>
      <c r="M42" s="60" t="s">
        <v>290</v>
      </c>
      <c r="N42" s="61" t="s">
        <v>313</v>
      </c>
    </row>
    <row r="43" spans="1:14">
      <c r="A43" s="33" t="s">
        <v>417</v>
      </c>
      <c r="B43" s="70" t="s">
        <v>239</v>
      </c>
      <c r="C43" s="14">
        <v>40</v>
      </c>
      <c r="D43" s="14">
        <f t="shared" si="1"/>
        <v>291</v>
      </c>
      <c r="E43" s="14">
        <f t="shared" si="2"/>
        <v>292</v>
      </c>
      <c r="F43" s="14">
        <v>2</v>
      </c>
      <c r="G43" s="15"/>
      <c r="H43" s="16" t="s">
        <v>297</v>
      </c>
      <c r="I43" s="16" t="s">
        <v>302</v>
      </c>
      <c r="J43" s="33" t="s">
        <v>418</v>
      </c>
      <c r="K43" s="14" t="s">
        <v>304</v>
      </c>
      <c r="L43" s="36" t="s">
        <v>419</v>
      </c>
      <c r="M43" s="60" t="s">
        <v>290</v>
      </c>
      <c r="N43" s="61" t="s">
        <v>313</v>
      </c>
    </row>
    <row r="44" spans="1:14" ht="230" hidden="1">
      <c r="A44" s="33" t="s">
        <v>420</v>
      </c>
      <c r="B44" s="70" t="s">
        <v>421</v>
      </c>
      <c r="C44" s="14">
        <v>41</v>
      </c>
      <c r="D44" s="14">
        <f t="shared" si="1"/>
        <v>293</v>
      </c>
      <c r="E44" s="14">
        <f t="shared" si="2"/>
        <v>318</v>
      </c>
      <c r="F44" s="14">
        <v>26</v>
      </c>
      <c r="G44" s="75" t="s">
        <v>422</v>
      </c>
      <c r="H44" s="16" t="s">
        <v>423</v>
      </c>
      <c r="I44" s="16" t="s">
        <v>309</v>
      </c>
      <c r="J44" s="33"/>
      <c r="K44" s="14" t="s">
        <v>304</v>
      </c>
      <c r="L44" s="33" t="s">
        <v>424</v>
      </c>
      <c r="M44" s="60" t="s">
        <v>290</v>
      </c>
      <c r="N44" s="61" t="s">
        <v>425</v>
      </c>
    </row>
    <row r="45" spans="1:14" ht="14.25" customHeight="1">
      <c r="A45" s="33" t="s">
        <v>426</v>
      </c>
      <c r="B45" s="70" t="s">
        <v>300</v>
      </c>
      <c r="C45" s="14">
        <v>42</v>
      </c>
      <c r="D45" s="14">
        <f t="shared" si="1"/>
        <v>319</v>
      </c>
      <c r="E45" s="14">
        <f t="shared" si="2"/>
        <v>333</v>
      </c>
      <c r="F45" s="14">
        <v>15</v>
      </c>
      <c r="G45" s="74"/>
      <c r="H45" s="16" t="s">
        <v>297</v>
      </c>
      <c r="I45" s="16" t="s">
        <v>302</v>
      </c>
      <c r="J45" s="33" t="s">
        <v>427</v>
      </c>
      <c r="K45" s="14" t="s">
        <v>304</v>
      </c>
      <c r="L45" s="36" t="s">
        <v>428</v>
      </c>
      <c r="M45" s="60" t="s">
        <v>290</v>
      </c>
      <c r="N45" s="61" t="s">
        <v>313</v>
      </c>
    </row>
    <row r="46" spans="1:14" s="726" customFormat="1" ht="20">
      <c r="A46" s="648" t="s">
        <v>429</v>
      </c>
      <c r="B46" s="720" t="s">
        <v>34</v>
      </c>
      <c r="C46" s="721">
        <v>43</v>
      </c>
      <c r="D46" s="721">
        <f t="shared" si="1"/>
        <v>334</v>
      </c>
      <c r="E46" s="721">
        <f t="shared" si="2"/>
        <v>334</v>
      </c>
      <c r="F46" s="721">
        <v>1</v>
      </c>
      <c r="G46" s="722" t="s">
        <v>3188</v>
      </c>
      <c r="H46" s="722" t="s">
        <v>297</v>
      </c>
      <c r="I46" s="722" t="s">
        <v>302</v>
      </c>
      <c r="J46" s="648" t="s">
        <v>430</v>
      </c>
      <c r="K46" s="721" t="s">
        <v>304</v>
      </c>
      <c r="L46" s="723" t="s">
        <v>431</v>
      </c>
      <c r="M46" s="724" t="s">
        <v>290</v>
      </c>
      <c r="N46" s="725" t="s">
        <v>313</v>
      </c>
    </row>
    <row r="47" spans="1:14" ht="20">
      <c r="A47" s="33" t="s">
        <v>432</v>
      </c>
      <c r="B47" s="70" t="s">
        <v>34</v>
      </c>
      <c r="C47" s="14">
        <v>44</v>
      </c>
      <c r="D47" s="14">
        <f t="shared" si="1"/>
        <v>335</v>
      </c>
      <c r="E47" s="14">
        <f t="shared" si="2"/>
        <v>335</v>
      </c>
      <c r="F47" s="14">
        <v>1</v>
      </c>
      <c r="G47" s="16" t="s">
        <v>433</v>
      </c>
      <c r="H47" s="16" t="s">
        <v>297</v>
      </c>
      <c r="I47" s="16" t="s">
        <v>302</v>
      </c>
      <c r="J47" s="33" t="s">
        <v>434</v>
      </c>
      <c r="K47" s="14" t="s">
        <v>304</v>
      </c>
      <c r="L47" s="36" t="s">
        <v>435</v>
      </c>
      <c r="M47" s="60" t="s">
        <v>290</v>
      </c>
      <c r="N47" s="61" t="s">
        <v>313</v>
      </c>
    </row>
    <row r="48" spans="1:14" ht="14.25" hidden="1" customHeight="1">
      <c r="A48" s="33" t="s">
        <v>436</v>
      </c>
      <c r="B48" s="70" t="s">
        <v>68</v>
      </c>
      <c r="C48" s="14">
        <v>45</v>
      </c>
      <c r="D48" s="14">
        <f t="shared" si="1"/>
        <v>336</v>
      </c>
      <c r="E48" s="14">
        <f t="shared" si="2"/>
        <v>347</v>
      </c>
      <c r="F48" s="14">
        <v>12</v>
      </c>
      <c r="G48" s="74"/>
      <c r="H48" s="16" t="s">
        <v>297</v>
      </c>
      <c r="I48" s="16" t="s">
        <v>302</v>
      </c>
      <c r="J48" s="33" t="s">
        <v>437</v>
      </c>
      <c r="K48" s="14" t="s">
        <v>304</v>
      </c>
      <c r="L48" s="36" t="s">
        <v>438</v>
      </c>
      <c r="M48" s="60" t="s">
        <v>290</v>
      </c>
      <c r="N48" s="61" t="s">
        <v>313</v>
      </c>
    </row>
    <row r="49" spans="1:14" ht="21" hidden="1">
      <c r="A49" s="33" t="s">
        <v>439</v>
      </c>
      <c r="B49" s="70" t="s">
        <v>28</v>
      </c>
      <c r="C49" s="14">
        <v>46</v>
      </c>
      <c r="D49" s="14">
        <f t="shared" si="1"/>
        <v>348</v>
      </c>
      <c r="E49" s="14">
        <f t="shared" si="2"/>
        <v>355</v>
      </c>
      <c r="F49" s="14">
        <v>8</v>
      </c>
      <c r="G49" s="77" t="s">
        <v>391</v>
      </c>
      <c r="H49" s="16" t="s">
        <v>297</v>
      </c>
      <c r="I49" s="16" t="s">
        <v>302</v>
      </c>
      <c r="J49" s="33" t="s">
        <v>440</v>
      </c>
      <c r="K49" s="14" t="s">
        <v>304</v>
      </c>
      <c r="L49" s="36" t="s">
        <v>441</v>
      </c>
      <c r="M49" s="60" t="s">
        <v>290</v>
      </c>
      <c r="N49" s="61" t="s">
        <v>306</v>
      </c>
    </row>
    <row r="50" spans="1:14" ht="14.25" hidden="1" customHeight="1">
      <c r="A50" s="33" t="s">
        <v>442</v>
      </c>
      <c r="B50" s="70" t="s">
        <v>68</v>
      </c>
      <c r="C50" s="14">
        <v>47</v>
      </c>
      <c r="D50" s="14">
        <f t="shared" si="1"/>
        <v>356</v>
      </c>
      <c r="E50" s="14">
        <f t="shared" si="2"/>
        <v>367</v>
      </c>
      <c r="F50" s="14">
        <v>12</v>
      </c>
      <c r="G50" s="74"/>
      <c r="H50" s="16" t="s">
        <v>297</v>
      </c>
      <c r="I50" s="16" t="s">
        <v>302</v>
      </c>
      <c r="J50" s="33" t="s">
        <v>443</v>
      </c>
      <c r="K50" s="14" t="s">
        <v>304</v>
      </c>
      <c r="L50" s="36" t="s">
        <v>444</v>
      </c>
      <c r="M50" s="60" t="s">
        <v>290</v>
      </c>
      <c r="N50" s="61" t="s">
        <v>313</v>
      </c>
    </row>
    <row r="51" spans="1:14" ht="14.25" hidden="1" customHeight="1">
      <c r="A51" s="33" t="s">
        <v>445</v>
      </c>
      <c r="B51" s="70" t="s">
        <v>28</v>
      </c>
      <c r="C51" s="14">
        <v>48</v>
      </c>
      <c r="D51" s="14">
        <f t="shared" si="1"/>
        <v>368</v>
      </c>
      <c r="E51" s="14">
        <f t="shared" si="2"/>
        <v>375</v>
      </c>
      <c r="F51" s="14">
        <v>8</v>
      </c>
      <c r="G51" s="74"/>
      <c r="H51" s="16" t="s">
        <v>297</v>
      </c>
      <c r="I51" s="16" t="s">
        <v>302</v>
      </c>
      <c r="J51" s="33" t="s">
        <v>446</v>
      </c>
      <c r="K51" s="14" t="s">
        <v>304</v>
      </c>
      <c r="L51" s="36" t="s">
        <v>447</v>
      </c>
      <c r="M51" s="60" t="s">
        <v>290</v>
      </c>
      <c r="N51" s="61" t="s">
        <v>313</v>
      </c>
    </row>
    <row r="52" spans="1:14" ht="14.25" hidden="1" customHeight="1">
      <c r="A52" s="33" t="s">
        <v>448</v>
      </c>
      <c r="B52" s="70" t="s">
        <v>239</v>
      </c>
      <c r="C52" s="14">
        <v>49</v>
      </c>
      <c r="D52" s="14">
        <f t="shared" si="1"/>
        <v>376</v>
      </c>
      <c r="E52" s="14">
        <f t="shared" si="2"/>
        <v>377</v>
      </c>
      <c r="F52" s="14">
        <v>2</v>
      </c>
      <c r="G52" s="74"/>
      <c r="H52" s="16" t="s">
        <v>297</v>
      </c>
      <c r="I52" s="16" t="s">
        <v>302</v>
      </c>
      <c r="J52" s="33" t="s">
        <v>449</v>
      </c>
      <c r="K52" s="14" t="s">
        <v>304</v>
      </c>
      <c r="L52" s="36" t="s">
        <v>450</v>
      </c>
      <c r="M52" s="60" t="s">
        <v>290</v>
      </c>
      <c r="N52" s="61" t="s">
        <v>313</v>
      </c>
    </row>
    <row r="53" spans="1:14" ht="14.25" hidden="1" customHeight="1">
      <c r="A53" s="33" t="s">
        <v>451</v>
      </c>
      <c r="B53" s="70" t="s">
        <v>334</v>
      </c>
      <c r="C53" s="14">
        <v>50</v>
      </c>
      <c r="D53" s="14">
        <f t="shared" si="1"/>
        <v>378</v>
      </c>
      <c r="E53" s="14">
        <f t="shared" si="2"/>
        <v>378</v>
      </c>
      <c r="F53" s="14">
        <v>1</v>
      </c>
      <c r="G53" s="74"/>
      <c r="H53" s="16" t="s">
        <v>297</v>
      </c>
      <c r="I53" s="16" t="s">
        <v>302</v>
      </c>
      <c r="J53" s="33" t="s">
        <v>452</v>
      </c>
      <c r="K53" s="14" t="s">
        <v>304</v>
      </c>
      <c r="L53" s="36" t="s">
        <v>453</v>
      </c>
      <c r="M53" s="60" t="s">
        <v>290</v>
      </c>
      <c r="N53" s="61" t="s">
        <v>313</v>
      </c>
    </row>
    <row r="54" spans="1:14" ht="90" hidden="1">
      <c r="A54" s="33" t="s">
        <v>454</v>
      </c>
      <c r="B54" s="70" t="s">
        <v>25</v>
      </c>
      <c r="C54" s="14">
        <v>51</v>
      </c>
      <c r="D54" s="14">
        <f t="shared" si="1"/>
        <v>379</v>
      </c>
      <c r="E54" s="14">
        <f t="shared" si="2"/>
        <v>388</v>
      </c>
      <c r="F54" s="14">
        <v>10</v>
      </c>
      <c r="G54" s="15" t="s">
        <v>455</v>
      </c>
      <c r="H54" s="16" t="s">
        <v>297</v>
      </c>
      <c r="I54" s="16" t="s">
        <v>302</v>
      </c>
      <c r="J54" s="33"/>
      <c r="K54" s="14" t="s">
        <v>304</v>
      </c>
      <c r="L54" s="36" t="s">
        <v>456</v>
      </c>
      <c r="M54" s="60" t="s">
        <v>290</v>
      </c>
      <c r="N54" s="61" t="s">
        <v>313</v>
      </c>
    </row>
    <row r="55" spans="1:14" ht="14.25" hidden="1" customHeight="1">
      <c r="A55" s="33" t="s">
        <v>457</v>
      </c>
      <c r="B55" s="70" t="s">
        <v>34</v>
      </c>
      <c r="C55" s="14">
        <v>52</v>
      </c>
      <c r="D55" s="14">
        <f t="shared" si="1"/>
        <v>389</v>
      </c>
      <c r="E55" s="14">
        <f t="shared" si="2"/>
        <v>389</v>
      </c>
      <c r="F55" s="14">
        <v>1</v>
      </c>
      <c r="G55" s="74"/>
      <c r="H55" s="16" t="s">
        <v>297</v>
      </c>
      <c r="I55" s="16" t="s">
        <v>302</v>
      </c>
      <c r="J55" s="33" t="s">
        <v>458</v>
      </c>
      <c r="K55" s="14" t="s">
        <v>304</v>
      </c>
      <c r="L55" s="36" t="s">
        <v>459</v>
      </c>
      <c r="M55" s="60" t="s">
        <v>290</v>
      </c>
      <c r="N55" s="61" t="s">
        <v>460</v>
      </c>
    </row>
    <row r="56" spans="1:14" ht="14.25" hidden="1" customHeight="1">
      <c r="A56" s="33" t="s">
        <v>461</v>
      </c>
      <c r="B56" s="70" t="s">
        <v>348</v>
      </c>
      <c r="C56" s="14">
        <v>53</v>
      </c>
      <c r="D56" s="14">
        <f t="shared" si="1"/>
        <v>390</v>
      </c>
      <c r="E56" s="14">
        <f t="shared" si="2"/>
        <v>403</v>
      </c>
      <c r="F56" s="14">
        <v>14</v>
      </c>
      <c r="G56" s="74"/>
      <c r="H56" s="16" t="s">
        <v>297</v>
      </c>
      <c r="I56" s="16" t="s">
        <v>302</v>
      </c>
      <c r="J56" s="33" t="s">
        <v>462</v>
      </c>
      <c r="K56" s="14" t="s">
        <v>304</v>
      </c>
      <c r="L56" s="36" t="s">
        <v>463</v>
      </c>
      <c r="M56" s="60" t="s">
        <v>290</v>
      </c>
      <c r="N56" s="61" t="s">
        <v>313</v>
      </c>
    </row>
    <row r="57" spans="1:14" s="726" customFormat="1" ht="121.5" customHeight="1">
      <c r="A57" s="648" t="s">
        <v>464</v>
      </c>
      <c r="B57" s="720" t="s">
        <v>68</v>
      </c>
      <c r="C57" s="721">
        <v>54</v>
      </c>
      <c r="D57" s="721">
        <f t="shared" si="1"/>
        <v>404</v>
      </c>
      <c r="E57" s="721">
        <f t="shared" si="2"/>
        <v>415</v>
      </c>
      <c r="F57" s="721">
        <v>12</v>
      </c>
      <c r="G57" s="727" t="s">
        <v>465</v>
      </c>
      <c r="H57" s="722" t="s">
        <v>297</v>
      </c>
      <c r="I57" s="722" t="s">
        <v>302</v>
      </c>
      <c r="J57" s="728"/>
      <c r="K57" s="721" t="s">
        <v>304</v>
      </c>
      <c r="L57" s="723" t="s">
        <v>466</v>
      </c>
      <c r="M57" s="724" t="s">
        <v>290</v>
      </c>
      <c r="N57" s="725" t="s">
        <v>313</v>
      </c>
    </row>
    <row r="58" spans="1:14">
      <c r="A58" s="33" t="s">
        <v>467</v>
      </c>
      <c r="B58" s="70" t="s">
        <v>239</v>
      </c>
      <c r="C58" s="14">
        <v>55</v>
      </c>
      <c r="D58" s="14">
        <f t="shared" si="1"/>
        <v>416</v>
      </c>
      <c r="E58" s="14">
        <f t="shared" si="2"/>
        <v>417</v>
      </c>
      <c r="F58" s="14">
        <v>2</v>
      </c>
      <c r="G58" s="16" t="s">
        <v>468</v>
      </c>
      <c r="H58" s="16" t="s">
        <v>297</v>
      </c>
      <c r="I58" s="16" t="s">
        <v>469</v>
      </c>
      <c r="J58" s="33" t="s">
        <v>470</v>
      </c>
      <c r="K58" s="14" t="s">
        <v>304</v>
      </c>
      <c r="L58" s="36" t="s">
        <v>471</v>
      </c>
      <c r="M58" s="60" t="s">
        <v>290</v>
      </c>
      <c r="N58" s="61" t="s">
        <v>313</v>
      </c>
    </row>
    <row r="59" spans="1:14" ht="41">
      <c r="A59" s="33" t="s">
        <v>472</v>
      </c>
      <c r="B59" s="70" t="s">
        <v>28</v>
      </c>
      <c r="C59" s="14">
        <v>56</v>
      </c>
      <c r="D59" s="14">
        <f t="shared" si="1"/>
        <v>418</v>
      </c>
      <c r="E59" s="14">
        <f t="shared" si="2"/>
        <v>425</v>
      </c>
      <c r="F59" s="14">
        <v>8</v>
      </c>
      <c r="G59" s="77" t="s">
        <v>473</v>
      </c>
      <c r="H59" s="16" t="s">
        <v>297</v>
      </c>
      <c r="I59" s="16" t="s">
        <v>469</v>
      </c>
      <c r="J59" s="33" t="s">
        <v>474</v>
      </c>
      <c r="K59" s="14" t="s">
        <v>304</v>
      </c>
      <c r="L59" s="36" t="s">
        <v>475</v>
      </c>
      <c r="M59" s="60" t="s">
        <v>290</v>
      </c>
      <c r="N59" s="61" t="s">
        <v>313</v>
      </c>
    </row>
    <row r="60" spans="1:14">
      <c r="A60" s="33" t="s">
        <v>476</v>
      </c>
      <c r="B60" s="70" t="s">
        <v>83</v>
      </c>
      <c r="C60" s="14">
        <v>57</v>
      </c>
      <c r="D60" s="14">
        <f t="shared" si="1"/>
        <v>426</v>
      </c>
      <c r="E60" s="14">
        <f t="shared" si="2"/>
        <v>428</v>
      </c>
      <c r="F60" s="14">
        <v>3</v>
      </c>
      <c r="G60" s="16" t="s">
        <v>477</v>
      </c>
      <c r="H60" s="16" t="s">
        <v>478</v>
      </c>
      <c r="I60" s="16" t="s">
        <v>479</v>
      </c>
      <c r="J60" s="33" t="s">
        <v>480</v>
      </c>
      <c r="K60" s="14" t="s">
        <v>304</v>
      </c>
      <c r="L60" s="36">
        <v>2427</v>
      </c>
      <c r="M60" s="60" t="s">
        <v>290</v>
      </c>
      <c r="N60" s="61" t="s">
        <v>313</v>
      </c>
    </row>
    <row r="61" spans="1:14">
      <c r="A61" s="33" t="s">
        <v>224</v>
      </c>
      <c r="B61" s="70" t="s">
        <v>481</v>
      </c>
      <c r="C61" s="14">
        <v>58</v>
      </c>
      <c r="D61" s="14">
        <f t="shared" si="1"/>
        <v>429</v>
      </c>
      <c r="E61" s="14">
        <f t="shared" si="2"/>
        <v>431</v>
      </c>
      <c r="F61" s="14">
        <v>3</v>
      </c>
      <c r="G61" s="16"/>
      <c r="H61" s="16" t="s">
        <v>478</v>
      </c>
      <c r="I61" s="16" t="s">
        <v>309</v>
      </c>
      <c r="J61" s="33" t="s">
        <v>482</v>
      </c>
      <c r="K61" s="14" t="s">
        <v>311</v>
      </c>
      <c r="L61" s="36">
        <v>2429</v>
      </c>
      <c r="M61" s="60" t="s">
        <v>290</v>
      </c>
      <c r="N61" s="61" t="s">
        <v>306</v>
      </c>
    </row>
    <row r="62" spans="1:14">
      <c r="A62" s="33" t="s">
        <v>483</v>
      </c>
      <c r="B62" s="70" t="s">
        <v>34</v>
      </c>
      <c r="C62" s="14">
        <v>59</v>
      </c>
      <c r="D62" s="14">
        <f t="shared" si="1"/>
        <v>432</v>
      </c>
      <c r="E62" s="14">
        <f t="shared" si="2"/>
        <v>432</v>
      </c>
      <c r="F62" s="14">
        <v>1</v>
      </c>
      <c r="G62" s="16" t="s">
        <v>484</v>
      </c>
      <c r="H62" s="16" t="s">
        <v>485</v>
      </c>
      <c r="I62" s="16" t="s">
        <v>309</v>
      </c>
      <c r="J62" s="33" t="s">
        <v>486</v>
      </c>
      <c r="K62" s="14" t="s">
        <v>304</v>
      </c>
      <c r="L62" s="36">
        <v>2430</v>
      </c>
      <c r="M62" s="60" t="s">
        <v>290</v>
      </c>
      <c r="N62" s="61" t="s">
        <v>306</v>
      </c>
    </row>
    <row r="63" spans="1:14">
      <c r="A63" s="79" t="s">
        <v>487</v>
      </c>
      <c r="B63" s="70" t="s">
        <v>488</v>
      </c>
      <c r="C63" s="14">
        <v>60</v>
      </c>
      <c r="D63" s="14">
        <f t="shared" si="1"/>
        <v>433</v>
      </c>
      <c r="E63" s="14">
        <f t="shared" si="2"/>
        <v>443</v>
      </c>
      <c r="F63" s="14">
        <v>11</v>
      </c>
      <c r="G63" s="16"/>
      <c r="H63" s="16" t="s">
        <v>485</v>
      </c>
      <c r="I63" s="16" t="s">
        <v>309</v>
      </c>
      <c r="J63" s="33" t="s">
        <v>489</v>
      </c>
      <c r="K63" s="14" t="s">
        <v>311</v>
      </c>
      <c r="L63" s="36"/>
      <c r="M63" s="60" t="s">
        <v>298</v>
      </c>
      <c r="N63" s="61" t="s">
        <v>306</v>
      </c>
    </row>
    <row r="64" spans="1:14">
      <c r="A64" s="79" t="s">
        <v>490</v>
      </c>
      <c r="B64" s="70" t="s">
        <v>491</v>
      </c>
      <c r="C64" s="14">
        <v>61</v>
      </c>
      <c r="D64" s="14">
        <f t="shared" si="1"/>
        <v>444</v>
      </c>
      <c r="E64" s="14">
        <f t="shared" si="2"/>
        <v>483</v>
      </c>
      <c r="F64" s="14">
        <v>40</v>
      </c>
      <c r="G64" s="16"/>
      <c r="H64" s="16" t="s">
        <v>423</v>
      </c>
      <c r="I64" s="16" t="s">
        <v>492</v>
      </c>
      <c r="J64" s="33" t="s">
        <v>493</v>
      </c>
      <c r="K64" s="14" t="s">
        <v>494</v>
      </c>
      <c r="L64" s="36">
        <v>2428</v>
      </c>
      <c r="M64" s="17" t="s">
        <v>298</v>
      </c>
      <c r="N64" s="61"/>
    </row>
    <row r="65" spans="1:14">
      <c r="A65" s="79" t="s">
        <v>495</v>
      </c>
      <c r="B65" s="70" t="s">
        <v>496</v>
      </c>
      <c r="C65" s="14">
        <v>62</v>
      </c>
      <c r="D65" s="14">
        <f t="shared" si="1"/>
        <v>484</v>
      </c>
      <c r="E65" s="14">
        <f t="shared" si="2"/>
        <v>490</v>
      </c>
      <c r="F65" s="14">
        <v>7</v>
      </c>
      <c r="G65" s="16" t="s">
        <v>497</v>
      </c>
      <c r="H65" s="16" t="s">
        <v>423</v>
      </c>
      <c r="I65" s="16" t="s">
        <v>498</v>
      </c>
      <c r="J65" s="33" t="s">
        <v>499</v>
      </c>
      <c r="K65" s="14"/>
      <c r="L65" s="36"/>
      <c r="M65" s="17" t="s">
        <v>298</v>
      </c>
      <c r="N65" s="61"/>
    </row>
    <row r="66" spans="1:14">
      <c r="A66" s="79" t="s">
        <v>500</v>
      </c>
      <c r="B66" s="70" t="s">
        <v>501</v>
      </c>
      <c r="C66" s="14">
        <v>63</v>
      </c>
      <c r="D66" s="14">
        <f t="shared" si="1"/>
        <v>491</v>
      </c>
      <c r="E66" s="14">
        <f t="shared" si="2"/>
        <v>493</v>
      </c>
      <c r="F66" s="14">
        <v>3</v>
      </c>
      <c r="G66" s="16"/>
      <c r="H66" s="16" t="s">
        <v>423</v>
      </c>
      <c r="I66" s="16" t="s">
        <v>309</v>
      </c>
      <c r="J66" s="33" t="s">
        <v>502</v>
      </c>
      <c r="K66" s="14"/>
      <c r="L66" s="36"/>
      <c r="M66" s="17" t="s">
        <v>298</v>
      </c>
      <c r="N66" s="61"/>
    </row>
    <row r="67" spans="1:14" s="23" customFormat="1">
      <c r="A67" s="80" t="s">
        <v>33</v>
      </c>
      <c r="B67" s="19" t="s">
        <v>34</v>
      </c>
      <c r="C67" s="14">
        <v>64</v>
      </c>
      <c r="D67" s="14">
        <f t="shared" si="1"/>
        <v>494</v>
      </c>
      <c r="E67" s="14">
        <f t="shared" si="2"/>
        <v>494</v>
      </c>
      <c r="F67" s="19">
        <v>1</v>
      </c>
      <c r="G67" s="20" t="s">
        <v>295</v>
      </c>
      <c r="H67" s="66"/>
      <c r="I67" s="66"/>
      <c r="J67" s="19"/>
      <c r="K67" s="19"/>
      <c r="L67" s="19"/>
      <c r="M67" s="21"/>
      <c r="N67" s="22"/>
    </row>
    <row r="68" spans="1:14" ht="31.5">
      <c r="A68" s="6" t="s">
        <v>503</v>
      </c>
      <c r="B68" s="7" t="s">
        <v>14</v>
      </c>
      <c r="C68" s="27"/>
      <c r="D68" s="7">
        <v>1</v>
      </c>
      <c r="E68" s="27">
        <f>E71</f>
        <v>11</v>
      </c>
      <c r="F68" s="27">
        <f>E68</f>
        <v>11</v>
      </c>
      <c r="G68" s="29"/>
      <c r="H68" s="29"/>
      <c r="I68" s="29"/>
      <c r="J68" s="29"/>
      <c r="K68" s="29" t="s">
        <v>204</v>
      </c>
      <c r="L68" s="29"/>
      <c r="M68" s="60" t="s">
        <v>290</v>
      </c>
      <c r="N68" s="61"/>
    </row>
    <row r="69" spans="1:14" ht="12.5">
      <c r="A69" s="30" t="s">
        <v>37</v>
      </c>
      <c r="B69" s="62" t="s">
        <v>18</v>
      </c>
      <c r="C69" s="14">
        <v>65</v>
      </c>
      <c r="D69" s="14">
        <v>1</v>
      </c>
      <c r="E69" s="14">
        <v>1</v>
      </c>
      <c r="F69" s="14">
        <v>1</v>
      </c>
      <c r="G69" s="16" t="s">
        <v>205</v>
      </c>
      <c r="H69" s="16"/>
      <c r="I69" s="16"/>
      <c r="J69" s="14"/>
      <c r="K69" s="14"/>
      <c r="L69" s="63"/>
      <c r="M69" s="60" t="s">
        <v>290</v>
      </c>
      <c r="N69" s="61"/>
    </row>
    <row r="70" spans="1:14" ht="12.5">
      <c r="A70" s="42" t="s">
        <v>206</v>
      </c>
      <c r="B70" s="62" t="s">
        <v>207</v>
      </c>
      <c r="C70" s="14">
        <v>66</v>
      </c>
      <c r="D70" s="14">
        <v>2</v>
      </c>
      <c r="E70" s="14">
        <f>D70+F70-1</f>
        <v>10</v>
      </c>
      <c r="F70" s="14">
        <v>9</v>
      </c>
      <c r="G70" s="15" t="s">
        <v>208</v>
      </c>
      <c r="H70" s="16"/>
      <c r="I70" s="16"/>
      <c r="J70" s="14"/>
      <c r="K70" s="14"/>
      <c r="L70" s="63"/>
      <c r="M70" s="60" t="s">
        <v>290</v>
      </c>
      <c r="N70" s="61"/>
    </row>
    <row r="71" spans="1:14" ht="13" thickBot="1">
      <c r="A71" s="81" t="s">
        <v>33</v>
      </c>
      <c r="B71" s="82" t="s">
        <v>504</v>
      </c>
      <c r="C71" s="52">
        <v>67</v>
      </c>
      <c r="D71" s="52">
        <v>11</v>
      </c>
      <c r="E71" s="52">
        <f>D71 +F71-1</f>
        <v>11</v>
      </c>
      <c r="F71" s="52">
        <v>1</v>
      </c>
      <c r="G71" s="83" t="s">
        <v>295</v>
      </c>
      <c r="H71" s="54"/>
      <c r="I71" s="54"/>
      <c r="J71" s="52"/>
      <c r="K71" s="52"/>
      <c r="L71" s="84"/>
      <c r="M71" s="85" t="s">
        <v>290</v>
      </c>
      <c r="N71" s="86"/>
    </row>
    <row r="72" spans="1:14">
      <c r="M72" s="47"/>
    </row>
    <row r="73" spans="1:14">
      <c r="M73" s="47"/>
    </row>
    <row r="74" spans="1:14">
      <c r="M74" s="47"/>
    </row>
    <row r="75" spans="1:14">
      <c r="M75" s="47"/>
    </row>
    <row r="76" spans="1:14">
      <c r="M76" s="47"/>
    </row>
    <row r="77" spans="1:14">
      <c r="M77" s="47"/>
    </row>
    <row r="78" spans="1:14">
      <c r="M78" s="47"/>
    </row>
    <row r="79" spans="1:14">
      <c r="M79" s="47"/>
    </row>
    <row r="80" spans="1:14">
      <c r="M80" s="47"/>
    </row>
    <row r="81" spans="13:13">
      <c r="M81" s="47"/>
    </row>
    <row r="82" spans="13:13">
      <c r="M82" s="47"/>
    </row>
    <row r="83" spans="13:13">
      <c r="M83" s="47"/>
    </row>
    <row r="84" spans="13:13">
      <c r="M84" s="47"/>
    </row>
    <row r="85" spans="13:13">
      <c r="M85" s="47"/>
    </row>
    <row r="86" spans="13:13">
      <c r="M86" s="47"/>
    </row>
    <row r="87" spans="13:13">
      <c r="M87" s="47"/>
    </row>
    <row r="88" spans="13:13">
      <c r="M88" s="47"/>
    </row>
    <row r="89" spans="13:13">
      <c r="M89" s="47"/>
    </row>
    <row r="90" spans="13:13">
      <c r="M90" s="47"/>
    </row>
    <row r="91" spans="13:13">
      <c r="M91" s="47"/>
    </row>
    <row r="92" spans="13:13">
      <c r="M92" s="47"/>
    </row>
    <row r="93" spans="13:13">
      <c r="M93" s="47"/>
    </row>
    <row r="94" spans="13:13">
      <c r="M94" s="47"/>
    </row>
    <row r="95" spans="13:13">
      <c r="M95" s="47"/>
    </row>
    <row r="96" spans="13:13">
      <c r="M96" s="47"/>
    </row>
    <row r="97" spans="13:13">
      <c r="M97" s="47"/>
    </row>
    <row r="98" spans="13:13">
      <c r="M98" s="47"/>
    </row>
    <row r="99" spans="13:13">
      <c r="M99" s="47"/>
    </row>
    <row r="100" spans="13:13">
      <c r="M100" s="47"/>
    </row>
    <row r="101" spans="13:13">
      <c r="M101" s="47"/>
    </row>
    <row r="102" spans="13:13">
      <c r="M102" s="47"/>
    </row>
    <row r="103" spans="13:13">
      <c r="M103" s="47"/>
    </row>
    <row r="104" spans="13:13">
      <c r="M104" s="47"/>
    </row>
    <row r="105" spans="13:13">
      <c r="M105" s="47"/>
    </row>
    <row r="106" spans="13:13">
      <c r="M106" s="47"/>
    </row>
    <row r="107" spans="13:13">
      <c r="M107" s="47"/>
    </row>
    <row r="108" spans="13:13">
      <c r="M108" s="47"/>
    </row>
    <row r="109" spans="13:13">
      <c r="M109" s="47"/>
    </row>
    <row r="110" spans="13:13">
      <c r="M110" s="47"/>
    </row>
    <row r="111" spans="13:13">
      <c r="M111" s="47"/>
    </row>
    <row r="112" spans="13:13">
      <c r="M112" s="47"/>
    </row>
    <row r="113" spans="13:13">
      <c r="M113" s="47"/>
    </row>
    <row r="114" spans="13:13">
      <c r="M114" s="47"/>
    </row>
    <row r="115" spans="13:13">
      <c r="M115" s="47"/>
    </row>
    <row r="116" spans="13:13">
      <c r="M116" s="47"/>
    </row>
    <row r="117" spans="13:13">
      <c r="M117" s="47"/>
    </row>
    <row r="118" spans="13:13">
      <c r="M118" s="47"/>
    </row>
    <row r="119" spans="13:13">
      <c r="M119" s="47"/>
    </row>
    <row r="120" spans="13:13">
      <c r="M120" s="47"/>
    </row>
    <row r="121" spans="13:13">
      <c r="M121" s="47"/>
    </row>
    <row r="122" spans="13:13">
      <c r="M122" s="47"/>
    </row>
    <row r="123" spans="13:13">
      <c r="M123" s="47"/>
    </row>
    <row r="124" spans="13:13">
      <c r="M124" s="47"/>
    </row>
    <row r="125" spans="13:13">
      <c r="M125" s="47"/>
    </row>
    <row r="126" spans="13:13">
      <c r="M126" s="47"/>
    </row>
    <row r="127" spans="13:13">
      <c r="M127" s="47"/>
    </row>
    <row r="128" spans="13:13">
      <c r="M128" s="47"/>
    </row>
    <row r="129" spans="13:13">
      <c r="M129" s="47"/>
    </row>
    <row r="130" spans="13:13">
      <c r="M130" s="47"/>
    </row>
    <row r="131" spans="13:13">
      <c r="M131" s="47"/>
    </row>
    <row r="132" spans="13:13">
      <c r="M132" s="47"/>
    </row>
    <row r="133" spans="13:13">
      <c r="M133" s="47"/>
    </row>
    <row r="134" spans="13:13">
      <c r="M134" s="47"/>
    </row>
    <row r="135" spans="13:13">
      <c r="M135" s="47"/>
    </row>
    <row r="136" spans="13:13">
      <c r="M136" s="47"/>
    </row>
    <row r="137" spans="13:13">
      <c r="M137" s="47"/>
    </row>
    <row r="138" spans="13:13">
      <c r="M138" s="47"/>
    </row>
    <row r="139" spans="13:13">
      <c r="M139" s="47"/>
    </row>
    <row r="140" spans="13:13">
      <c r="M140" s="47"/>
    </row>
    <row r="141" spans="13:13">
      <c r="M141" s="47"/>
    </row>
    <row r="142" spans="13:13">
      <c r="M142" s="47"/>
    </row>
    <row r="143" spans="13:13">
      <c r="M143" s="47"/>
    </row>
    <row r="144" spans="13:13">
      <c r="M144" s="47"/>
    </row>
    <row r="145" spans="13:13">
      <c r="M145" s="47"/>
    </row>
    <row r="146" spans="13:13">
      <c r="M146" s="47"/>
    </row>
    <row r="147" spans="13:13">
      <c r="M147" s="47"/>
    </row>
    <row r="148" spans="13:13">
      <c r="M148" s="47"/>
    </row>
    <row r="149" spans="13:13">
      <c r="M149" s="47"/>
    </row>
    <row r="150" spans="13:13">
      <c r="M150" s="47"/>
    </row>
    <row r="151" spans="13:13">
      <c r="M151" s="47"/>
    </row>
    <row r="152" spans="13:13">
      <c r="M152" s="47"/>
    </row>
  </sheetData>
  <pageMargins left="0.75" right="0.75" top="1" bottom="1" header="0.5" footer="0.5"/>
  <pageSetup paperSize="9" orientation="portrait" horizontalDpi="300" verticalDpi="300" r:id="rId1"/>
  <headerFooter alignWithMargins="0">
    <oddHeader>&amp;L&amp;"Arial"&amp;9&amp;K0078D7 INTERNAL&amp;1#_x000D_</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22F9A-367A-4DB5-9104-85EC06EE4853}">
  <sheetPr codeName="Sheet15">
    <tabColor indexed="14"/>
  </sheetPr>
  <dimension ref="A1:N152"/>
  <sheetViews>
    <sheetView topLeftCell="A54" zoomScale="145" zoomScaleNormal="145" workbookViewId="0">
      <selection activeCell="G57" sqref="G57"/>
    </sheetView>
  </sheetViews>
  <sheetFormatPr defaultRowHeight="10"/>
  <cols>
    <col min="1" max="1" width="24.7265625" style="43" bestFit="1" customWidth="1"/>
    <col min="2" max="2" width="18.7265625" style="44" bestFit="1" customWidth="1"/>
    <col min="3" max="3" width="8.1796875" style="44" customWidth="1"/>
    <col min="4" max="5" width="8.26953125" style="44" customWidth="1"/>
    <col min="6" max="6" width="7.26953125" style="44" customWidth="1"/>
    <col min="7" max="7" width="17.1796875" style="46" customWidth="1"/>
    <col min="8" max="8" width="20.7265625" style="46" customWidth="1"/>
    <col min="9" max="9" width="20.81640625" style="46" customWidth="1"/>
    <col min="10" max="10" width="19.54296875" style="44" bestFit="1" customWidth="1"/>
    <col min="11" max="11" width="9.1796875" style="44"/>
    <col min="12" max="12" width="22.1796875" style="87" customWidth="1"/>
    <col min="13" max="13" width="13.26953125" style="11" customWidth="1"/>
    <col min="14" max="256" width="9.1796875" style="11"/>
    <col min="257" max="257" width="24.7265625" style="11" bestFit="1" customWidth="1"/>
    <col min="258" max="258" width="18.7265625" style="11" bestFit="1" customWidth="1"/>
    <col min="259" max="259" width="8.1796875" style="11" customWidth="1"/>
    <col min="260" max="261" width="8.26953125" style="11" customWidth="1"/>
    <col min="262" max="262" width="7.26953125" style="11" customWidth="1"/>
    <col min="263" max="263" width="17.1796875" style="11" customWidth="1"/>
    <col min="264" max="264" width="20.7265625" style="11" customWidth="1"/>
    <col min="265" max="265" width="20.81640625" style="11" customWidth="1"/>
    <col min="266" max="266" width="19.54296875" style="11" bestFit="1" customWidth="1"/>
    <col min="267" max="267" width="9.1796875" style="11"/>
    <col min="268" max="268" width="22.1796875" style="11" customWidth="1"/>
    <col min="269" max="269" width="13.26953125" style="11" customWidth="1"/>
    <col min="270" max="512" width="9.1796875" style="11"/>
    <col min="513" max="513" width="24.7265625" style="11" bestFit="1" customWidth="1"/>
    <col min="514" max="514" width="18.7265625" style="11" bestFit="1" customWidth="1"/>
    <col min="515" max="515" width="8.1796875" style="11" customWidth="1"/>
    <col min="516" max="517" width="8.26953125" style="11" customWidth="1"/>
    <col min="518" max="518" width="7.26953125" style="11" customWidth="1"/>
    <col min="519" max="519" width="17.1796875" style="11" customWidth="1"/>
    <col min="520" max="520" width="20.7265625" style="11" customWidth="1"/>
    <col min="521" max="521" width="20.81640625" style="11" customWidth="1"/>
    <col min="522" max="522" width="19.54296875" style="11" bestFit="1" customWidth="1"/>
    <col min="523" max="523" width="9.1796875" style="11"/>
    <col min="524" max="524" width="22.1796875" style="11" customWidth="1"/>
    <col min="525" max="525" width="13.26953125" style="11" customWidth="1"/>
    <col min="526" max="768" width="9.1796875" style="11"/>
    <col min="769" max="769" width="24.7265625" style="11" bestFit="1" customWidth="1"/>
    <col min="770" max="770" width="18.7265625" style="11" bestFit="1" customWidth="1"/>
    <col min="771" max="771" width="8.1796875" style="11" customWidth="1"/>
    <col min="772" max="773" width="8.26953125" style="11" customWidth="1"/>
    <col min="774" max="774" width="7.26953125" style="11" customWidth="1"/>
    <col min="775" max="775" width="17.1796875" style="11" customWidth="1"/>
    <col min="776" max="776" width="20.7265625" style="11" customWidth="1"/>
    <col min="777" max="777" width="20.81640625" style="11" customWidth="1"/>
    <col min="778" max="778" width="19.54296875" style="11" bestFit="1" customWidth="1"/>
    <col min="779" max="779" width="9.1796875" style="11"/>
    <col min="780" max="780" width="22.1796875" style="11" customWidth="1"/>
    <col min="781" max="781" width="13.26953125" style="11" customWidth="1"/>
    <col min="782" max="1024" width="9.1796875" style="11"/>
    <col min="1025" max="1025" width="24.7265625" style="11" bestFit="1" customWidth="1"/>
    <col min="1026" max="1026" width="18.7265625" style="11" bestFit="1" customWidth="1"/>
    <col min="1027" max="1027" width="8.1796875" style="11" customWidth="1"/>
    <col min="1028" max="1029" width="8.26953125" style="11" customWidth="1"/>
    <col min="1030" max="1030" width="7.26953125" style="11" customWidth="1"/>
    <col min="1031" max="1031" width="17.1796875" style="11" customWidth="1"/>
    <col min="1032" max="1032" width="20.7265625" style="11" customWidth="1"/>
    <col min="1033" max="1033" width="20.81640625" style="11" customWidth="1"/>
    <col min="1034" max="1034" width="19.54296875" style="11" bestFit="1" customWidth="1"/>
    <col min="1035" max="1035" width="9.1796875" style="11"/>
    <col min="1036" max="1036" width="22.1796875" style="11" customWidth="1"/>
    <col min="1037" max="1037" width="13.26953125" style="11" customWidth="1"/>
    <col min="1038" max="1280" width="9.1796875" style="11"/>
    <col min="1281" max="1281" width="24.7265625" style="11" bestFit="1" customWidth="1"/>
    <col min="1282" max="1282" width="18.7265625" style="11" bestFit="1" customWidth="1"/>
    <col min="1283" max="1283" width="8.1796875" style="11" customWidth="1"/>
    <col min="1284" max="1285" width="8.26953125" style="11" customWidth="1"/>
    <col min="1286" max="1286" width="7.26953125" style="11" customWidth="1"/>
    <col min="1287" max="1287" width="17.1796875" style="11" customWidth="1"/>
    <col min="1288" max="1288" width="20.7265625" style="11" customWidth="1"/>
    <col min="1289" max="1289" width="20.81640625" style="11" customWidth="1"/>
    <col min="1290" max="1290" width="19.54296875" style="11" bestFit="1" customWidth="1"/>
    <col min="1291" max="1291" width="9.1796875" style="11"/>
    <col min="1292" max="1292" width="22.1796875" style="11" customWidth="1"/>
    <col min="1293" max="1293" width="13.26953125" style="11" customWidth="1"/>
    <col min="1294" max="1536" width="9.1796875" style="11"/>
    <col min="1537" max="1537" width="24.7265625" style="11" bestFit="1" customWidth="1"/>
    <col min="1538" max="1538" width="18.7265625" style="11" bestFit="1" customWidth="1"/>
    <col min="1539" max="1539" width="8.1796875" style="11" customWidth="1"/>
    <col min="1540" max="1541" width="8.26953125" style="11" customWidth="1"/>
    <col min="1542" max="1542" width="7.26953125" style="11" customWidth="1"/>
    <col min="1543" max="1543" width="17.1796875" style="11" customWidth="1"/>
    <col min="1544" max="1544" width="20.7265625" style="11" customWidth="1"/>
    <col min="1545" max="1545" width="20.81640625" style="11" customWidth="1"/>
    <col min="1546" max="1546" width="19.54296875" style="11" bestFit="1" customWidth="1"/>
    <col min="1547" max="1547" width="9.1796875" style="11"/>
    <col min="1548" max="1548" width="22.1796875" style="11" customWidth="1"/>
    <col min="1549" max="1549" width="13.26953125" style="11" customWidth="1"/>
    <col min="1550" max="1792" width="9.1796875" style="11"/>
    <col min="1793" max="1793" width="24.7265625" style="11" bestFit="1" customWidth="1"/>
    <col min="1794" max="1794" width="18.7265625" style="11" bestFit="1" customWidth="1"/>
    <col min="1795" max="1795" width="8.1796875" style="11" customWidth="1"/>
    <col min="1796" max="1797" width="8.26953125" style="11" customWidth="1"/>
    <col min="1798" max="1798" width="7.26953125" style="11" customWidth="1"/>
    <col min="1799" max="1799" width="17.1796875" style="11" customWidth="1"/>
    <col min="1800" max="1800" width="20.7265625" style="11" customWidth="1"/>
    <col min="1801" max="1801" width="20.81640625" style="11" customWidth="1"/>
    <col min="1802" max="1802" width="19.54296875" style="11" bestFit="1" customWidth="1"/>
    <col min="1803" max="1803" width="9.1796875" style="11"/>
    <col min="1804" max="1804" width="22.1796875" style="11" customWidth="1"/>
    <col min="1805" max="1805" width="13.26953125" style="11" customWidth="1"/>
    <col min="1806" max="2048" width="9.1796875" style="11"/>
    <col min="2049" max="2049" width="24.7265625" style="11" bestFit="1" customWidth="1"/>
    <col min="2050" max="2050" width="18.7265625" style="11" bestFit="1" customWidth="1"/>
    <col min="2051" max="2051" width="8.1796875" style="11" customWidth="1"/>
    <col min="2052" max="2053" width="8.26953125" style="11" customWidth="1"/>
    <col min="2054" max="2054" width="7.26953125" style="11" customWidth="1"/>
    <col min="2055" max="2055" width="17.1796875" style="11" customWidth="1"/>
    <col min="2056" max="2056" width="20.7265625" style="11" customWidth="1"/>
    <col min="2057" max="2057" width="20.81640625" style="11" customWidth="1"/>
    <col min="2058" max="2058" width="19.54296875" style="11" bestFit="1" customWidth="1"/>
    <col min="2059" max="2059" width="9.1796875" style="11"/>
    <col min="2060" max="2060" width="22.1796875" style="11" customWidth="1"/>
    <col min="2061" max="2061" width="13.26953125" style="11" customWidth="1"/>
    <col min="2062" max="2304" width="9.1796875" style="11"/>
    <col min="2305" max="2305" width="24.7265625" style="11" bestFit="1" customWidth="1"/>
    <col min="2306" max="2306" width="18.7265625" style="11" bestFit="1" customWidth="1"/>
    <col min="2307" max="2307" width="8.1796875" style="11" customWidth="1"/>
    <col min="2308" max="2309" width="8.26953125" style="11" customWidth="1"/>
    <col min="2310" max="2310" width="7.26953125" style="11" customWidth="1"/>
    <col min="2311" max="2311" width="17.1796875" style="11" customWidth="1"/>
    <col min="2312" max="2312" width="20.7265625" style="11" customWidth="1"/>
    <col min="2313" max="2313" width="20.81640625" style="11" customWidth="1"/>
    <col min="2314" max="2314" width="19.54296875" style="11" bestFit="1" customWidth="1"/>
    <col min="2315" max="2315" width="9.1796875" style="11"/>
    <col min="2316" max="2316" width="22.1796875" style="11" customWidth="1"/>
    <col min="2317" max="2317" width="13.26953125" style="11" customWidth="1"/>
    <col min="2318" max="2560" width="9.1796875" style="11"/>
    <col min="2561" max="2561" width="24.7265625" style="11" bestFit="1" customWidth="1"/>
    <col min="2562" max="2562" width="18.7265625" style="11" bestFit="1" customWidth="1"/>
    <col min="2563" max="2563" width="8.1796875" style="11" customWidth="1"/>
    <col min="2564" max="2565" width="8.26953125" style="11" customWidth="1"/>
    <col min="2566" max="2566" width="7.26953125" style="11" customWidth="1"/>
    <col min="2567" max="2567" width="17.1796875" style="11" customWidth="1"/>
    <col min="2568" max="2568" width="20.7265625" style="11" customWidth="1"/>
    <col min="2569" max="2569" width="20.81640625" style="11" customWidth="1"/>
    <col min="2570" max="2570" width="19.54296875" style="11" bestFit="1" customWidth="1"/>
    <col min="2571" max="2571" width="9.1796875" style="11"/>
    <col min="2572" max="2572" width="22.1796875" style="11" customWidth="1"/>
    <col min="2573" max="2573" width="13.26953125" style="11" customWidth="1"/>
    <col min="2574" max="2816" width="9.1796875" style="11"/>
    <col min="2817" max="2817" width="24.7265625" style="11" bestFit="1" customWidth="1"/>
    <col min="2818" max="2818" width="18.7265625" style="11" bestFit="1" customWidth="1"/>
    <col min="2819" max="2819" width="8.1796875" style="11" customWidth="1"/>
    <col min="2820" max="2821" width="8.26953125" style="11" customWidth="1"/>
    <col min="2822" max="2822" width="7.26953125" style="11" customWidth="1"/>
    <col min="2823" max="2823" width="17.1796875" style="11" customWidth="1"/>
    <col min="2824" max="2824" width="20.7265625" style="11" customWidth="1"/>
    <col min="2825" max="2825" width="20.81640625" style="11" customWidth="1"/>
    <col min="2826" max="2826" width="19.54296875" style="11" bestFit="1" customWidth="1"/>
    <col min="2827" max="2827" width="9.1796875" style="11"/>
    <col min="2828" max="2828" width="22.1796875" style="11" customWidth="1"/>
    <col min="2829" max="2829" width="13.26953125" style="11" customWidth="1"/>
    <col min="2830" max="3072" width="9.1796875" style="11"/>
    <col min="3073" max="3073" width="24.7265625" style="11" bestFit="1" customWidth="1"/>
    <col min="3074" max="3074" width="18.7265625" style="11" bestFit="1" customWidth="1"/>
    <col min="3075" max="3075" width="8.1796875" style="11" customWidth="1"/>
    <col min="3076" max="3077" width="8.26953125" style="11" customWidth="1"/>
    <col min="3078" max="3078" width="7.26953125" style="11" customWidth="1"/>
    <col min="3079" max="3079" width="17.1796875" style="11" customWidth="1"/>
    <col min="3080" max="3080" width="20.7265625" style="11" customWidth="1"/>
    <col min="3081" max="3081" width="20.81640625" style="11" customWidth="1"/>
    <col min="3082" max="3082" width="19.54296875" style="11" bestFit="1" customWidth="1"/>
    <col min="3083" max="3083" width="9.1796875" style="11"/>
    <col min="3084" max="3084" width="22.1796875" style="11" customWidth="1"/>
    <col min="3085" max="3085" width="13.26953125" style="11" customWidth="1"/>
    <col min="3086" max="3328" width="9.1796875" style="11"/>
    <col min="3329" max="3329" width="24.7265625" style="11" bestFit="1" customWidth="1"/>
    <col min="3330" max="3330" width="18.7265625" style="11" bestFit="1" customWidth="1"/>
    <col min="3331" max="3331" width="8.1796875" style="11" customWidth="1"/>
    <col min="3332" max="3333" width="8.26953125" style="11" customWidth="1"/>
    <col min="3334" max="3334" width="7.26953125" style="11" customWidth="1"/>
    <col min="3335" max="3335" width="17.1796875" style="11" customWidth="1"/>
    <col min="3336" max="3336" width="20.7265625" style="11" customWidth="1"/>
    <col min="3337" max="3337" width="20.81640625" style="11" customWidth="1"/>
    <col min="3338" max="3338" width="19.54296875" style="11" bestFit="1" customWidth="1"/>
    <col min="3339" max="3339" width="9.1796875" style="11"/>
    <col min="3340" max="3340" width="22.1796875" style="11" customWidth="1"/>
    <col min="3341" max="3341" width="13.26953125" style="11" customWidth="1"/>
    <col min="3342" max="3584" width="9.1796875" style="11"/>
    <col min="3585" max="3585" width="24.7265625" style="11" bestFit="1" customWidth="1"/>
    <col min="3586" max="3586" width="18.7265625" style="11" bestFit="1" customWidth="1"/>
    <col min="3587" max="3587" width="8.1796875" style="11" customWidth="1"/>
    <col min="3588" max="3589" width="8.26953125" style="11" customWidth="1"/>
    <col min="3590" max="3590" width="7.26953125" style="11" customWidth="1"/>
    <col min="3591" max="3591" width="17.1796875" style="11" customWidth="1"/>
    <col min="3592" max="3592" width="20.7265625" style="11" customWidth="1"/>
    <col min="3593" max="3593" width="20.81640625" style="11" customWidth="1"/>
    <col min="3594" max="3594" width="19.54296875" style="11" bestFit="1" customWidth="1"/>
    <col min="3595" max="3595" width="9.1796875" style="11"/>
    <col min="3596" max="3596" width="22.1796875" style="11" customWidth="1"/>
    <col min="3597" max="3597" width="13.26953125" style="11" customWidth="1"/>
    <col min="3598" max="3840" width="9.1796875" style="11"/>
    <col min="3841" max="3841" width="24.7265625" style="11" bestFit="1" customWidth="1"/>
    <col min="3842" max="3842" width="18.7265625" style="11" bestFit="1" customWidth="1"/>
    <col min="3843" max="3843" width="8.1796875" style="11" customWidth="1"/>
    <col min="3844" max="3845" width="8.26953125" style="11" customWidth="1"/>
    <col min="3846" max="3846" width="7.26953125" style="11" customWidth="1"/>
    <col min="3847" max="3847" width="17.1796875" style="11" customWidth="1"/>
    <col min="3848" max="3848" width="20.7265625" style="11" customWidth="1"/>
    <col min="3849" max="3849" width="20.81640625" style="11" customWidth="1"/>
    <col min="3850" max="3850" width="19.54296875" style="11" bestFit="1" customWidth="1"/>
    <col min="3851" max="3851" width="9.1796875" style="11"/>
    <col min="3852" max="3852" width="22.1796875" style="11" customWidth="1"/>
    <col min="3853" max="3853" width="13.26953125" style="11" customWidth="1"/>
    <col min="3854" max="4096" width="9.1796875" style="11"/>
    <col min="4097" max="4097" width="24.7265625" style="11" bestFit="1" customWidth="1"/>
    <col min="4098" max="4098" width="18.7265625" style="11" bestFit="1" customWidth="1"/>
    <col min="4099" max="4099" width="8.1796875" style="11" customWidth="1"/>
    <col min="4100" max="4101" width="8.26953125" style="11" customWidth="1"/>
    <col min="4102" max="4102" width="7.26953125" style="11" customWidth="1"/>
    <col min="4103" max="4103" width="17.1796875" style="11" customWidth="1"/>
    <col min="4104" max="4104" width="20.7265625" style="11" customWidth="1"/>
    <col min="4105" max="4105" width="20.81640625" style="11" customWidth="1"/>
    <col min="4106" max="4106" width="19.54296875" style="11" bestFit="1" customWidth="1"/>
    <col min="4107" max="4107" width="9.1796875" style="11"/>
    <col min="4108" max="4108" width="22.1796875" style="11" customWidth="1"/>
    <col min="4109" max="4109" width="13.26953125" style="11" customWidth="1"/>
    <col min="4110" max="4352" width="9.1796875" style="11"/>
    <col min="4353" max="4353" width="24.7265625" style="11" bestFit="1" customWidth="1"/>
    <col min="4354" max="4354" width="18.7265625" style="11" bestFit="1" customWidth="1"/>
    <col min="4355" max="4355" width="8.1796875" style="11" customWidth="1"/>
    <col min="4356" max="4357" width="8.26953125" style="11" customWidth="1"/>
    <col min="4358" max="4358" width="7.26953125" style="11" customWidth="1"/>
    <col min="4359" max="4359" width="17.1796875" style="11" customWidth="1"/>
    <col min="4360" max="4360" width="20.7265625" style="11" customWidth="1"/>
    <col min="4361" max="4361" width="20.81640625" style="11" customWidth="1"/>
    <col min="4362" max="4362" width="19.54296875" style="11" bestFit="1" customWidth="1"/>
    <col min="4363" max="4363" width="9.1796875" style="11"/>
    <col min="4364" max="4364" width="22.1796875" style="11" customWidth="1"/>
    <col min="4365" max="4365" width="13.26953125" style="11" customWidth="1"/>
    <col min="4366" max="4608" width="9.1796875" style="11"/>
    <col min="4609" max="4609" width="24.7265625" style="11" bestFit="1" customWidth="1"/>
    <col min="4610" max="4610" width="18.7265625" style="11" bestFit="1" customWidth="1"/>
    <col min="4611" max="4611" width="8.1796875" style="11" customWidth="1"/>
    <col min="4612" max="4613" width="8.26953125" style="11" customWidth="1"/>
    <col min="4614" max="4614" width="7.26953125" style="11" customWidth="1"/>
    <col min="4615" max="4615" width="17.1796875" style="11" customWidth="1"/>
    <col min="4616" max="4616" width="20.7265625" style="11" customWidth="1"/>
    <col min="4617" max="4617" width="20.81640625" style="11" customWidth="1"/>
    <col min="4618" max="4618" width="19.54296875" style="11" bestFit="1" customWidth="1"/>
    <col min="4619" max="4619" width="9.1796875" style="11"/>
    <col min="4620" max="4620" width="22.1796875" style="11" customWidth="1"/>
    <col min="4621" max="4621" width="13.26953125" style="11" customWidth="1"/>
    <col min="4622" max="4864" width="9.1796875" style="11"/>
    <col min="4865" max="4865" width="24.7265625" style="11" bestFit="1" customWidth="1"/>
    <col min="4866" max="4866" width="18.7265625" style="11" bestFit="1" customWidth="1"/>
    <col min="4867" max="4867" width="8.1796875" style="11" customWidth="1"/>
    <col min="4868" max="4869" width="8.26953125" style="11" customWidth="1"/>
    <col min="4870" max="4870" width="7.26953125" style="11" customWidth="1"/>
    <col min="4871" max="4871" width="17.1796875" style="11" customWidth="1"/>
    <col min="4872" max="4872" width="20.7265625" style="11" customWidth="1"/>
    <col min="4873" max="4873" width="20.81640625" style="11" customWidth="1"/>
    <col min="4874" max="4874" width="19.54296875" style="11" bestFit="1" customWidth="1"/>
    <col min="4875" max="4875" width="9.1796875" style="11"/>
    <col min="4876" max="4876" width="22.1796875" style="11" customWidth="1"/>
    <col min="4877" max="4877" width="13.26953125" style="11" customWidth="1"/>
    <col min="4878" max="5120" width="9.1796875" style="11"/>
    <col min="5121" max="5121" width="24.7265625" style="11" bestFit="1" customWidth="1"/>
    <col min="5122" max="5122" width="18.7265625" style="11" bestFit="1" customWidth="1"/>
    <col min="5123" max="5123" width="8.1796875" style="11" customWidth="1"/>
    <col min="5124" max="5125" width="8.26953125" style="11" customWidth="1"/>
    <col min="5126" max="5126" width="7.26953125" style="11" customWidth="1"/>
    <col min="5127" max="5127" width="17.1796875" style="11" customWidth="1"/>
    <col min="5128" max="5128" width="20.7265625" style="11" customWidth="1"/>
    <col min="5129" max="5129" width="20.81640625" style="11" customWidth="1"/>
    <col min="5130" max="5130" width="19.54296875" style="11" bestFit="1" customWidth="1"/>
    <col min="5131" max="5131" width="9.1796875" style="11"/>
    <col min="5132" max="5132" width="22.1796875" style="11" customWidth="1"/>
    <col min="5133" max="5133" width="13.26953125" style="11" customWidth="1"/>
    <col min="5134" max="5376" width="9.1796875" style="11"/>
    <col min="5377" max="5377" width="24.7265625" style="11" bestFit="1" customWidth="1"/>
    <col min="5378" max="5378" width="18.7265625" style="11" bestFit="1" customWidth="1"/>
    <col min="5379" max="5379" width="8.1796875" style="11" customWidth="1"/>
    <col min="5380" max="5381" width="8.26953125" style="11" customWidth="1"/>
    <col min="5382" max="5382" width="7.26953125" style="11" customWidth="1"/>
    <col min="5383" max="5383" width="17.1796875" style="11" customWidth="1"/>
    <col min="5384" max="5384" width="20.7265625" style="11" customWidth="1"/>
    <col min="5385" max="5385" width="20.81640625" style="11" customWidth="1"/>
    <col min="5386" max="5386" width="19.54296875" style="11" bestFit="1" customWidth="1"/>
    <col min="5387" max="5387" width="9.1796875" style="11"/>
    <col min="5388" max="5388" width="22.1796875" style="11" customWidth="1"/>
    <col min="5389" max="5389" width="13.26953125" style="11" customWidth="1"/>
    <col min="5390" max="5632" width="9.1796875" style="11"/>
    <col min="5633" max="5633" width="24.7265625" style="11" bestFit="1" customWidth="1"/>
    <col min="5634" max="5634" width="18.7265625" style="11" bestFit="1" customWidth="1"/>
    <col min="5635" max="5635" width="8.1796875" style="11" customWidth="1"/>
    <col min="5636" max="5637" width="8.26953125" style="11" customWidth="1"/>
    <col min="5638" max="5638" width="7.26953125" style="11" customWidth="1"/>
    <col min="5639" max="5639" width="17.1796875" style="11" customWidth="1"/>
    <col min="5640" max="5640" width="20.7265625" style="11" customWidth="1"/>
    <col min="5641" max="5641" width="20.81640625" style="11" customWidth="1"/>
    <col min="5642" max="5642" width="19.54296875" style="11" bestFit="1" customWidth="1"/>
    <col min="5643" max="5643" width="9.1796875" style="11"/>
    <col min="5644" max="5644" width="22.1796875" style="11" customWidth="1"/>
    <col min="5645" max="5645" width="13.26953125" style="11" customWidth="1"/>
    <col min="5646" max="5888" width="9.1796875" style="11"/>
    <col min="5889" max="5889" width="24.7265625" style="11" bestFit="1" customWidth="1"/>
    <col min="5890" max="5890" width="18.7265625" style="11" bestFit="1" customWidth="1"/>
    <col min="5891" max="5891" width="8.1796875" style="11" customWidth="1"/>
    <col min="5892" max="5893" width="8.26953125" style="11" customWidth="1"/>
    <col min="5894" max="5894" width="7.26953125" style="11" customWidth="1"/>
    <col min="5895" max="5895" width="17.1796875" style="11" customWidth="1"/>
    <col min="5896" max="5896" width="20.7265625" style="11" customWidth="1"/>
    <col min="5897" max="5897" width="20.81640625" style="11" customWidth="1"/>
    <col min="5898" max="5898" width="19.54296875" style="11" bestFit="1" customWidth="1"/>
    <col min="5899" max="5899" width="9.1796875" style="11"/>
    <col min="5900" max="5900" width="22.1796875" style="11" customWidth="1"/>
    <col min="5901" max="5901" width="13.26953125" style="11" customWidth="1"/>
    <col min="5902" max="6144" width="9.1796875" style="11"/>
    <col min="6145" max="6145" width="24.7265625" style="11" bestFit="1" customWidth="1"/>
    <col min="6146" max="6146" width="18.7265625" style="11" bestFit="1" customWidth="1"/>
    <col min="6147" max="6147" width="8.1796875" style="11" customWidth="1"/>
    <col min="6148" max="6149" width="8.26953125" style="11" customWidth="1"/>
    <col min="6150" max="6150" width="7.26953125" style="11" customWidth="1"/>
    <col min="6151" max="6151" width="17.1796875" style="11" customWidth="1"/>
    <col min="6152" max="6152" width="20.7265625" style="11" customWidth="1"/>
    <col min="6153" max="6153" width="20.81640625" style="11" customWidth="1"/>
    <col min="6154" max="6154" width="19.54296875" style="11" bestFit="1" customWidth="1"/>
    <col min="6155" max="6155" width="9.1796875" style="11"/>
    <col min="6156" max="6156" width="22.1796875" style="11" customWidth="1"/>
    <col min="6157" max="6157" width="13.26953125" style="11" customWidth="1"/>
    <col min="6158" max="6400" width="9.1796875" style="11"/>
    <col min="6401" max="6401" width="24.7265625" style="11" bestFit="1" customWidth="1"/>
    <col min="6402" max="6402" width="18.7265625" style="11" bestFit="1" customWidth="1"/>
    <col min="6403" max="6403" width="8.1796875" style="11" customWidth="1"/>
    <col min="6404" max="6405" width="8.26953125" style="11" customWidth="1"/>
    <col min="6406" max="6406" width="7.26953125" style="11" customWidth="1"/>
    <col min="6407" max="6407" width="17.1796875" style="11" customWidth="1"/>
    <col min="6408" max="6408" width="20.7265625" style="11" customWidth="1"/>
    <col min="6409" max="6409" width="20.81640625" style="11" customWidth="1"/>
    <col min="6410" max="6410" width="19.54296875" style="11" bestFit="1" customWidth="1"/>
    <col min="6411" max="6411" width="9.1796875" style="11"/>
    <col min="6412" max="6412" width="22.1796875" style="11" customWidth="1"/>
    <col min="6413" max="6413" width="13.26953125" style="11" customWidth="1"/>
    <col min="6414" max="6656" width="9.1796875" style="11"/>
    <col min="6657" max="6657" width="24.7265625" style="11" bestFit="1" customWidth="1"/>
    <col min="6658" max="6658" width="18.7265625" style="11" bestFit="1" customWidth="1"/>
    <col min="6659" max="6659" width="8.1796875" style="11" customWidth="1"/>
    <col min="6660" max="6661" width="8.26953125" style="11" customWidth="1"/>
    <col min="6662" max="6662" width="7.26953125" style="11" customWidth="1"/>
    <col min="6663" max="6663" width="17.1796875" style="11" customWidth="1"/>
    <col min="6664" max="6664" width="20.7265625" style="11" customWidth="1"/>
    <col min="6665" max="6665" width="20.81640625" style="11" customWidth="1"/>
    <col min="6666" max="6666" width="19.54296875" style="11" bestFit="1" customWidth="1"/>
    <col min="6667" max="6667" width="9.1796875" style="11"/>
    <col min="6668" max="6668" width="22.1796875" style="11" customWidth="1"/>
    <col min="6669" max="6669" width="13.26953125" style="11" customWidth="1"/>
    <col min="6670" max="6912" width="9.1796875" style="11"/>
    <col min="6913" max="6913" width="24.7265625" style="11" bestFit="1" customWidth="1"/>
    <col min="6914" max="6914" width="18.7265625" style="11" bestFit="1" customWidth="1"/>
    <col min="6915" max="6915" width="8.1796875" style="11" customWidth="1"/>
    <col min="6916" max="6917" width="8.26953125" style="11" customWidth="1"/>
    <col min="6918" max="6918" width="7.26953125" style="11" customWidth="1"/>
    <col min="6919" max="6919" width="17.1796875" style="11" customWidth="1"/>
    <col min="6920" max="6920" width="20.7265625" style="11" customWidth="1"/>
    <col min="6921" max="6921" width="20.81640625" style="11" customWidth="1"/>
    <col min="6922" max="6922" width="19.54296875" style="11" bestFit="1" customWidth="1"/>
    <col min="6923" max="6923" width="9.1796875" style="11"/>
    <col min="6924" max="6924" width="22.1796875" style="11" customWidth="1"/>
    <col min="6925" max="6925" width="13.26953125" style="11" customWidth="1"/>
    <col min="6926" max="7168" width="9.1796875" style="11"/>
    <col min="7169" max="7169" width="24.7265625" style="11" bestFit="1" customWidth="1"/>
    <col min="7170" max="7170" width="18.7265625" style="11" bestFit="1" customWidth="1"/>
    <col min="7171" max="7171" width="8.1796875" style="11" customWidth="1"/>
    <col min="7172" max="7173" width="8.26953125" style="11" customWidth="1"/>
    <col min="7174" max="7174" width="7.26953125" style="11" customWidth="1"/>
    <col min="7175" max="7175" width="17.1796875" style="11" customWidth="1"/>
    <col min="7176" max="7176" width="20.7265625" style="11" customWidth="1"/>
    <col min="7177" max="7177" width="20.81640625" style="11" customWidth="1"/>
    <col min="7178" max="7178" width="19.54296875" style="11" bestFit="1" customWidth="1"/>
    <col min="7179" max="7179" width="9.1796875" style="11"/>
    <col min="7180" max="7180" width="22.1796875" style="11" customWidth="1"/>
    <col min="7181" max="7181" width="13.26953125" style="11" customWidth="1"/>
    <col min="7182" max="7424" width="9.1796875" style="11"/>
    <col min="7425" max="7425" width="24.7265625" style="11" bestFit="1" customWidth="1"/>
    <col min="7426" max="7426" width="18.7265625" style="11" bestFit="1" customWidth="1"/>
    <col min="7427" max="7427" width="8.1796875" style="11" customWidth="1"/>
    <col min="7428" max="7429" width="8.26953125" style="11" customWidth="1"/>
    <col min="7430" max="7430" width="7.26953125" style="11" customWidth="1"/>
    <col min="7431" max="7431" width="17.1796875" style="11" customWidth="1"/>
    <col min="7432" max="7432" width="20.7265625" style="11" customWidth="1"/>
    <col min="7433" max="7433" width="20.81640625" style="11" customWidth="1"/>
    <col min="7434" max="7434" width="19.54296875" style="11" bestFit="1" customWidth="1"/>
    <col min="7435" max="7435" width="9.1796875" style="11"/>
    <col min="7436" max="7436" width="22.1796875" style="11" customWidth="1"/>
    <col min="7437" max="7437" width="13.26953125" style="11" customWidth="1"/>
    <col min="7438" max="7680" width="9.1796875" style="11"/>
    <col min="7681" max="7681" width="24.7265625" style="11" bestFit="1" customWidth="1"/>
    <col min="7682" max="7682" width="18.7265625" style="11" bestFit="1" customWidth="1"/>
    <col min="7683" max="7683" width="8.1796875" style="11" customWidth="1"/>
    <col min="7684" max="7685" width="8.26953125" style="11" customWidth="1"/>
    <col min="7686" max="7686" width="7.26953125" style="11" customWidth="1"/>
    <col min="7687" max="7687" width="17.1796875" style="11" customWidth="1"/>
    <col min="7688" max="7688" width="20.7265625" style="11" customWidth="1"/>
    <col min="7689" max="7689" width="20.81640625" style="11" customWidth="1"/>
    <col min="7690" max="7690" width="19.54296875" style="11" bestFit="1" customWidth="1"/>
    <col min="7691" max="7691" width="9.1796875" style="11"/>
    <col min="7692" max="7692" width="22.1796875" style="11" customWidth="1"/>
    <col min="7693" max="7693" width="13.26953125" style="11" customWidth="1"/>
    <col min="7694" max="7936" width="9.1796875" style="11"/>
    <col min="7937" max="7937" width="24.7265625" style="11" bestFit="1" customWidth="1"/>
    <col min="7938" max="7938" width="18.7265625" style="11" bestFit="1" customWidth="1"/>
    <col min="7939" max="7939" width="8.1796875" style="11" customWidth="1"/>
    <col min="7940" max="7941" width="8.26953125" style="11" customWidth="1"/>
    <col min="7942" max="7942" width="7.26953125" style="11" customWidth="1"/>
    <col min="7943" max="7943" width="17.1796875" style="11" customWidth="1"/>
    <col min="7944" max="7944" width="20.7265625" style="11" customWidth="1"/>
    <col min="7945" max="7945" width="20.81640625" style="11" customWidth="1"/>
    <col min="7946" max="7946" width="19.54296875" style="11" bestFit="1" customWidth="1"/>
    <col min="7947" max="7947" width="9.1796875" style="11"/>
    <col min="7948" max="7948" width="22.1796875" style="11" customWidth="1"/>
    <col min="7949" max="7949" width="13.26953125" style="11" customWidth="1"/>
    <col min="7950" max="8192" width="9.1796875" style="11"/>
    <col min="8193" max="8193" width="24.7265625" style="11" bestFit="1" customWidth="1"/>
    <col min="8194" max="8194" width="18.7265625" style="11" bestFit="1" customWidth="1"/>
    <col min="8195" max="8195" width="8.1796875" style="11" customWidth="1"/>
    <col min="8196" max="8197" width="8.26953125" style="11" customWidth="1"/>
    <col min="8198" max="8198" width="7.26953125" style="11" customWidth="1"/>
    <col min="8199" max="8199" width="17.1796875" style="11" customWidth="1"/>
    <col min="8200" max="8200" width="20.7265625" style="11" customWidth="1"/>
    <col min="8201" max="8201" width="20.81640625" style="11" customWidth="1"/>
    <col min="8202" max="8202" width="19.54296875" style="11" bestFit="1" customWidth="1"/>
    <col min="8203" max="8203" width="9.1796875" style="11"/>
    <col min="8204" max="8204" width="22.1796875" style="11" customWidth="1"/>
    <col min="8205" max="8205" width="13.26953125" style="11" customWidth="1"/>
    <col min="8206" max="8448" width="9.1796875" style="11"/>
    <col min="8449" max="8449" width="24.7265625" style="11" bestFit="1" customWidth="1"/>
    <col min="8450" max="8450" width="18.7265625" style="11" bestFit="1" customWidth="1"/>
    <col min="8451" max="8451" width="8.1796875" style="11" customWidth="1"/>
    <col min="8452" max="8453" width="8.26953125" style="11" customWidth="1"/>
    <col min="8454" max="8454" width="7.26953125" style="11" customWidth="1"/>
    <col min="8455" max="8455" width="17.1796875" style="11" customWidth="1"/>
    <col min="8456" max="8456" width="20.7265625" style="11" customWidth="1"/>
    <col min="8457" max="8457" width="20.81640625" style="11" customWidth="1"/>
    <col min="8458" max="8458" width="19.54296875" style="11" bestFit="1" customWidth="1"/>
    <col min="8459" max="8459" width="9.1796875" style="11"/>
    <col min="8460" max="8460" width="22.1796875" style="11" customWidth="1"/>
    <col min="8461" max="8461" width="13.26953125" style="11" customWidth="1"/>
    <col min="8462" max="8704" width="9.1796875" style="11"/>
    <col min="8705" max="8705" width="24.7265625" style="11" bestFit="1" customWidth="1"/>
    <col min="8706" max="8706" width="18.7265625" style="11" bestFit="1" customWidth="1"/>
    <col min="8707" max="8707" width="8.1796875" style="11" customWidth="1"/>
    <col min="8708" max="8709" width="8.26953125" style="11" customWidth="1"/>
    <col min="8710" max="8710" width="7.26953125" style="11" customWidth="1"/>
    <col min="8711" max="8711" width="17.1796875" style="11" customWidth="1"/>
    <col min="8712" max="8712" width="20.7265625" style="11" customWidth="1"/>
    <col min="8713" max="8713" width="20.81640625" style="11" customWidth="1"/>
    <col min="8714" max="8714" width="19.54296875" style="11" bestFit="1" customWidth="1"/>
    <col min="8715" max="8715" width="9.1796875" style="11"/>
    <col min="8716" max="8716" width="22.1796875" style="11" customWidth="1"/>
    <col min="8717" max="8717" width="13.26953125" style="11" customWidth="1"/>
    <col min="8718" max="8960" width="9.1796875" style="11"/>
    <col min="8961" max="8961" width="24.7265625" style="11" bestFit="1" customWidth="1"/>
    <col min="8962" max="8962" width="18.7265625" style="11" bestFit="1" customWidth="1"/>
    <col min="8963" max="8963" width="8.1796875" style="11" customWidth="1"/>
    <col min="8964" max="8965" width="8.26953125" style="11" customWidth="1"/>
    <col min="8966" max="8966" width="7.26953125" style="11" customWidth="1"/>
    <col min="8967" max="8967" width="17.1796875" style="11" customWidth="1"/>
    <col min="8968" max="8968" width="20.7265625" style="11" customWidth="1"/>
    <col min="8969" max="8969" width="20.81640625" style="11" customWidth="1"/>
    <col min="8970" max="8970" width="19.54296875" style="11" bestFit="1" customWidth="1"/>
    <col min="8971" max="8971" width="9.1796875" style="11"/>
    <col min="8972" max="8972" width="22.1796875" style="11" customWidth="1"/>
    <col min="8973" max="8973" width="13.26953125" style="11" customWidth="1"/>
    <col min="8974" max="9216" width="9.1796875" style="11"/>
    <col min="9217" max="9217" width="24.7265625" style="11" bestFit="1" customWidth="1"/>
    <col min="9218" max="9218" width="18.7265625" style="11" bestFit="1" customWidth="1"/>
    <col min="9219" max="9219" width="8.1796875" style="11" customWidth="1"/>
    <col min="9220" max="9221" width="8.26953125" style="11" customWidth="1"/>
    <col min="9222" max="9222" width="7.26953125" style="11" customWidth="1"/>
    <col min="9223" max="9223" width="17.1796875" style="11" customWidth="1"/>
    <col min="9224" max="9224" width="20.7265625" style="11" customWidth="1"/>
    <col min="9225" max="9225" width="20.81640625" style="11" customWidth="1"/>
    <col min="9226" max="9226" width="19.54296875" style="11" bestFit="1" customWidth="1"/>
    <col min="9227" max="9227" width="9.1796875" style="11"/>
    <col min="9228" max="9228" width="22.1796875" style="11" customWidth="1"/>
    <col min="9229" max="9229" width="13.26953125" style="11" customWidth="1"/>
    <col min="9230" max="9472" width="9.1796875" style="11"/>
    <col min="9473" max="9473" width="24.7265625" style="11" bestFit="1" customWidth="1"/>
    <col min="9474" max="9474" width="18.7265625" style="11" bestFit="1" customWidth="1"/>
    <col min="9475" max="9475" width="8.1796875" style="11" customWidth="1"/>
    <col min="9476" max="9477" width="8.26953125" style="11" customWidth="1"/>
    <col min="9478" max="9478" width="7.26953125" style="11" customWidth="1"/>
    <col min="9479" max="9479" width="17.1796875" style="11" customWidth="1"/>
    <col min="9480" max="9480" width="20.7265625" style="11" customWidth="1"/>
    <col min="9481" max="9481" width="20.81640625" style="11" customWidth="1"/>
    <col min="9482" max="9482" width="19.54296875" style="11" bestFit="1" customWidth="1"/>
    <col min="9483" max="9483" width="9.1796875" style="11"/>
    <col min="9484" max="9484" width="22.1796875" style="11" customWidth="1"/>
    <col min="9485" max="9485" width="13.26953125" style="11" customWidth="1"/>
    <col min="9486" max="9728" width="9.1796875" style="11"/>
    <col min="9729" max="9729" width="24.7265625" style="11" bestFit="1" customWidth="1"/>
    <col min="9730" max="9730" width="18.7265625" style="11" bestFit="1" customWidth="1"/>
    <col min="9731" max="9731" width="8.1796875" style="11" customWidth="1"/>
    <col min="9732" max="9733" width="8.26953125" style="11" customWidth="1"/>
    <col min="9734" max="9734" width="7.26953125" style="11" customWidth="1"/>
    <col min="9735" max="9735" width="17.1796875" style="11" customWidth="1"/>
    <col min="9736" max="9736" width="20.7265625" style="11" customWidth="1"/>
    <col min="9737" max="9737" width="20.81640625" style="11" customWidth="1"/>
    <col min="9738" max="9738" width="19.54296875" style="11" bestFit="1" customWidth="1"/>
    <col min="9739" max="9739" width="9.1796875" style="11"/>
    <col min="9740" max="9740" width="22.1796875" style="11" customWidth="1"/>
    <col min="9741" max="9741" width="13.26953125" style="11" customWidth="1"/>
    <col min="9742" max="9984" width="9.1796875" style="11"/>
    <col min="9985" max="9985" width="24.7265625" style="11" bestFit="1" customWidth="1"/>
    <col min="9986" max="9986" width="18.7265625" style="11" bestFit="1" customWidth="1"/>
    <col min="9987" max="9987" width="8.1796875" style="11" customWidth="1"/>
    <col min="9988" max="9989" width="8.26953125" style="11" customWidth="1"/>
    <col min="9990" max="9990" width="7.26953125" style="11" customWidth="1"/>
    <col min="9991" max="9991" width="17.1796875" style="11" customWidth="1"/>
    <col min="9992" max="9992" width="20.7265625" style="11" customWidth="1"/>
    <col min="9993" max="9993" width="20.81640625" style="11" customWidth="1"/>
    <col min="9994" max="9994" width="19.54296875" style="11" bestFit="1" customWidth="1"/>
    <col min="9995" max="9995" width="9.1796875" style="11"/>
    <col min="9996" max="9996" width="22.1796875" style="11" customWidth="1"/>
    <col min="9997" max="9997" width="13.26953125" style="11" customWidth="1"/>
    <col min="9998" max="10240" width="9.1796875" style="11"/>
    <col min="10241" max="10241" width="24.7265625" style="11" bestFit="1" customWidth="1"/>
    <col min="10242" max="10242" width="18.7265625" style="11" bestFit="1" customWidth="1"/>
    <col min="10243" max="10243" width="8.1796875" style="11" customWidth="1"/>
    <col min="10244" max="10245" width="8.26953125" style="11" customWidth="1"/>
    <col min="10246" max="10246" width="7.26953125" style="11" customWidth="1"/>
    <col min="10247" max="10247" width="17.1796875" style="11" customWidth="1"/>
    <col min="10248" max="10248" width="20.7265625" style="11" customWidth="1"/>
    <col min="10249" max="10249" width="20.81640625" style="11" customWidth="1"/>
    <col min="10250" max="10250" width="19.54296875" style="11" bestFit="1" customWidth="1"/>
    <col min="10251" max="10251" width="9.1796875" style="11"/>
    <col min="10252" max="10252" width="22.1796875" style="11" customWidth="1"/>
    <col min="10253" max="10253" width="13.26953125" style="11" customWidth="1"/>
    <col min="10254" max="10496" width="9.1796875" style="11"/>
    <col min="10497" max="10497" width="24.7265625" style="11" bestFit="1" customWidth="1"/>
    <col min="10498" max="10498" width="18.7265625" style="11" bestFit="1" customWidth="1"/>
    <col min="10499" max="10499" width="8.1796875" style="11" customWidth="1"/>
    <col min="10500" max="10501" width="8.26953125" style="11" customWidth="1"/>
    <col min="10502" max="10502" width="7.26953125" style="11" customWidth="1"/>
    <col min="10503" max="10503" width="17.1796875" style="11" customWidth="1"/>
    <col min="10504" max="10504" width="20.7265625" style="11" customWidth="1"/>
    <col min="10505" max="10505" width="20.81640625" style="11" customWidth="1"/>
    <col min="10506" max="10506" width="19.54296875" style="11" bestFit="1" customWidth="1"/>
    <col min="10507" max="10507" width="9.1796875" style="11"/>
    <col min="10508" max="10508" width="22.1796875" style="11" customWidth="1"/>
    <col min="10509" max="10509" width="13.26953125" style="11" customWidth="1"/>
    <col min="10510" max="10752" width="9.1796875" style="11"/>
    <col min="10753" max="10753" width="24.7265625" style="11" bestFit="1" customWidth="1"/>
    <col min="10754" max="10754" width="18.7265625" style="11" bestFit="1" customWidth="1"/>
    <col min="10755" max="10755" width="8.1796875" style="11" customWidth="1"/>
    <col min="10756" max="10757" width="8.26953125" style="11" customWidth="1"/>
    <col min="10758" max="10758" width="7.26953125" style="11" customWidth="1"/>
    <col min="10759" max="10759" width="17.1796875" style="11" customWidth="1"/>
    <col min="10760" max="10760" width="20.7265625" style="11" customWidth="1"/>
    <col min="10761" max="10761" width="20.81640625" style="11" customWidth="1"/>
    <col min="10762" max="10762" width="19.54296875" style="11" bestFit="1" customWidth="1"/>
    <col min="10763" max="10763" width="9.1796875" style="11"/>
    <col min="10764" max="10764" width="22.1796875" style="11" customWidth="1"/>
    <col min="10765" max="10765" width="13.26953125" style="11" customWidth="1"/>
    <col min="10766" max="11008" width="9.1796875" style="11"/>
    <col min="11009" max="11009" width="24.7265625" style="11" bestFit="1" customWidth="1"/>
    <col min="11010" max="11010" width="18.7265625" style="11" bestFit="1" customWidth="1"/>
    <col min="11011" max="11011" width="8.1796875" style="11" customWidth="1"/>
    <col min="11012" max="11013" width="8.26953125" style="11" customWidth="1"/>
    <col min="11014" max="11014" width="7.26953125" style="11" customWidth="1"/>
    <col min="11015" max="11015" width="17.1796875" style="11" customWidth="1"/>
    <col min="11016" max="11016" width="20.7265625" style="11" customWidth="1"/>
    <col min="11017" max="11017" width="20.81640625" style="11" customWidth="1"/>
    <col min="11018" max="11018" width="19.54296875" style="11" bestFit="1" customWidth="1"/>
    <col min="11019" max="11019" width="9.1796875" style="11"/>
    <col min="11020" max="11020" width="22.1796875" style="11" customWidth="1"/>
    <col min="11021" max="11021" width="13.26953125" style="11" customWidth="1"/>
    <col min="11022" max="11264" width="9.1796875" style="11"/>
    <col min="11265" max="11265" width="24.7265625" style="11" bestFit="1" customWidth="1"/>
    <col min="11266" max="11266" width="18.7265625" style="11" bestFit="1" customWidth="1"/>
    <col min="11267" max="11267" width="8.1796875" style="11" customWidth="1"/>
    <col min="11268" max="11269" width="8.26953125" style="11" customWidth="1"/>
    <col min="11270" max="11270" width="7.26953125" style="11" customWidth="1"/>
    <col min="11271" max="11271" width="17.1796875" style="11" customWidth="1"/>
    <col min="11272" max="11272" width="20.7265625" style="11" customWidth="1"/>
    <col min="11273" max="11273" width="20.81640625" style="11" customWidth="1"/>
    <col min="11274" max="11274" width="19.54296875" style="11" bestFit="1" customWidth="1"/>
    <col min="11275" max="11275" width="9.1796875" style="11"/>
    <col min="11276" max="11276" width="22.1796875" style="11" customWidth="1"/>
    <col min="11277" max="11277" width="13.26953125" style="11" customWidth="1"/>
    <col min="11278" max="11520" width="9.1796875" style="11"/>
    <col min="11521" max="11521" width="24.7265625" style="11" bestFit="1" customWidth="1"/>
    <col min="11522" max="11522" width="18.7265625" style="11" bestFit="1" customWidth="1"/>
    <col min="11523" max="11523" width="8.1796875" style="11" customWidth="1"/>
    <col min="11524" max="11525" width="8.26953125" style="11" customWidth="1"/>
    <col min="11526" max="11526" width="7.26953125" style="11" customWidth="1"/>
    <col min="11527" max="11527" width="17.1796875" style="11" customWidth="1"/>
    <col min="11528" max="11528" width="20.7265625" style="11" customWidth="1"/>
    <col min="11529" max="11529" width="20.81640625" style="11" customWidth="1"/>
    <col min="11530" max="11530" width="19.54296875" style="11" bestFit="1" customWidth="1"/>
    <col min="11531" max="11531" width="9.1796875" style="11"/>
    <col min="11532" max="11532" width="22.1796875" style="11" customWidth="1"/>
    <col min="11533" max="11533" width="13.26953125" style="11" customWidth="1"/>
    <col min="11534" max="11776" width="9.1796875" style="11"/>
    <col min="11777" max="11777" width="24.7265625" style="11" bestFit="1" customWidth="1"/>
    <col min="11778" max="11778" width="18.7265625" style="11" bestFit="1" customWidth="1"/>
    <col min="11779" max="11779" width="8.1796875" style="11" customWidth="1"/>
    <col min="11780" max="11781" width="8.26953125" style="11" customWidth="1"/>
    <col min="11782" max="11782" width="7.26953125" style="11" customWidth="1"/>
    <col min="11783" max="11783" width="17.1796875" style="11" customWidth="1"/>
    <col min="11784" max="11784" width="20.7265625" style="11" customWidth="1"/>
    <col min="11785" max="11785" width="20.81640625" style="11" customWidth="1"/>
    <col min="11786" max="11786" width="19.54296875" style="11" bestFit="1" customWidth="1"/>
    <col min="11787" max="11787" width="9.1796875" style="11"/>
    <col min="11788" max="11788" width="22.1796875" style="11" customWidth="1"/>
    <col min="11789" max="11789" width="13.26953125" style="11" customWidth="1"/>
    <col min="11790" max="12032" width="9.1796875" style="11"/>
    <col min="12033" max="12033" width="24.7265625" style="11" bestFit="1" customWidth="1"/>
    <col min="12034" max="12034" width="18.7265625" style="11" bestFit="1" customWidth="1"/>
    <col min="12035" max="12035" width="8.1796875" style="11" customWidth="1"/>
    <col min="12036" max="12037" width="8.26953125" style="11" customWidth="1"/>
    <col min="12038" max="12038" width="7.26953125" style="11" customWidth="1"/>
    <col min="12039" max="12039" width="17.1796875" style="11" customWidth="1"/>
    <col min="12040" max="12040" width="20.7265625" style="11" customWidth="1"/>
    <col min="12041" max="12041" width="20.81640625" style="11" customWidth="1"/>
    <col min="12042" max="12042" width="19.54296875" style="11" bestFit="1" customWidth="1"/>
    <col min="12043" max="12043" width="9.1796875" style="11"/>
    <col min="12044" max="12044" width="22.1796875" style="11" customWidth="1"/>
    <col min="12045" max="12045" width="13.26953125" style="11" customWidth="1"/>
    <col min="12046" max="12288" width="9.1796875" style="11"/>
    <col min="12289" max="12289" width="24.7265625" style="11" bestFit="1" customWidth="1"/>
    <col min="12290" max="12290" width="18.7265625" style="11" bestFit="1" customWidth="1"/>
    <col min="12291" max="12291" width="8.1796875" style="11" customWidth="1"/>
    <col min="12292" max="12293" width="8.26953125" style="11" customWidth="1"/>
    <col min="12294" max="12294" width="7.26953125" style="11" customWidth="1"/>
    <col min="12295" max="12295" width="17.1796875" style="11" customWidth="1"/>
    <col min="12296" max="12296" width="20.7265625" style="11" customWidth="1"/>
    <col min="12297" max="12297" width="20.81640625" style="11" customWidth="1"/>
    <col min="12298" max="12298" width="19.54296875" style="11" bestFit="1" customWidth="1"/>
    <col min="12299" max="12299" width="9.1796875" style="11"/>
    <col min="12300" max="12300" width="22.1796875" style="11" customWidth="1"/>
    <col min="12301" max="12301" width="13.26953125" style="11" customWidth="1"/>
    <col min="12302" max="12544" width="9.1796875" style="11"/>
    <col min="12545" max="12545" width="24.7265625" style="11" bestFit="1" customWidth="1"/>
    <col min="12546" max="12546" width="18.7265625" style="11" bestFit="1" customWidth="1"/>
    <col min="12547" max="12547" width="8.1796875" style="11" customWidth="1"/>
    <col min="12548" max="12549" width="8.26953125" style="11" customWidth="1"/>
    <col min="12550" max="12550" width="7.26953125" style="11" customWidth="1"/>
    <col min="12551" max="12551" width="17.1796875" style="11" customWidth="1"/>
    <col min="12552" max="12552" width="20.7265625" style="11" customWidth="1"/>
    <col min="12553" max="12553" width="20.81640625" style="11" customWidth="1"/>
    <col min="12554" max="12554" width="19.54296875" style="11" bestFit="1" customWidth="1"/>
    <col min="12555" max="12555" width="9.1796875" style="11"/>
    <col min="12556" max="12556" width="22.1796875" style="11" customWidth="1"/>
    <col min="12557" max="12557" width="13.26953125" style="11" customWidth="1"/>
    <col min="12558" max="12800" width="9.1796875" style="11"/>
    <col min="12801" max="12801" width="24.7265625" style="11" bestFit="1" customWidth="1"/>
    <col min="12802" max="12802" width="18.7265625" style="11" bestFit="1" customWidth="1"/>
    <col min="12803" max="12803" width="8.1796875" style="11" customWidth="1"/>
    <col min="12804" max="12805" width="8.26953125" style="11" customWidth="1"/>
    <col min="12806" max="12806" width="7.26953125" style="11" customWidth="1"/>
    <col min="12807" max="12807" width="17.1796875" style="11" customWidth="1"/>
    <col min="12808" max="12808" width="20.7265625" style="11" customWidth="1"/>
    <col min="12809" max="12809" width="20.81640625" style="11" customWidth="1"/>
    <col min="12810" max="12810" width="19.54296875" style="11" bestFit="1" customWidth="1"/>
    <col min="12811" max="12811" width="9.1796875" style="11"/>
    <col min="12812" max="12812" width="22.1796875" style="11" customWidth="1"/>
    <col min="12813" max="12813" width="13.26953125" style="11" customWidth="1"/>
    <col min="12814" max="13056" width="9.1796875" style="11"/>
    <col min="13057" max="13057" width="24.7265625" style="11" bestFit="1" customWidth="1"/>
    <col min="13058" max="13058" width="18.7265625" style="11" bestFit="1" customWidth="1"/>
    <col min="13059" max="13059" width="8.1796875" style="11" customWidth="1"/>
    <col min="13060" max="13061" width="8.26953125" style="11" customWidth="1"/>
    <col min="13062" max="13062" width="7.26953125" style="11" customWidth="1"/>
    <col min="13063" max="13063" width="17.1796875" style="11" customWidth="1"/>
    <col min="13064" max="13064" width="20.7265625" style="11" customWidth="1"/>
    <col min="13065" max="13065" width="20.81640625" style="11" customWidth="1"/>
    <col min="13066" max="13066" width="19.54296875" style="11" bestFit="1" customWidth="1"/>
    <col min="13067" max="13067" width="9.1796875" style="11"/>
    <col min="13068" max="13068" width="22.1796875" style="11" customWidth="1"/>
    <col min="13069" max="13069" width="13.26953125" style="11" customWidth="1"/>
    <col min="13070" max="13312" width="9.1796875" style="11"/>
    <col min="13313" max="13313" width="24.7265625" style="11" bestFit="1" customWidth="1"/>
    <col min="13314" max="13314" width="18.7265625" style="11" bestFit="1" customWidth="1"/>
    <col min="13315" max="13315" width="8.1796875" style="11" customWidth="1"/>
    <col min="13316" max="13317" width="8.26953125" style="11" customWidth="1"/>
    <col min="13318" max="13318" width="7.26953125" style="11" customWidth="1"/>
    <col min="13319" max="13319" width="17.1796875" style="11" customWidth="1"/>
    <col min="13320" max="13320" width="20.7265625" style="11" customWidth="1"/>
    <col min="13321" max="13321" width="20.81640625" style="11" customWidth="1"/>
    <col min="13322" max="13322" width="19.54296875" style="11" bestFit="1" customWidth="1"/>
    <col min="13323" max="13323" width="9.1796875" style="11"/>
    <col min="13324" max="13324" width="22.1796875" style="11" customWidth="1"/>
    <col min="13325" max="13325" width="13.26953125" style="11" customWidth="1"/>
    <col min="13326" max="13568" width="9.1796875" style="11"/>
    <col min="13569" max="13569" width="24.7265625" style="11" bestFit="1" customWidth="1"/>
    <col min="13570" max="13570" width="18.7265625" style="11" bestFit="1" customWidth="1"/>
    <col min="13571" max="13571" width="8.1796875" style="11" customWidth="1"/>
    <col min="13572" max="13573" width="8.26953125" style="11" customWidth="1"/>
    <col min="13574" max="13574" width="7.26953125" style="11" customWidth="1"/>
    <col min="13575" max="13575" width="17.1796875" style="11" customWidth="1"/>
    <col min="13576" max="13576" width="20.7265625" style="11" customWidth="1"/>
    <col min="13577" max="13577" width="20.81640625" style="11" customWidth="1"/>
    <col min="13578" max="13578" width="19.54296875" style="11" bestFit="1" customWidth="1"/>
    <col min="13579" max="13579" width="9.1796875" style="11"/>
    <col min="13580" max="13580" width="22.1796875" style="11" customWidth="1"/>
    <col min="13581" max="13581" width="13.26953125" style="11" customWidth="1"/>
    <col min="13582" max="13824" width="9.1796875" style="11"/>
    <col min="13825" max="13825" width="24.7265625" style="11" bestFit="1" customWidth="1"/>
    <col min="13826" max="13826" width="18.7265625" style="11" bestFit="1" customWidth="1"/>
    <col min="13827" max="13827" width="8.1796875" style="11" customWidth="1"/>
    <col min="13828" max="13829" width="8.26953125" style="11" customWidth="1"/>
    <col min="13830" max="13830" width="7.26953125" style="11" customWidth="1"/>
    <col min="13831" max="13831" width="17.1796875" style="11" customWidth="1"/>
    <col min="13832" max="13832" width="20.7265625" style="11" customWidth="1"/>
    <col min="13833" max="13833" width="20.81640625" style="11" customWidth="1"/>
    <col min="13834" max="13834" width="19.54296875" style="11" bestFit="1" customWidth="1"/>
    <col min="13835" max="13835" width="9.1796875" style="11"/>
    <col min="13836" max="13836" width="22.1796875" style="11" customWidth="1"/>
    <col min="13837" max="13837" width="13.26953125" style="11" customWidth="1"/>
    <col min="13838" max="14080" width="9.1796875" style="11"/>
    <col min="14081" max="14081" width="24.7265625" style="11" bestFit="1" customWidth="1"/>
    <col min="14082" max="14082" width="18.7265625" style="11" bestFit="1" customWidth="1"/>
    <col min="14083" max="14083" width="8.1796875" style="11" customWidth="1"/>
    <col min="14084" max="14085" width="8.26953125" style="11" customWidth="1"/>
    <col min="14086" max="14086" width="7.26953125" style="11" customWidth="1"/>
    <col min="14087" max="14087" width="17.1796875" style="11" customWidth="1"/>
    <col min="14088" max="14088" width="20.7265625" style="11" customWidth="1"/>
    <col min="14089" max="14089" width="20.81640625" style="11" customWidth="1"/>
    <col min="14090" max="14090" width="19.54296875" style="11" bestFit="1" customWidth="1"/>
    <col min="14091" max="14091" width="9.1796875" style="11"/>
    <col min="14092" max="14092" width="22.1796875" style="11" customWidth="1"/>
    <col min="14093" max="14093" width="13.26953125" style="11" customWidth="1"/>
    <col min="14094" max="14336" width="9.1796875" style="11"/>
    <col min="14337" max="14337" width="24.7265625" style="11" bestFit="1" customWidth="1"/>
    <col min="14338" max="14338" width="18.7265625" style="11" bestFit="1" customWidth="1"/>
    <col min="14339" max="14339" width="8.1796875" style="11" customWidth="1"/>
    <col min="14340" max="14341" width="8.26953125" style="11" customWidth="1"/>
    <col min="14342" max="14342" width="7.26953125" style="11" customWidth="1"/>
    <col min="14343" max="14343" width="17.1796875" style="11" customWidth="1"/>
    <col min="14344" max="14344" width="20.7265625" style="11" customWidth="1"/>
    <col min="14345" max="14345" width="20.81640625" style="11" customWidth="1"/>
    <col min="14346" max="14346" width="19.54296875" style="11" bestFit="1" customWidth="1"/>
    <col min="14347" max="14347" width="9.1796875" style="11"/>
    <col min="14348" max="14348" width="22.1796875" style="11" customWidth="1"/>
    <col min="14349" max="14349" width="13.26953125" style="11" customWidth="1"/>
    <col min="14350" max="14592" width="9.1796875" style="11"/>
    <col min="14593" max="14593" width="24.7265625" style="11" bestFit="1" customWidth="1"/>
    <col min="14594" max="14594" width="18.7265625" style="11" bestFit="1" customWidth="1"/>
    <col min="14595" max="14595" width="8.1796875" style="11" customWidth="1"/>
    <col min="14596" max="14597" width="8.26953125" style="11" customWidth="1"/>
    <col min="14598" max="14598" width="7.26953125" style="11" customWidth="1"/>
    <col min="14599" max="14599" width="17.1796875" style="11" customWidth="1"/>
    <col min="14600" max="14600" width="20.7265625" style="11" customWidth="1"/>
    <col min="14601" max="14601" width="20.81640625" style="11" customWidth="1"/>
    <col min="14602" max="14602" width="19.54296875" style="11" bestFit="1" customWidth="1"/>
    <col min="14603" max="14603" width="9.1796875" style="11"/>
    <col min="14604" max="14604" width="22.1796875" style="11" customWidth="1"/>
    <col min="14605" max="14605" width="13.26953125" style="11" customWidth="1"/>
    <col min="14606" max="14848" width="9.1796875" style="11"/>
    <col min="14849" max="14849" width="24.7265625" style="11" bestFit="1" customWidth="1"/>
    <col min="14850" max="14850" width="18.7265625" style="11" bestFit="1" customWidth="1"/>
    <col min="14851" max="14851" width="8.1796875" style="11" customWidth="1"/>
    <col min="14852" max="14853" width="8.26953125" style="11" customWidth="1"/>
    <col min="14854" max="14854" width="7.26953125" style="11" customWidth="1"/>
    <col min="14855" max="14855" width="17.1796875" style="11" customWidth="1"/>
    <col min="14856" max="14856" width="20.7265625" style="11" customWidth="1"/>
    <col min="14857" max="14857" width="20.81640625" style="11" customWidth="1"/>
    <col min="14858" max="14858" width="19.54296875" style="11" bestFit="1" customWidth="1"/>
    <col min="14859" max="14859" width="9.1796875" style="11"/>
    <col min="14860" max="14860" width="22.1796875" style="11" customWidth="1"/>
    <col min="14861" max="14861" width="13.26953125" style="11" customWidth="1"/>
    <col min="14862" max="15104" width="9.1796875" style="11"/>
    <col min="15105" max="15105" width="24.7265625" style="11" bestFit="1" customWidth="1"/>
    <col min="15106" max="15106" width="18.7265625" style="11" bestFit="1" customWidth="1"/>
    <col min="15107" max="15107" width="8.1796875" style="11" customWidth="1"/>
    <col min="15108" max="15109" width="8.26953125" style="11" customWidth="1"/>
    <col min="15110" max="15110" width="7.26953125" style="11" customWidth="1"/>
    <col min="15111" max="15111" width="17.1796875" style="11" customWidth="1"/>
    <col min="15112" max="15112" width="20.7265625" style="11" customWidth="1"/>
    <col min="15113" max="15113" width="20.81640625" style="11" customWidth="1"/>
    <col min="15114" max="15114" width="19.54296875" style="11" bestFit="1" customWidth="1"/>
    <col min="15115" max="15115" width="9.1796875" style="11"/>
    <col min="15116" max="15116" width="22.1796875" style="11" customWidth="1"/>
    <col min="15117" max="15117" width="13.26953125" style="11" customWidth="1"/>
    <col min="15118" max="15360" width="9.1796875" style="11"/>
    <col min="15361" max="15361" width="24.7265625" style="11" bestFit="1" customWidth="1"/>
    <col min="15362" max="15362" width="18.7265625" style="11" bestFit="1" customWidth="1"/>
    <col min="15363" max="15363" width="8.1796875" style="11" customWidth="1"/>
    <col min="15364" max="15365" width="8.26953125" style="11" customWidth="1"/>
    <col min="15366" max="15366" width="7.26953125" style="11" customWidth="1"/>
    <col min="15367" max="15367" width="17.1796875" style="11" customWidth="1"/>
    <col min="15368" max="15368" width="20.7265625" style="11" customWidth="1"/>
    <col min="15369" max="15369" width="20.81640625" style="11" customWidth="1"/>
    <col min="15370" max="15370" width="19.54296875" style="11" bestFit="1" customWidth="1"/>
    <col min="15371" max="15371" width="9.1796875" style="11"/>
    <col min="15372" max="15372" width="22.1796875" style="11" customWidth="1"/>
    <col min="15373" max="15373" width="13.26953125" style="11" customWidth="1"/>
    <col min="15374" max="15616" width="9.1796875" style="11"/>
    <col min="15617" max="15617" width="24.7265625" style="11" bestFit="1" customWidth="1"/>
    <col min="15618" max="15618" width="18.7265625" style="11" bestFit="1" customWidth="1"/>
    <col min="15619" max="15619" width="8.1796875" style="11" customWidth="1"/>
    <col min="15620" max="15621" width="8.26953125" style="11" customWidth="1"/>
    <col min="15622" max="15622" width="7.26953125" style="11" customWidth="1"/>
    <col min="15623" max="15623" width="17.1796875" style="11" customWidth="1"/>
    <col min="15624" max="15624" width="20.7265625" style="11" customWidth="1"/>
    <col min="15625" max="15625" width="20.81640625" style="11" customWidth="1"/>
    <col min="15626" max="15626" width="19.54296875" style="11" bestFit="1" customWidth="1"/>
    <col min="15627" max="15627" width="9.1796875" style="11"/>
    <col min="15628" max="15628" width="22.1796875" style="11" customWidth="1"/>
    <col min="15629" max="15629" width="13.26953125" style="11" customWidth="1"/>
    <col min="15630" max="15872" width="9.1796875" style="11"/>
    <col min="15873" max="15873" width="24.7265625" style="11" bestFit="1" customWidth="1"/>
    <col min="15874" max="15874" width="18.7265625" style="11" bestFit="1" customWidth="1"/>
    <col min="15875" max="15875" width="8.1796875" style="11" customWidth="1"/>
    <col min="15876" max="15877" width="8.26953125" style="11" customWidth="1"/>
    <col min="15878" max="15878" width="7.26953125" style="11" customWidth="1"/>
    <col min="15879" max="15879" width="17.1796875" style="11" customWidth="1"/>
    <col min="15880" max="15880" width="20.7265625" style="11" customWidth="1"/>
    <col min="15881" max="15881" width="20.81640625" style="11" customWidth="1"/>
    <col min="15882" max="15882" width="19.54296875" style="11" bestFit="1" customWidth="1"/>
    <col min="15883" max="15883" width="9.1796875" style="11"/>
    <col min="15884" max="15884" width="22.1796875" style="11" customWidth="1"/>
    <col min="15885" max="15885" width="13.26953125" style="11" customWidth="1"/>
    <col min="15886" max="16128" width="9.1796875" style="11"/>
    <col min="16129" max="16129" width="24.7265625" style="11" bestFit="1" customWidth="1"/>
    <col min="16130" max="16130" width="18.7265625" style="11" bestFit="1" customWidth="1"/>
    <col min="16131" max="16131" width="8.1796875" style="11" customWidth="1"/>
    <col min="16132" max="16133" width="8.26953125" style="11" customWidth="1"/>
    <col min="16134" max="16134" width="7.26953125" style="11" customWidth="1"/>
    <col min="16135" max="16135" width="17.1796875" style="11" customWidth="1"/>
    <col min="16136" max="16136" width="20.7265625" style="11" customWidth="1"/>
    <col min="16137" max="16137" width="20.81640625" style="11" customWidth="1"/>
    <col min="16138" max="16138" width="19.54296875" style="11" bestFit="1" customWidth="1"/>
    <col min="16139" max="16139" width="9.1796875" style="11"/>
    <col min="16140" max="16140" width="22.1796875" style="11" customWidth="1"/>
    <col min="16141" max="16141" width="13.26953125" style="11" customWidth="1"/>
    <col min="16142" max="16384" width="9.1796875" style="11"/>
  </cols>
  <sheetData>
    <row r="1" spans="1:14" s="5" customFormat="1" ht="57.75" customHeight="1">
      <c r="A1" s="1" t="s">
        <v>0</v>
      </c>
      <c r="B1" s="2" t="s">
        <v>1</v>
      </c>
      <c r="C1" s="2" t="s">
        <v>2</v>
      </c>
      <c r="D1" s="2" t="s">
        <v>3</v>
      </c>
      <c r="E1" s="2" t="s">
        <v>4</v>
      </c>
      <c r="F1" s="2" t="s">
        <v>5</v>
      </c>
      <c r="G1" s="2" t="s">
        <v>6</v>
      </c>
      <c r="H1" s="2" t="s">
        <v>703</v>
      </c>
      <c r="I1" s="2" t="s">
        <v>704</v>
      </c>
      <c r="J1" s="2" t="s">
        <v>286</v>
      </c>
      <c r="K1" s="2" t="s">
        <v>10</v>
      </c>
      <c r="L1" s="55" t="s">
        <v>706</v>
      </c>
      <c r="M1" s="56" t="s">
        <v>12</v>
      </c>
      <c r="N1" s="57" t="s">
        <v>287</v>
      </c>
    </row>
    <row r="2" spans="1:14" ht="20.5">
      <c r="A2" s="6" t="s">
        <v>1454</v>
      </c>
      <c r="B2" s="7" t="s">
        <v>14</v>
      </c>
      <c r="C2" s="7" t="s">
        <v>879</v>
      </c>
      <c r="D2" s="7">
        <v>1</v>
      </c>
      <c r="E2" s="7">
        <f>E8</f>
        <v>50</v>
      </c>
      <c r="F2" s="7">
        <f>E2</f>
        <v>50</v>
      </c>
      <c r="G2" s="58" t="s">
        <v>1455</v>
      </c>
      <c r="H2" s="9"/>
      <c r="I2" s="9"/>
      <c r="J2" s="7"/>
      <c r="K2" s="7"/>
      <c r="L2" s="59"/>
      <c r="M2" s="60" t="s">
        <v>290</v>
      </c>
      <c r="N2" s="61"/>
    </row>
    <row r="3" spans="1:14" ht="21">
      <c r="A3" s="12" t="s">
        <v>17</v>
      </c>
      <c r="B3" s="62" t="s">
        <v>18</v>
      </c>
      <c r="C3" s="14">
        <v>1</v>
      </c>
      <c r="D3" s="14">
        <v>1</v>
      </c>
      <c r="E3" s="14">
        <f t="shared" ref="E3:E8" si="0">D3+F3-1</f>
        <v>1</v>
      </c>
      <c r="F3" s="14">
        <v>1</v>
      </c>
      <c r="G3" s="16" t="s">
        <v>19</v>
      </c>
      <c r="H3" s="16"/>
      <c r="I3" s="16"/>
      <c r="J3" s="14"/>
      <c r="K3" s="14"/>
      <c r="L3" s="63"/>
      <c r="M3" s="60" t="s">
        <v>290</v>
      </c>
      <c r="N3" s="61"/>
    </row>
    <row r="4" spans="1:14" s="23" customFormat="1" ht="20.5">
      <c r="A4" s="64" t="s">
        <v>710</v>
      </c>
      <c r="B4" s="65" t="s">
        <v>711</v>
      </c>
      <c r="C4" s="14">
        <v>2</v>
      </c>
      <c r="D4" s="14">
        <f>E3+1</f>
        <v>2</v>
      </c>
      <c r="E4" s="14">
        <f t="shared" si="0"/>
        <v>16</v>
      </c>
      <c r="F4" s="19">
        <v>15</v>
      </c>
      <c r="G4" s="20" t="s">
        <v>1456</v>
      </c>
      <c r="H4" s="66"/>
      <c r="I4" s="66"/>
      <c r="J4" s="19"/>
      <c r="K4" s="19"/>
      <c r="L4" s="19"/>
      <c r="M4" s="21"/>
      <c r="N4" s="22"/>
    </row>
    <row r="5" spans="1:14" s="23" customFormat="1" ht="12.5">
      <c r="A5" s="64" t="s">
        <v>713</v>
      </c>
      <c r="B5" s="65" t="s">
        <v>714</v>
      </c>
      <c r="C5" s="14">
        <v>3</v>
      </c>
      <c r="D5" s="14">
        <f>E4+1</f>
        <v>17</v>
      </c>
      <c r="E5" s="14">
        <f t="shared" si="0"/>
        <v>26</v>
      </c>
      <c r="F5" s="19">
        <v>10</v>
      </c>
      <c r="G5" s="20" t="s">
        <v>715</v>
      </c>
      <c r="H5" s="66"/>
      <c r="I5" s="66"/>
      <c r="J5" s="19"/>
      <c r="K5" s="19"/>
      <c r="L5" s="19"/>
      <c r="M5" s="21"/>
      <c r="N5" s="22"/>
    </row>
    <row r="6" spans="1:14" ht="12.5">
      <c r="A6" s="12" t="s">
        <v>215</v>
      </c>
      <c r="B6" s="62" t="s">
        <v>216</v>
      </c>
      <c r="C6" s="14">
        <v>4</v>
      </c>
      <c r="D6" s="14">
        <f>E5+1</f>
        <v>27</v>
      </c>
      <c r="E6" s="14">
        <f t="shared" si="0"/>
        <v>34</v>
      </c>
      <c r="F6" s="14">
        <v>8</v>
      </c>
      <c r="G6" s="67" t="s">
        <v>716</v>
      </c>
      <c r="H6" s="26"/>
      <c r="I6" s="26"/>
      <c r="J6" s="14"/>
      <c r="K6" s="14"/>
      <c r="L6" s="63"/>
      <c r="M6" s="60" t="s">
        <v>290</v>
      </c>
      <c r="N6" s="61"/>
    </row>
    <row r="7" spans="1:14" ht="21">
      <c r="A7" s="12" t="s">
        <v>717</v>
      </c>
      <c r="B7" s="62" t="s">
        <v>711</v>
      </c>
      <c r="C7" s="14">
        <v>5</v>
      </c>
      <c r="D7" s="14">
        <f>E6+1</f>
        <v>35</v>
      </c>
      <c r="E7" s="14">
        <f t="shared" si="0"/>
        <v>49</v>
      </c>
      <c r="F7" s="14">
        <v>15</v>
      </c>
      <c r="G7" s="26" t="s">
        <v>3114</v>
      </c>
      <c r="H7" s="26"/>
      <c r="I7" s="26"/>
      <c r="J7" s="14"/>
      <c r="K7" s="14"/>
      <c r="L7" s="63"/>
      <c r="M7" s="60" t="s">
        <v>290</v>
      </c>
      <c r="N7" s="61"/>
    </row>
    <row r="8" spans="1:14">
      <c r="A8" s="42" t="s">
        <v>719</v>
      </c>
      <c r="B8" s="14" t="s">
        <v>294</v>
      </c>
      <c r="C8" s="14">
        <v>6</v>
      </c>
      <c r="D8" s="14">
        <f>E7+1</f>
        <v>50</v>
      </c>
      <c r="E8" s="14">
        <f t="shared" si="0"/>
        <v>50</v>
      </c>
      <c r="F8" s="14">
        <v>1</v>
      </c>
      <c r="G8" s="20" t="s">
        <v>1457</v>
      </c>
      <c r="H8" s="16"/>
      <c r="I8" s="16"/>
      <c r="J8" s="14"/>
      <c r="K8" s="14"/>
      <c r="L8" s="63"/>
      <c r="M8" s="60" t="s">
        <v>290</v>
      </c>
      <c r="N8" s="61"/>
    </row>
    <row r="9" spans="1:14" ht="10.5">
      <c r="A9" s="6" t="s">
        <v>1458</v>
      </c>
      <c r="B9" s="7" t="s">
        <v>14</v>
      </c>
      <c r="C9" s="27"/>
      <c r="D9" s="7">
        <v>1</v>
      </c>
      <c r="E9" s="7">
        <f>E67</f>
        <v>494</v>
      </c>
      <c r="F9" s="7">
        <f>E9</f>
        <v>494</v>
      </c>
      <c r="G9" s="29"/>
      <c r="H9" s="29"/>
      <c r="I9" s="29"/>
      <c r="J9" s="7"/>
      <c r="K9" s="7"/>
      <c r="L9" s="59"/>
      <c r="M9" s="60" t="s">
        <v>290</v>
      </c>
      <c r="N9" s="61"/>
    </row>
    <row r="10" spans="1:14" ht="21">
      <c r="A10" s="30" t="s">
        <v>723</v>
      </c>
      <c r="B10" s="62" t="s">
        <v>18</v>
      </c>
      <c r="C10" s="14">
        <v>7</v>
      </c>
      <c r="D10" s="31">
        <v>1</v>
      </c>
      <c r="E10" s="14">
        <f>D10+F10-1</f>
        <v>1</v>
      </c>
      <c r="F10" s="31">
        <v>1</v>
      </c>
      <c r="G10" s="16" t="s">
        <v>38</v>
      </c>
      <c r="H10" s="16" t="s">
        <v>297</v>
      </c>
      <c r="I10" s="16"/>
      <c r="J10" s="31"/>
      <c r="K10" s="31"/>
      <c r="L10" s="68"/>
      <c r="M10" s="60" t="s">
        <v>724</v>
      </c>
      <c r="N10" s="61"/>
    </row>
    <row r="11" spans="1:14" ht="15.75" customHeight="1">
      <c r="A11" s="69" t="s">
        <v>1459</v>
      </c>
      <c r="B11" s="70" t="s">
        <v>1460</v>
      </c>
      <c r="C11" s="14">
        <v>8</v>
      </c>
      <c r="D11" s="14">
        <f t="shared" ref="D11:D67" si="1">E10+1</f>
        <v>2</v>
      </c>
      <c r="E11" s="14">
        <f>D11+F11-1</f>
        <v>16</v>
      </c>
      <c r="F11" s="14">
        <v>15</v>
      </c>
      <c r="G11" s="15" t="s">
        <v>301</v>
      </c>
      <c r="H11" s="16" t="s">
        <v>297</v>
      </c>
      <c r="I11" s="16" t="s">
        <v>302</v>
      </c>
      <c r="J11" s="71" t="s">
        <v>1461</v>
      </c>
      <c r="K11" s="14" t="s">
        <v>304</v>
      </c>
      <c r="L11" s="72" t="s">
        <v>1462</v>
      </c>
      <c r="M11" s="60" t="s">
        <v>290</v>
      </c>
      <c r="N11" s="61" t="s">
        <v>1463</v>
      </c>
    </row>
    <row r="12" spans="1:14" ht="15.75" customHeight="1">
      <c r="A12" s="33" t="s">
        <v>307</v>
      </c>
      <c r="B12" s="70" t="s">
        <v>1111</v>
      </c>
      <c r="C12" s="14">
        <v>9</v>
      </c>
      <c r="D12" s="14">
        <f t="shared" si="1"/>
        <v>17</v>
      </c>
      <c r="E12" s="14">
        <f t="shared" ref="E12:E67" si="2">D12+F12-1</f>
        <v>19</v>
      </c>
      <c r="F12" s="14">
        <v>3</v>
      </c>
      <c r="G12" s="15" t="s">
        <v>308</v>
      </c>
      <c r="H12" s="16" t="s">
        <v>297</v>
      </c>
      <c r="I12" s="16" t="s">
        <v>1464</v>
      </c>
      <c r="J12" s="71" t="s">
        <v>1465</v>
      </c>
      <c r="K12" s="14" t="s">
        <v>1466</v>
      </c>
      <c r="L12" s="72" t="s">
        <v>1467</v>
      </c>
      <c r="M12" s="60" t="s">
        <v>290</v>
      </c>
      <c r="N12" s="61" t="s">
        <v>1468</v>
      </c>
    </row>
    <row r="13" spans="1:14" ht="14.25" customHeight="1">
      <c r="A13" s="33" t="s">
        <v>314</v>
      </c>
      <c r="B13" s="70" t="s">
        <v>1111</v>
      </c>
      <c r="C13" s="14">
        <v>10</v>
      </c>
      <c r="D13" s="14">
        <f t="shared" si="1"/>
        <v>20</v>
      </c>
      <c r="E13" s="14">
        <f t="shared" si="2"/>
        <v>22</v>
      </c>
      <c r="F13" s="14">
        <v>3</v>
      </c>
      <c r="G13" s="73" t="s">
        <v>1469</v>
      </c>
      <c r="H13" s="16" t="s">
        <v>297</v>
      </c>
      <c r="I13" s="16" t="s">
        <v>302</v>
      </c>
      <c r="J13" s="33" t="s">
        <v>1470</v>
      </c>
      <c r="K13" s="14" t="s">
        <v>304</v>
      </c>
      <c r="L13" s="36" t="s">
        <v>1471</v>
      </c>
      <c r="M13" s="60" t="s">
        <v>290</v>
      </c>
      <c r="N13" s="61" t="s">
        <v>1468</v>
      </c>
    </row>
    <row r="14" spans="1:14" ht="21">
      <c r="A14" s="33" t="s">
        <v>318</v>
      </c>
      <c r="B14" s="70" t="s">
        <v>720</v>
      </c>
      <c r="C14" s="14">
        <v>11</v>
      </c>
      <c r="D14" s="14">
        <f t="shared" si="1"/>
        <v>23</v>
      </c>
      <c r="E14" s="14">
        <f t="shared" si="2"/>
        <v>23</v>
      </c>
      <c r="F14" s="14">
        <v>1</v>
      </c>
      <c r="G14" s="74" t="s">
        <v>1472</v>
      </c>
      <c r="H14" s="16" t="s">
        <v>297</v>
      </c>
      <c r="I14" s="16" t="s">
        <v>302</v>
      </c>
      <c r="J14" s="33" t="s">
        <v>1473</v>
      </c>
      <c r="K14" s="14" t="s">
        <v>304</v>
      </c>
      <c r="L14" s="36" t="s">
        <v>1474</v>
      </c>
      <c r="M14" s="60" t="s">
        <v>290</v>
      </c>
      <c r="N14" s="61" t="s">
        <v>1468</v>
      </c>
    </row>
    <row r="15" spans="1:14" ht="21">
      <c r="A15" s="33" t="s">
        <v>322</v>
      </c>
      <c r="B15" s="70" t="s">
        <v>1460</v>
      </c>
      <c r="C15" s="14">
        <v>12</v>
      </c>
      <c r="D15" s="14">
        <f t="shared" si="1"/>
        <v>24</v>
      </c>
      <c r="E15" s="14">
        <f t="shared" si="2"/>
        <v>38</v>
      </c>
      <c r="F15" s="14">
        <v>15</v>
      </c>
      <c r="G15" s="74" t="s">
        <v>1475</v>
      </c>
      <c r="H15" s="16" t="s">
        <v>297</v>
      </c>
      <c r="I15" s="16" t="s">
        <v>302</v>
      </c>
      <c r="J15" s="33" t="s">
        <v>1476</v>
      </c>
      <c r="K15" s="14" t="s">
        <v>304</v>
      </c>
      <c r="L15" s="36" t="s">
        <v>1477</v>
      </c>
      <c r="M15" s="60" t="s">
        <v>290</v>
      </c>
      <c r="N15" s="61" t="s">
        <v>1468</v>
      </c>
    </row>
    <row r="16" spans="1:14" ht="14.25" customHeight="1">
      <c r="A16" s="33" t="s">
        <v>326</v>
      </c>
      <c r="B16" s="70" t="s">
        <v>854</v>
      </c>
      <c r="C16" s="14">
        <v>13</v>
      </c>
      <c r="D16" s="14">
        <f t="shared" si="1"/>
        <v>39</v>
      </c>
      <c r="E16" s="14">
        <f t="shared" si="2"/>
        <v>40</v>
      </c>
      <c r="F16" s="14">
        <v>2</v>
      </c>
      <c r="G16" s="74"/>
      <c r="H16" s="16" t="s">
        <v>297</v>
      </c>
      <c r="I16" s="16" t="s">
        <v>302</v>
      </c>
      <c r="J16" s="33" t="s">
        <v>1478</v>
      </c>
      <c r="K16" s="14" t="s">
        <v>304</v>
      </c>
      <c r="L16" s="36" t="s">
        <v>1479</v>
      </c>
      <c r="M16" s="60" t="s">
        <v>290</v>
      </c>
      <c r="N16" s="61" t="s">
        <v>1468</v>
      </c>
    </row>
    <row r="17" spans="1:14" ht="20">
      <c r="A17" s="33" t="s">
        <v>329</v>
      </c>
      <c r="B17" s="70" t="s">
        <v>854</v>
      </c>
      <c r="C17" s="14">
        <v>14</v>
      </c>
      <c r="D17" s="14">
        <f t="shared" si="1"/>
        <v>41</v>
      </c>
      <c r="E17" s="14">
        <f t="shared" si="2"/>
        <v>41</v>
      </c>
      <c r="F17" s="14">
        <v>1</v>
      </c>
      <c r="G17" s="16" t="s">
        <v>330</v>
      </c>
      <c r="H17" s="16" t="s">
        <v>297</v>
      </c>
      <c r="I17" s="16" t="s">
        <v>302</v>
      </c>
      <c r="J17" s="33" t="s">
        <v>1480</v>
      </c>
      <c r="K17" s="14" t="s">
        <v>304</v>
      </c>
      <c r="L17" s="36" t="s">
        <v>1481</v>
      </c>
      <c r="M17" s="60" t="s">
        <v>290</v>
      </c>
      <c r="N17" s="61" t="s">
        <v>1463</v>
      </c>
    </row>
    <row r="18" spans="1:14" ht="14.25" customHeight="1">
      <c r="A18" s="33" t="s">
        <v>333</v>
      </c>
      <c r="B18" s="70" t="s">
        <v>1482</v>
      </c>
      <c r="C18" s="14">
        <v>15</v>
      </c>
      <c r="D18" s="14">
        <f t="shared" si="1"/>
        <v>42</v>
      </c>
      <c r="E18" s="14">
        <f t="shared" si="2"/>
        <v>42</v>
      </c>
      <c r="F18" s="14">
        <v>1</v>
      </c>
      <c r="G18" s="74" t="s">
        <v>1483</v>
      </c>
      <c r="H18" s="16" t="s">
        <v>297</v>
      </c>
      <c r="I18" s="16" t="s">
        <v>302</v>
      </c>
      <c r="J18" s="33" t="s">
        <v>1484</v>
      </c>
      <c r="K18" s="14" t="s">
        <v>304</v>
      </c>
      <c r="L18" s="36" t="s">
        <v>1485</v>
      </c>
      <c r="M18" s="60" t="s">
        <v>290</v>
      </c>
      <c r="N18" s="61" t="s">
        <v>1463</v>
      </c>
    </row>
    <row r="19" spans="1:14" ht="40">
      <c r="A19" s="33" t="s">
        <v>338</v>
      </c>
      <c r="B19" s="70" t="s">
        <v>1104</v>
      </c>
      <c r="C19" s="14">
        <v>16</v>
      </c>
      <c r="D19" s="14">
        <f t="shared" si="1"/>
        <v>43</v>
      </c>
      <c r="E19" s="14">
        <f t="shared" si="2"/>
        <v>46</v>
      </c>
      <c r="F19" s="14">
        <v>4</v>
      </c>
      <c r="G19" s="75" t="s">
        <v>339</v>
      </c>
      <c r="H19" s="16" t="s">
        <v>297</v>
      </c>
      <c r="I19" s="16" t="s">
        <v>302</v>
      </c>
      <c r="J19" s="76"/>
      <c r="K19" s="14" t="s">
        <v>304</v>
      </c>
      <c r="L19" s="36" t="s">
        <v>1486</v>
      </c>
      <c r="M19" s="60" t="s">
        <v>290</v>
      </c>
      <c r="N19" s="61" t="s">
        <v>1468</v>
      </c>
    </row>
    <row r="20" spans="1:14" ht="14.25" customHeight="1">
      <c r="A20" s="33" t="s">
        <v>341</v>
      </c>
      <c r="B20" s="70" t="s">
        <v>1002</v>
      </c>
      <c r="C20" s="14">
        <v>17</v>
      </c>
      <c r="D20" s="14">
        <f t="shared" si="1"/>
        <v>47</v>
      </c>
      <c r="E20" s="14">
        <f t="shared" si="2"/>
        <v>54</v>
      </c>
      <c r="F20" s="14">
        <v>8</v>
      </c>
      <c r="G20" s="74"/>
      <c r="H20" s="16" t="s">
        <v>297</v>
      </c>
      <c r="I20" s="16" t="s">
        <v>302</v>
      </c>
      <c r="J20" s="33" t="s">
        <v>1487</v>
      </c>
      <c r="K20" s="14" t="s">
        <v>304</v>
      </c>
      <c r="L20" s="36" t="s">
        <v>1488</v>
      </c>
      <c r="M20" s="60" t="s">
        <v>290</v>
      </c>
      <c r="N20" s="61" t="s">
        <v>1468</v>
      </c>
    </row>
    <row r="21" spans="1:14" ht="14.25" customHeight="1">
      <c r="A21" s="33" t="s">
        <v>344</v>
      </c>
      <c r="B21" s="70" t="s">
        <v>854</v>
      </c>
      <c r="C21" s="14">
        <v>18</v>
      </c>
      <c r="D21" s="14">
        <f t="shared" si="1"/>
        <v>55</v>
      </c>
      <c r="E21" s="14">
        <f t="shared" si="2"/>
        <v>56</v>
      </c>
      <c r="F21" s="14">
        <v>2</v>
      </c>
      <c r="G21" s="74"/>
      <c r="H21" s="16" t="s">
        <v>297</v>
      </c>
      <c r="I21" s="16" t="s">
        <v>302</v>
      </c>
      <c r="J21" s="33" t="s">
        <v>1489</v>
      </c>
      <c r="K21" s="14" t="s">
        <v>304</v>
      </c>
      <c r="L21" s="36" t="s">
        <v>1490</v>
      </c>
      <c r="M21" s="60" t="s">
        <v>290</v>
      </c>
      <c r="N21" s="61" t="s">
        <v>1463</v>
      </c>
    </row>
    <row r="22" spans="1:14" ht="14.25" customHeight="1">
      <c r="A22" s="33" t="s">
        <v>347</v>
      </c>
      <c r="B22" s="70" t="s">
        <v>1491</v>
      </c>
      <c r="C22" s="14">
        <v>19</v>
      </c>
      <c r="D22" s="14">
        <f t="shared" si="1"/>
        <v>57</v>
      </c>
      <c r="E22" s="14">
        <f t="shared" si="2"/>
        <v>70</v>
      </c>
      <c r="F22" s="14">
        <v>14</v>
      </c>
      <c r="G22" s="74"/>
      <c r="H22" s="16" t="s">
        <v>297</v>
      </c>
      <c r="I22" s="16" t="s">
        <v>302</v>
      </c>
      <c r="J22" s="33" t="s">
        <v>1492</v>
      </c>
      <c r="K22" s="14" t="s">
        <v>304</v>
      </c>
      <c r="L22" s="36" t="s">
        <v>1493</v>
      </c>
      <c r="M22" s="60" t="s">
        <v>290</v>
      </c>
      <c r="N22" s="61" t="s">
        <v>1468</v>
      </c>
    </row>
    <row r="23" spans="1:14" ht="20.5">
      <c r="A23" s="33" t="s">
        <v>351</v>
      </c>
      <c r="B23" s="70" t="s">
        <v>1494</v>
      </c>
      <c r="C23" s="14">
        <v>20</v>
      </c>
      <c r="D23" s="14">
        <f t="shared" si="1"/>
        <v>71</v>
      </c>
      <c r="E23" s="14">
        <f t="shared" si="2"/>
        <v>78</v>
      </c>
      <c r="F23" s="14">
        <v>8</v>
      </c>
      <c r="G23" s="16" t="s">
        <v>353</v>
      </c>
      <c r="H23" s="16" t="s">
        <v>297</v>
      </c>
      <c r="I23" s="16" t="s">
        <v>302</v>
      </c>
      <c r="J23" s="76"/>
      <c r="K23" s="14" t="s">
        <v>304</v>
      </c>
      <c r="L23" s="36" t="s">
        <v>1495</v>
      </c>
      <c r="M23" s="60" t="s">
        <v>290</v>
      </c>
      <c r="N23" s="61" t="s">
        <v>1463</v>
      </c>
    </row>
    <row r="24" spans="1:14" ht="14.25" customHeight="1">
      <c r="A24" s="33" t="s">
        <v>1496</v>
      </c>
      <c r="B24" s="70" t="s">
        <v>1491</v>
      </c>
      <c r="C24" s="14">
        <v>21</v>
      </c>
      <c r="D24" s="14">
        <f t="shared" si="1"/>
        <v>79</v>
      </c>
      <c r="E24" s="14">
        <f t="shared" si="2"/>
        <v>92</v>
      </c>
      <c r="F24" s="14">
        <v>14</v>
      </c>
      <c r="G24" s="74"/>
      <c r="H24" s="16" t="s">
        <v>297</v>
      </c>
      <c r="I24" s="16" t="s">
        <v>302</v>
      </c>
      <c r="J24" s="33" t="s">
        <v>1497</v>
      </c>
      <c r="K24" s="14" t="s">
        <v>304</v>
      </c>
      <c r="L24" s="36" t="s">
        <v>1498</v>
      </c>
      <c r="M24" s="60" t="s">
        <v>290</v>
      </c>
      <c r="N24" s="61" t="s">
        <v>1468</v>
      </c>
    </row>
    <row r="25" spans="1:14" ht="14.25" customHeight="1">
      <c r="A25" s="33" t="s">
        <v>358</v>
      </c>
      <c r="B25" s="70" t="s">
        <v>1499</v>
      </c>
      <c r="C25" s="14">
        <v>22</v>
      </c>
      <c r="D25" s="14">
        <f t="shared" si="1"/>
        <v>93</v>
      </c>
      <c r="E25" s="14">
        <f t="shared" si="2"/>
        <v>103</v>
      </c>
      <c r="F25" s="14">
        <v>11</v>
      </c>
      <c r="G25" s="74"/>
      <c r="H25" s="16" t="s">
        <v>297</v>
      </c>
      <c r="I25" s="16" t="s">
        <v>302</v>
      </c>
      <c r="J25" s="33" t="s">
        <v>1500</v>
      </c>
      <c r="K25" s="14" t="s">
        <v>304</v>
      </c>
      <c r="L25" s="36" t="s">
        <v>1501</v>
      </c>
      <c r="M25" s="60" t="s">
        <v>290</v>
      </c>
      <c r="N25" s="61" t="s">
        <v>1468</v>
      </c>
    </row>
    <row r="26" spans="1:14" ht="14.25" customHeight="1">
      <c r="A26" s="33" t="s">
        <v>1502</v>
      </c>
      <c r="B26" s="70" t="s">
        <v>1491</v>
      </c>
      <c r="C26" s="14">
        <v>23</v>
      </c>
      <c r="D26" s="14">
        <f t="shared" si="1"/>
        <v>104</v>
      </c>
      <c r="E26" s="14">
        <f t="shared" si="2"/>
        <v>117</v>
      </c>
      <c r="F26" s="14">
        <v>14</v>
      </c>
      <c r="G26" s="74"/>
      <c r="H26" s="16" t="s">
        <v>297</v>
      </c>
      <c r="I26" s="16" t="s">
        <v>302</v>
      </c>
      <c r="J26" s="33" t="s">
        <v>1503</v>
      </c>
      <c r="K26" s="14" t="s">
        <v>304</v>
      </c>
      <c r="L26" s="36" t="s">
        <v>1504</v>
      </c>
      <c r="M26" s="60" t="s">
        <v>290</v>
      </c>
      <c r="N26" s="61" t="s">
        <v>1468</v>
      </c>
    </row>
    <row r="27" spans="1:14" ht="14.25" customHeight="1">
      <c r="A27" s="33" t="s">
        <v>1505</v>
      </c>
      <c r="B27" s="70" t="s">
        <v>1506</v>
      </c>
      <c r="C27" s="14">
        <v>24</v>
      </c>
      <c r="D27" s="14">
        <f t="shared" si="1"/>
        <v>118</v>
      </c>
      <c r="E27" s="14">
        <f t="shared" si="2"/>
        <v>129</v>
      </c>
      <c r="F27" s="14">
        <v>12</v>
      </c>
      <c r="G27" s="74"/>
      <c r="H27" s="16" t="s">
        <v>297</v>
      </c>
      <c r="I27" s="16" t="s">
        <v>302</v>
      </c>
      <c r="J27" s="33" t="s">
        <v>1507</v>
      </c>
      <c r="K27" s="14" t="s">
        <v>304</v>
      </c>
      <c r="L27" s="36" t="s">
        <v>1508</v>
      </c>
      <c r="M27" s="60" t="s">
        <v>290</v>
      </c>
      <c r="N27" s="61" t="s">
        <v>1463</v>
      </c>
    </row>
    <row r="28" spans="1:14" ht="14.25" customHeight="1">
      <c r="A28" s="33" t="s">
        <v>1509</v>
      </c>
      <c r="B28" s="70" t="s">
        <v>1491</v>
      </c>
      <c r="C28" s="14">
        <v>25</v>
      </c>
      <c r="D28" s="14">
        <f t="shared" si="1"/>
        <v>130</v>
      </c>
      <c r="E28" s="14">
        <f t="shared" si="2"/>
        <v>143</v>
      </c>
      <c r="F28" s="14">
        <v>14</v>
      </c>
      <c r="G28" s="74"/>
      <c r="H28" s="16" t="s">
        <v>297</v>
      </c>
      <c r="I28" s="16" t="s">
        <v>302</v>
      </c>
      <c r="J28" s="33" t="s">
        <v>1510</v>
      </c>
      <c r="K28" s="14" t="s">
        <v>304</v>
      </c>
      <c r="L28" s="36" t="s">
        <v>1511</v>
      </c>
      <c r="M28" s="60" t="s">
        <v>290</v>
      </c>
      <c r="N28" s="61" t="s">
        <v>1468</v>
      </c>
    </row>
    <row r="29" spans="1:14" ht="14.25" customHeight="1">
      <c r="A29" s="33" t="s">
        <v>372</v>
      </c>
      <c r="B29" s="70" t="s">
        <v>1002</v>
      </c>
      <c r="C29" s="14">
        <v>26</v>
      </c>
      <c r="D29" s="14">
        <f t="shared" si="1"/>
        <v>144</v>
      </c>
      <c r="E29" s="14">
        <f t="shared" si="2"/>
        <v>151</v>
      </c>
      <c r="F29" s="14">
        <v>8</v>
      </c>
      <c r="G29" s="77" t="s">
        <v>716</v>
      </c>
      <c r="H29" s="16" t="s">
        <v>297</v>
      </c>
      <c r="I29" s="16" t="s">
        <v>302</v>
      </c>
      <c r="J29" s="33" t="s">
        <v>1512</v>
      </c>
      <c r="K29" s="14" t="s">
        <v>304</v>
      </c>
      <c r="L29" s="36" t="s">
        <v>1513</v>
      </c>
      <c r="M29" s="60" t="s">
        <v>290</v>
      </c>
      <c r="N29" s="61" t="s">
        <v>1463</v>
      </c>
    </row>
    <row r="30" spans="1:14" ht="14.25" customHeight="1">
      <c r="A30" s="33" t="s">
        <v>1514</v>
      </c>
      <c r="B30" s="70" t="s">
        <v>1491</v>
      </c>
      <c r="C30" s="14">
        <v>27</v>
      </c>
      <c r="D30" s="14">
        <f t="shared" si="1"/>
        <v>152</v>
      </c>
      <c r="E30" s="14">
        <f t="shared" si="2"/>
        <v>165</v>
      </c>
      <c r="F30" s="14">
        <v>14</v>
      </c>
      <c r="G30" s="74"/>
      <c r="H30" s="16" t="s">
        <v>297</v>
      </c>
      <c r="I30" s="16" t="s">
        <v>302</v>
      </c>
      <c r="J30" s="33" t="s">
        <v>1515</v>
      </c>
      <c r="K30" s="14" t="s">
        <v>304</v>
      </c>
      <c r="L30" s="36" t="s">
        <v>1516</v>
      </c>
      <c r="M30" s="60" t="s">
        <v>290</v>
      </c>
      <c r="N30" s="61" t="s">
        <v>1468</v>
      </c>
    </row>
    <row r="31" spans="1:14" ht="14.25" customHeight="1">
      <c r="A31" s="33" t="s">
        <v>378</v>
      </c>
      <c r="B31" s="70" t="s">
        <v>1002</v>
      </c>
      <c r="C31" s="14">
        <v>28</v>
      </c>
      <c r="D31" s="14">
        <f t="shared" si="1"/>
        <v>166</v>
      </c>
      <c r="E31" s="14">
        <f t="shared" si="2"/>
        <v>173</v>
      </c>
      <c r="F31" s="14">
        <v>8</v>
      </c>
      <c r="G31" s="77" t="s">
        <v>716</v>
      </c>
      <c r="H31" s="16" t="s">
        <v>297</v>
      </c>
      <c r="I31" s="16" t="s">
        <v>302</v>
      </c>
      <c r="J31" s="33" t="s">
        <v>1517</v>
      </c>
      <c r="K31" s="14" t="s">
        <v>304</v>
      </c>
      <c r="L31" s="36" t="s">
        <v>1518</v>
      </c>
      <c r="M31" s="60" t="s">
        <v>290</v>
      </c>
      <c r="N31" s="61" t="s">
        <v>1468</v>
      </c>
    </row>
    <row r="32" spans="1:14" ht="14.25" customHeight="1">
      <c r="A32" s="33" t="s">
        <v>1519</v>
      </c>
      <c r="B32" s="70" t="s">
        <v>1491</v>
      </c>
      <c r="C32" s="14">
        <v>29</v>
      </c>
      <c r="D32" s="14">
        <f t="shared" si="1"/>
        <v>174</v>
      </c>
      <c r="E32" s="14">
        <f t="shared" si="2"/>
        <v>187</v>
      </c>
      <c r="F32" s="14">
        <v>14</v>
      </c>
      <c r="G32" s="74"/>
      <c r="H32" s="16" t="s">
        <v>297</v>
      </c>
      <c r="I32" s="16" t="s">
        <v>302</v>
      </c>
      <c r="J32" s="33" t="s">
        <v>1520</v>
      </c>
      <c r="K32" s="14" t="s">
        <v>304</v>
      </c>
      <c r="L32" s="36" t="s">
        <v>1521</v>
      </c>
      <c r="M32" s="60" t="s">
        <v>290</v>
      </c>
      <c r="N32" s="61" t="s">
        <v>1468</v>
      </c>
    </row>
    <row r="33" spans="1:14" ht="14.25" customHeight="1">
      <c r="A33" s="33" t="s">
        <v>384</v>
      </c>
      <c r="B33" s="70" t="s">
        <v>1002</v>
      </c>
      <c r="C33" s="14">
        <v>30</v>
      </c>
      <c r="D33" s="14">
        <f t="shared" si="1"/>
        <v>188</v>
      </c>
      <c r="E33" s="14">
        <f t="shared" si="2"/>
        <v>195</v>
      </c>
      <c r="F33" s="14">
        <v>8</v>
      </c>
      <c r="G33" s="77" t="s">
        <v>716</v>
      </c>
      <c r="H33" s="16" t="s">
        <v>297</v>
      </c>
      <c r="I33" s="16" t="s">
        <v>302</v>
      </c>
      <c r="J33" s="33" t="s">
        <v>1522</v>
      </c>
      <c r="K33" s="14" t="s">
        <v>304</v>
      </c>
      <c r="L33" s="36" t="s">
        <v>1523</v>
      </c>
      <c r="M33" s="60" t="s">
        <v>290</v>
      </c>
      <c r="N33" s="61" t="s">
        <v>1468</v>
      </c>
    </row>
    <row r="34" spans="1:14" ht="14.25" customHeight="1">
      <c r="A34" s="33" t="s">
        <v>387</v>
      </c>
      <c r="B34" s="70" t="s">
        <v>1491</v>
      </c>
      <c r="C34" s="14">
        <v>31</v>
      </c>
      <c r="D34" s="14">
        <f t="shared" si="1"/>
        <v>196</v>
      </c>
      <c r="E34" s="14">
        <f t="shared" si="2"/>
        <v>209</v>
      </c>
      <c r="F34" s="14">
        <v>14</v>
      </c>
      <c r="G34" s="74"/>
      <c r="H34" s="16" t="s">
        <v>297</v>
      </c>
      <c r="I34" s="16" t="s">
        <v>302</v>
      </c>
      <c r="J34" s="33" t="s">
        <v>1524</v>
      </c>
      <c r="K34" s="14" t="s">
        <v>304</v>
      </c>
      <c r="L34" s="36" t="s">
        <v>1525</v>
      </c>
      <c r="M34" s="60" t="s">
        <v>290</v>
      </c>
      <c r="N34" s="61" t="s">
        <v>1463</v>
      </c>
    </row>
    <row r="35" spans="1:14" ht="31.5">
      <c r="A35" s="33" t="s">
        <v>390</v>
      </c>
      <c r="B35" s="70" t="s">
        <v>1002</v>
      </c>
      <c r="C35" s="14">
        <v>32</v>
      </c>
      <c r="D35" s="14">
        <f t="shared" si="1"/>
        <v>210</v>
      </c>
      <c r="E35" s="14">
        <f t="shared" si="2"/>
        <v>217</v>
      </c>
      <c r="F35" s="14">
        <v>8</v>
      </c>
      <c r="G35" s="77" t="s">
        <v>1526</v>
      </c>
      <c r="H35" s="16" t="s">
        <v>297</v>
      </c>
      <c r="I35" s="16" t="s">
        <v>302</v>
      </c>
      <c r="J35" s="33" t="s">
        <v>1527</v>
      </c>
      <c r="K35" s="14" t="s">
        <v>304</v>
      </c>
      <c r="L35" s="36" t="s">
        <v>1528</v>
      </c>
      <c r="M35" s="60" t="s">
        <v>290</v>
      </c>
      <c r="N35" s="61" t="s">
        <v>1463</v>
      </c>
    </row>
    <row r="36" spans="1:14" ht="10.5">
      <c r="A36" s="33" t="s">
        <v>394</v>
      </c>
      <c r="B36" s="70" t="s">
        <v>1491</v>
      </c>
      <c r="C36" s="14">
        <v>33</v>
      </c>
      <c r="D36" s="14">
        <f t="shared" si="1"/>
        <v>218</v>
      </c>
      <c r="E36" s="14">
        <f t="shared" si="2"/>
        <v>231</v>
      </c>
      <c r="F36" s="14">
        <v>14</v>
      </c>
      <c r="G36" s="74" t="s">
        <v>879</v>
      </c>
      <c r="H36" s="16" t="s">
        <v>297</v>
      </c>
      <c r="I36" s="16" t="s">
        <v>302</v>
      </c>
      <c r="J36" s="33" t="s">
        <v>1529</v>
      </c>
      <c r="K36" s="14" t="s">
        <v>304</v>
      </c>
      <c r="L36" s="36" t="s">
        <v>1530</v>
      </c>
      <c r="M36" s="60" t="s">
        <v>290</v>
      </c>
      <c r="N36" s="61" t="s">
        <v>1468</v>
      </c>
    </row>
    <row r="37" spans="1:14">
      <c r="A37" s="33" t="s">
        <v>397</v>
      </c>
      <c r="B37" s="70" t="s">
        <v>1482</v>
      </c>
      <c r="C37" s="14">
        <v>34</v>
      </c>
      <c r="D37" s="14">
        <f t="shared" si="1"/>
        <v>232</v>
      </c>
      <c r="E37" s="14">
        <f t="shared" si="2"/>
        <v>232</v>
      </c>
      <c r="F37" s="14">
        <v>1</v>
      </c>
      <c r="G37" s="16" t="s">
        <v>398</v>
      </c>
      <c r="H37" s="16" t="s">
        <v>297</v>
      </c>
      <c r="I37" s="16" t="s">
        <v>302</v>
      </c>
      <c r="J37" s="33" t="s">
        <v>1531</v>
      </c>
      <c r="K37" s="14" t="s">
        <v>304</v>
      </c>
      <c r="L37" s="36" t="s">
        <v>1532</v>
      </c>
      <c r="M37" s="60" t="s">
        <v>290</v>
      </c>
      <c r="N37" s="61" t="s">
        <v>1468</v>
      </c>
    </row>
    <row r="38" spans="1:14" ht="30.5">
      <c r="A38" s="33" t="s">
        <v>401</v>
      </c>
      <c r="B38" s="70" t="s">
        <v>1491</v>
      </c>
      <c r="C38" s="14">
        <v>35</v>
      </c>
      <c r="D38" s="14">
        <f t="shared" si="1"/>
        <v>233</v>
      </c>
      <c r="E38" s="14">
        <f t="shared" si="2"/>
        <v>246</v>
      </c>
      <c r="F38" s="14">
        <v>14</v>
      </c>
      <c r="G38" s="16" t="s">
        <v>1533</v>
      </c>
      <c r="H38" s="16" t="s">
        <v>297</v>
      </c>
      <c r="I38" s="16" t="s">
        <v>302</v>
      </c>
      <c r="J38" s="76"/>
      <c r="K38" s="14" t="s">
        <v>304</v>
      </c>
      <c r="L38" s="36" t="s">
        <v>1534</v>
      </c>
      <c r="M38" s="60" t="s">
        <v>290</v>
      </c>
      <c r="N38" s="61" t="s">
        <v>1468</v>
      </c>
    </row>
    <row r="39" spans="1:14" ht="14.25" customHeight="1">
      <c r="A39" s="33" t="s">
        <v>404</v>
      </c>
      <c r="B39" s="70" t="s">
        <v>1535</v>
      </c>
      <c r="C39" s="14">
        <v>36</v>
      </c>
      <c r="D39" s="14">
        <f t="shared" si="1"/>
        <v>247</v>
      </c>
      <c r="E39" s="14">
        <f t="shared" si="2"/>
        <v>260</v>
      </c>
      <c r="F39" s="14">
        <v>14</v>
      </c>
      <c r="G39" s="74" t="s">
        <v>1483</v>
      </c>
      <c r="H39" s="16" t="s">
        <v>297</v>
      </c>
      <c r="I39" s="16" t="s">
        <v>302</v>
      </c>
      <c r="J39" s="33" t="s">
        <v>1536</v>
      </c>
      <c r="K39" s="14" t="s">
        <v>304</v>
      </c>
      <c r="L39" s="36" t="s">
        <v>1537</v>
      </c>
      <c r="M39" s="60" t="s">
        <v>290</v>
      </c>
      <c r="N39" s="61" t="s">
        <v>1468</v>
      </c>
    </row>
    <row r="40" spans="1:14" ht="14.25" customHeight="1">
      <c r="A40" s="33" t="s">
        <v>1538</v>
      </c>
      <c r="B40" s="70" t="s">
        <v>1491</v>
      </c>
      <c r="C40" s="14">
        <v>37</v>
      </c>
      <c r="D40" s="14">
        <f t="shared" si="1"/>
        <v>261</v>
      </c>
      <c r="E40" s="14">
        <f t="shared" si="2"/>
        <v>274</v>
      </c>
      <c r="F40" s="14">
        <v>14</v>
      </c>
      <c r="G40" s="74"/>
      <c r="H40" s="16" t="s">
        <v>297</v>
      </c>
      <c r="I40" s="16" t="s">
        <v>302</v>
      </c>
      <c r="J40" s="33" t="s">
        <v>1539</v>
      </c>
      <c r="K40" s="14" t="s">
        <v>304</v>
      </c>
      <c r="L40" s="36" t="s">
        <v>1540</v>
      </c>
      <c r="M40" s="60" t="s">
        <v>290</v>
      </c>
      <c r="N40" s="61" t="s">
        <v>1468</v>
      </c>
    </row>
    <row r="41" spans="1:14" ht="70">
      <c r="A41" s="33" t="s">
        <v>411</v>
      </c>
      <c r="B41" s="70" t="s">
        <v>720</v>
      </c>
      <c r="C41" s="14">
        <v>38</v>
      </c>
      <c r="D41" s="14">
        <f t="shared" si="1"/>
        <v>275</v>
      </c>
      <c r="E41" s="14">
        <f t="shared" si="2"/>
        <v>275</v>
      </c>
      <c r="F41" s="14">
        <v>1</v>
      </c>
      <c r="G41" s="16" t="s">
        <v>1541</v>
      </c>
      <c r="H41" s="16" t="s">
        <v>297</v>
      </c>
      <c r="I41" s="16" t="s">
        <v>302</v>
      </c>
      <c r="J41" s="33"/>
      <c r="K41" s="14" t="s">
        <v>304</v>
      </c>
      <c r="L41" s="36" t="s">
        <v>1542</v>
      </c>
      <c r="M41" s="60" t="s">
        <v>290</v>
      </c>
      <c r="N41" s="61" t="s">
        <v>1463</v>
      </c>
    </row>
    <row r="42" spans="1:14" ht="14.25" customHeight="1">
      <c r="A42" s="33" t="s">
        <v>414</v>
      </c>
      <c r="B42" s="70" t="s">
        <v>1460</v>
      </c>
      <c r="C42" s="14">
        <v>39</v>
      </c>
      <c r="D42" s="14">
        <f t="shared" si="1"/>
        <v>276</v>
      </c>
      <c r="E42" s="14">
        <f t="shared" si="2"/>
        <v>290</v>
      </c>
      <c r="F42" s="14">
        <v>15</v>
      </c>
      <c r="G42" s="74"/>
      <c r="H42" s="16" t="s">
        <v>297</v>
      </c>
      <c r="I42" s="16" t="s">
        <v>302</v>
      </c>
      <c r="J42" s="33" t="s">
        <v>1543</v>
      </c>
      <c r="K42" s="14" t="s">
        <v>304</v>
      </c>
      <c r="L42" s="36" t="s">
        <v>1544</v>
      </c>
      <c r="M42" s="60" t="s">
        <v>290</v>
      </c>
      <c r="N42" s="61" t="s">
        <v>1468</v>
      </c>
    </row>
    <row r="43" spans="1:14">
      <c r="A43" s="33" t="s">
        <v>417</v>
      </c>
      <c r="B43" s="70" t="s">
        <v>854</v>
      </c>
      <c r="C43" s="14">
        <v>40</v>
      </c>
      <c r="D43" s="14">
        <f t="shared" si="1"/>
        <v>291</v>
      </c>
      <c r="E43" s="14">
        <f t="shared" si="2"/>
        <v>292</v>
      </c>
      <c r="F43" s="14">
        <v>2</v>
      </c>
      <c r="G43" s="15"/>
      <c r="H43" s="16" t="s">
        <v>297</v>
      </c>
      <c r="I43" s="16" t="s">
        <v>302</v>
      </c>
      <c r="J43" s="33" t="s">
        <v>1545</v>
      </c>
      <c r="K43" s="14" t="s">
        <v>304</v>
      </c>
      <c r="L43" s="36" t="s">
        <v>1546</v>
      </c>
      <c r="M43" s="60" t="s">
        <v>290</v>
      </c>
      <c r="N43" s="61" t="s">
        <v>1468</v>
      </c>
    </row>
    <row r="44" spans="1:14" ht="270">
      <c r="A44" s="33" t="s">
        <v>1547</v>
      </c>
      <c r="B44" s="70" t="s">
        <v>1548</v>
      </c>
      <c r="C44" s="14">
        <v>41</v>
      </c>
      <c r="D44" s="14">
        <f t="shared" si="1"/>
        <v>293</v>
      </c>
      <c r="E44" s="14">
        <f t="shared" si="2"/>
        <v>318</v>
      </c>
      <c r="F44" s="14">
        <v>26</v>
      </c>
      <c r="G44" s="15" t="s">
        <v>422</v>
      </c>
      <c r="H44" s="16" t="s">
        <v>1549</v>
      </c>
      <c r="I44" s="16" t="s">
        <v>1464</v>
      </c>
      <c r="J44" s="33"/>
      <c r="K44" s="14" t="s">
        <v>304</v>
      </c>
      <c r="L44" s="33" t="s">
        <v>1550</v>
      </c>
      <c r="M44" s="60" t="s">
        <v>290</v>
      </c>
      <c r="N44" s="61" t="s">
        <v>1551</v>
      </c>
    </row>
    <row r="45" spans="1:14" ht="14.25" customHeight="1">
      <c r="A45" s="33" t="s">
        <v>426</v>
      </c>
      <c r="B45" s="70" t="s">
        <v>1460</v>
      </c>
      <c r="C45" s="14">
        <v>42</v>
      </c>
      <c r="D45" s="14">
        <f t="shared" si="1"/>
        <v>319</v>
      </c>
      <c r="E45" s="14">
        <f t="shared" si="2"/>
        <v>333</v>
      </c>
      <c r="F45" s="14">
        <v>15</v>
      </c>
      <c r="G45" s="74"/>
      <c r="H45" s="16" t="s">
        <v>297</v>
      </c>
      <c r="I45" s="16" t="s">
        <v>302</v>
      </c>
      <c r="J45" s="33" t="s">
        <v>1552</v>
      </c>
      <c r="K45" s="14" t="s">
        <v>304</v>
      </c>
      <c r="L45" s="36" t="s">
        <v>1553</v>
      </c>
      <c r="M45" s="60" t="s">
        <v>290</v>
      </c>
      <c r="N45" s="61" t="s">
        <v>1468</v>
      </c>
    </row>
    <row r="46" spans="1:14" ht="20">
      <c r="A46" s="33" t="s">
        <v>429</v>
      </c>
      <c r="B46" s="70" t="s">
        <v>720</v>
      </c>
      <c r="C46" s="14">
        <v>43</v>
      </c>
      <c r="D46" s="14">
        <f t="shared" si="1"/>
        <v>334</v>
      </c>
      <c r="E46" s="14">
        <f t="shared" si="2"/>
        <v>334</v>
      </c>
      <c r="F46" s="14">
        <v>1</v>
      </c>
      <c r="G46" s="16" t="s">
        <v>1554</v>
      </c>
      <c r="H46" s="16" t="s">
        <v>297</v>
      </c>
      <c r="I46" s="16" t="s">
        <v>302</v>
      </c>
      <c r="J46" s="33" t="s">
        <v>1555</v>
      </c>
      <c r="K46" s="14" t="s">
        <v>304</v>
      </c>
      <c r="L46" s="36" t="s">
        <v>1556</v>
      </c>
      <c r="M46" s="60" t="s">
        <v>290</v>
      </c>
      <c r="N46" s="61" t="s">
        <v>1468</v>
      </c>
    </row>
    <row r="47" spans="1:14" ht="20">
      <c r="A47" s="33" t="s">
        <v>432</v>
      </c>
      <c r="B47" s="70" t="s">
        <v>720</v>
      </c>
      <c r="C47" s="14">
        <v>44</v>
      </c>
      <c r="D47" s="14">
        <f t="shared" si="1"/>
        <v>335</v>
      </c>
      <c r="E47" s="14">
        <f t="shared" si="2"/>
        <v>335</v>
      </c>
      <c r="F47" s="14">
        <v>1</v>
      </c>
      <c r="G47" s="16" t="s">
        <v>433</v>
      </c>
      <c r="H47" s="16" t="s">
        <v>297</v>
      </c>
      <c r="I47" s="16" t="s">
        <v>302</v>
      </c>
      <c r="J47" s="33" t="s">
        <v>1557</v>
      </c>
      <c r="K47" s="14" t="s">
        <v>304</v>
      </c>
      <c r="L47" s="36" t="s">
        <v>1558</v>
      </c>
      <c r="M47" s="60" t="s">
        <v>290</v>
      </c>
      <c r="N47" s="61" t="s">
        <v>1468</v>
      </c>
    </row>
    <row r="48" spans="1:14" ht="14.25" customHeight="1">
      <c r="A48" s="33" t="s">
        <v>436</v>
      </c>
      <c r="B48" s="70" t="s">
        <v>1108</v>
      </c>
      <c r="C48" s="14">
        <v>45</v>
      </c>
      <c r="D48" s="14">
        <f t="shared" si="1"/>
        <v>336</v>
      </c>
      <c r="E48" s="14">
        <f t="shared" si="2"/>
        <v>347</v>
      </c>
      <c r="F48" s="14">
        <v>12</v>
      </c>
      <c r="G48" s="74"/>
      <c r="H48" s="16" t="s">
        <v>297</v>
      </c>
      <c r="I48" s="16" t="s">
        <v>302</v>
      </c>
      <c r="J48" s="33" t="s">
        <v>1559</v>
      </c>
      <c r="K48" s="14" t="s">
        <v>304</v>
      </c>
      <c r="L48" s="36" t="s">
        <v>1560</v>
      </c>
      <c r="M48" s="60" t="s">
        <v>290</v>
      </c>
      <c r="N48" s="61" t="s">
        <v>1468</v>
      </c>
    </row>
    <row r="49" spans="1:14" ht="31.5">
      <c r="A49" s="33" t="s">
        <v>439</v>
      </c>
      <c r="B49" s="70" t="s">
        <v>1002</v>
      </c>
      <c r="C49" s="14">
        <v>46</v>
      </c>
      <c r="D49" s="14">
        <f t="shared" si="1"/>
        <v>348</v>
      </c>
      <c r="E49" s="14">
        <f t="shared" si="2"/>
        <v>355</v>
      </c>
      <c r="F49" s="14">
        <v>8</v>
      </c>
      <c r="G49" s="77" t="s">
        <v>1526</v>
      </c>
      <c r="H49" s="16" t="s">
        <v>297</v>
      </c>
      <c r="I49" s="16" t="s">
        <v>302</v>
      </c>
      <c r="J49" s="33" t="s">
        <v>1561</v>
      </c>
      <c r="K49" s="14" t="s">
        <v>304</v>
      </c>
      <c r="L49" s="36" t="s">
        <v>1562</v>
      </c>
      <c r="M49" s="60" t="s">
        <v>290</v>
      </c>
      <c r="N49" s="61" t="s">
        <v>1463</v>
      </c>
    </row>
    <row r="50" spans="1:14" ht="14.25" customHeight="1">
      <c r="A50" s="33" t="s">
        <v>442</v>
      </c>
      <c r="B50" s="70" t="s">
        <v>1108</v>
      </c>
      <c r="C50" s="14">
        <v>47</v>
      </c>
      <c r="D50" s="14">
        <f t="shared" si="1"/>
        <v>356</v>
      </c>
      <c r="E50" s="14">
        <f t="shared" si="2"/>
        <v>367</v>
      </c>
      <c r="F50" s="14">
        <v>12</v>
      </c>
      <c r="G50" s="74"/>
      <c r="H50" s="16" t="s">
        <v>297</v>
      </c>
      <c r="I50" s="16" t="s">
        <v>302</v>
      </c>
      <c r="J50" s="33" t="s">
        <v>1563</v>
      </c>
      <c r="K50" s="14" t="s">
        <v>304</v>
      </c>
      <c r="L50" s="36" t="s">
        <v>1564</v>
      </c>
      <c r="M50" s="60" t="s">
        <v>290</v>
      </c>
      <c r="N50" s="61" t="s">
        <v>1468</v>
      </c>
    </row>
    <row r="51" spans="1:14" ht="14.25" customHeight="1">
      <c r="A51" s="33" t="s">
        <v>445</v>
      </c>
      <c r="B51" s="70" t="s">
        <v>1002</v>
      </c>
      <c r="C51" s="14">
        <v>48</v>
      </c>
      <c r="D51" s="14">
        <f t="shared" si="1"/>
        <v>368</v>
      </c>
      <c r="E51" s="14">
        <f t="shared" si="2"/>
        <v>375</v>
      </c>
      <c r="F51" s="14">
        <v>8</v>
      </c>
      <c r="G51" s="74"/>
      <c r="H51" s="16" t="s">
        <v>297</v>
      </c>
      <c r="I51" s="16" t="s">
        <v>302</v>
      </c>
      <c r="J51" s="33" t="s">
        <v>1565</v>
      </c>
      <c r="K51" s="14" t="s">
        <v>304</v>
      </c>
      <c r="L51" s="36" t="s">
        <v>1566</v>
      </c>
      <c r="M51" s="60" t="s">
        <v>290</v>
      </c>
      <c r="N51" s="61" t="s">
        <v>1468</v>
      </c>
    </row>
    <row r="52" spans="1:14" ht="14.25" customHeight="1">
      <c r="A52" s="33" t="s">
        <v>448</v>
      </c>
      <c r="B52" s="70" t="s">
        <v>854</v>
      </c>
      <c r="C52" s="14">
        <v>49</v>
      </c>
      <c r="D52" s="14">
        <f t="shared" si="1"/>
        <v>376</v>
      </c>
      <c r="E52" s="14">
        <f t="shared" si="2"/>
        <v>377</v>
      </c>
      <c r="F52" s="14">
        <v>2</v>
      </c>
      <c r="G52" s="74"/>
      <c r="H52" s="16" t="s">
        <v>297</v>
      </c>
      <c r="I52" s="16" t="s">
        <v>302</v>
      </c>
      <c r="J52" s="33" t="s">
        <v>449</v>
      </c>
      <c r="K52" s="14" t="s">
        <v>304</v>
      </c>
      <c r="L52" s="36" t="s">
        <v>1567</v>
      </c>
      <c r="M52" s="60" t="s">
        <v>290</v>
      </c>
      <c r="N52" s="61" t="s">
        <v>1468</v>
      </c>
    </row>
    <row r="53" spans="1:14" ht="14.25" customHeight="1">
      <c r="A53" s="33" t="s">
        <v>451</v>
      </c>
      <c r="B53" s="70" t="s">
        <v>1482</v>
      </c>
      <c r="C53" s="14">
        <v>50</v>
      </c>
      <c r="D53" s="14">
        <f t="shared" si="1"/>
        <v>378</v>
      </c>
      <c r="E53" s="14">
        <f t="shared" si="2"/>
        <v>378</v>
      </c>
      <c r="F53" s="14">
        <v>1</v>
      </c>
      <c r="G53" s="74"/>
      <c r="H53" s="16" t="s">
        <v>297</v>
      </c>
      <c r="I53" s="16" t="s">
        <v>302</v>
      </c>
      <c r="J53" s="33" t="s">
        <v>1568</v>
      </c>
      <c r="K53" s="14" t="s">
        <v>304</v>
      </c>
      <c r="L53" s="36" t="s">
        <v>1569</v>
      </c>
      <c r="M53" s="60" t="s">
        <v>290</v>
      </c>
      <c r="N53" s="61" t="s">
        <v>1468</v>
      </c>
    </row>
    <row r="54" spans="1:14" ht="137" customHeight="1">
      <c r="A54" s="33" t="s">
        <v>454</v>
      </c>
      <c r="B54" s="70" t="s">
        <v>714</v>
      </c>
      <c r="C54" s="14">
        <v>51</v>
      </c>
      <c r="D54" s="14">
        <f t="shared" si="1"/>
        <v>379</v>
      </c>
      <c r="E54" s="14">
        <f t="shared" si="2"/>
        <v>388</v>
      </c>
      <c r="F54" s="14">
        <v>10</v>
      </c>
      <c r="G54" s="15" t="s">
        <v>455</v>
      </c>
      <c r="H54" s="16" t="s">
        <v>297</v>
      </c>
      <c r="I54" s="16" t="s">
        <v>302</v>
      </c>
      <c r="J54" s="33"/>
      <c r="K54" s="14" t="s">
        <v>304</v>
      </c>
      <c r="L54" s="36" t="s">
        <v>1570</v>
      </c>
      <c r="M54" s="60" t="s">
        <v>290</v>
      </c>
      <c r="N54" s="61" t="s">
        <v>1468</v>
      </c>
    </row>
    <row r="55" spans="1:14" ht="14.25" customHeight="1">
      <c r="A55" s="33" t="s">
        <v>457</v>
      </c>
      <c r="B55" s="70" t="s">
        <v>720</v>
      </c>
      <c r="C55" s="14">
        <v>52</v>
      </c>
      <c r="D55" s="14">
        <f t="shared" si="1"/>
        <v>389</v>
      </c>
      <c r="E55" s="14">
        <f t="shared" si="2"/>
        <v>389</v>
      </c>
      <c r="F55" s="14">
        <v>1</v>
      </c>
      <c r="G55" s="74"/>
      <c r="H55" s="16" t="s">
        <v>297</v>
      </c>
      <c r="I55" s="16" t="s">
        <v>302</v>
      </c>
      <c r="J55" s="33" t="s">
        <v>1571</v>
      </c>
      <c r="K55" s="14" t="s">
        <v>304</v>
      </c>
      <c r="L55" s="36" t="s">
        <v>1572</v>
      </c>
      <c r="M55" s="60" t="s">
        <v>290</v>
      </c>
      <c r="N55" s="61" t="s">
        <v>460</v>
      </c>
    </row>
    <row r="56" spans="1:14" ht="14.25" customHeight="1">
      <c r="A56" s="33" t="s">
        <v>1573</v>
      </c>
      <c r="B56" s="70" t="s">
        <v>1491</v>
      </c>
      <c r="C56" s="14">
        <v>53</v>
      </c>
      <c r="D56" s="14">
        <f t="shared" si="1"/>
        <v>390</v>
      </c>
      <c r="E56" s="14">
        <f t="shared" si="2"/>
        <v>403</v>
      </c>
      <c r="F56" s="14">
        <v>14</v>
      </c>
      <c r="G56" s="74"/>
      <c r="H56" s="16" t="s">
        <v>297</v>
      </c>
      <c r="I56" s="16" t="s">
        <v>302</v>
      </c>
      <c r="J56" s="33" t="s">
        <v>1574</v>
      </c>
      <c r="K56" s="14" t="s">
        <v>304</v>
      </c>
      <c r="L56" s="36" t="s">
        <v>1575</v>
      </c>
      <c r="M56" s="60" t="s">
        <v>290</v>
      </c>
      <c r="N56" s="61" t="s">
        <v>1468</v>
      </c>
    </row>
    <row r="57" spans="1:14" ht="104.5">
      <c r="A57" s="33" t="s">
        <v>464</v>
      </c>
      <c r="B57" s="70" t="s">
        <v>1108</v>
      </c>
      <c r="C57" s="14">
        <v>54</v>
      </c>
      <c r="D57" s="14">
        <f t="shared" si="1"/>
        <v>404</v>
      </c>
      <c r="E57" s="14">
        <f t="shared" si="2"/>
        <v>415</v>
      </c>
      <c r="F57" s="14">
        <v>12</v>
      </c>
      <c r="G57" s="78" t="s">
        <v>465</v>
      </c>
      <c r="H57" s="16" t="s">
        <v>297</v>
      </c>
      <c r="I57" s="16" t="s">
        <v>302</v>
      </c>
      <c r="J57" s="76"/>
      <c r="K57" s="14" t="s">
        <v>304</v>
      </c>
      <c r="L57" s="36" t="s">
        <v>1576</v>
      </c>
      <c r="M57" s="60" t="s">
        <v>290</v>
      </c>
      <c r="N57" s="61" t="s">
        <v>1468</v>
      </c>
    </row>
    <row r="58" spans="1:14" ht="30">
      <c r="A58" s="33" t="s">
        <v>467</v>
      </c>
      <c r="B58" s="70" t="s">
        <v>854</v>
      </c>
      <c r="C58" s="14">
        <v>55</v>
      </c>
      <c r="D58" s="14">
        <f t="shared" si="1"/>
        <v>416</v>
      </c>
      <c r="E58" s="14">
        <f t="shared" si="2"/>
        <v>417</v>
      </c>
      <c r="F58" s="14">
        <v>2</v>
      </c>
      <c r="G58" s="16" t="s">
        <v>468</v>
      </c>
      <c r="H58" s="16" t="s">
        <v>297</v>
      </c>
      <c r="I58" s="16" t="s">
        <v>302</v>
      </c>
      <c r="J58" s="33" t="s">
        <v>1577</v>
      </c>
      <c r="K58" s="14" t="s">
        <v>304</v>
      </c>
      <c r="L58" s="36" t="s">
        <v>1578</v>
      </c>
      <c r="M58" s="60" t="s">
        <v>290</v>
      </c>
      <c r="N58" s="61" t="s">
        <v>1468</v>
      </c>
    </row>
    <row r="59" spans="1:14" ht="71.5">
      <c r="A59" s="33" t="s">
        <v>472</v>
      </c>
      <c r="B59" s="70" t="s">
        <v>1002</v>
      </c>
      <c r="C59" s="14">
        <v>56</v>
      </c>
      <c r="D59" s="14">
        <f t="shared" si="1"/>
        <v>418</v>
      </c>
      <c r="E59" s="14">
        <f t="shared" si="2"/>
        <v>425</v>
      </c>
      <c r="F59" s="14">
        <v>8</v>
      </c>
      <c r="G59" s="77" t="s">
        <v>1579</v>
      </c>
      <c r="H59" s="16" t="s">
        <v>297</v>
      </c>
      <c r="I59" s="16" t="s">
        <v>302</v>
      </c>
      <c r="J59" s="33" t="s">
        <v>1580</v>
      </c>
      <c r="K59" s="14" t="s">
        <v>304</v>
      </c>
      <c r="L59" s="36" t="s">
        <v>1581</v>
      </c>
      <c r="M59" s="60" t="s">
        <v>290</v>
      </c>
      <c r="N59" s="61" t="s">
        <v>1468</v>
      </c>
    </row>
    <row r="60" spans="1:14">
      <c r="A60" s="33" t="s">
        <v>1582</v>
      </c>
      <c r="B60" s="70" t="s">
        <v>1111</v>
      </c>
      <c r="C60" s="14">
        <v>57</v>
      </c>
      <c r="D60" s="14">
        <f t="shared" si="1"/>
        <v>426</v>
      </c>
      <c r="E60" s="14">
        <f t="shared" si="2"/>
        <v>428</v>
      </c>
      <c r="F60" s="14">
        <v>3</v>
      </c>
      <c r="G60" s="16" t="s">
        <v>1583</v>
      </c>
      <c r="H60" s="16" t="s">
        <v>798</v>
      </c>
      <c r="I60" s="16" t="s">
        <v>479</v>
      </c>
      <c r="J60" s="33" t="s">
        <v>480</v>
      </c>
      <c r="K60" s="14" t="s">
        <v>304</v>
      </c>
      <c r="L60" s="36">
        <v>2427</v>
      </c>
      <c r="M60" s="60" t="s">
        <v>290</v>
      </c>
      <c r="N60" s="61" t="s">
        <v>1468</v>
      </c>
    </row>
    <row r="61" spans="1:14">
      <c r="A61" s="33" t="s">
        <v>224</v>
      </c>
      <c r="B61" s="70" t="s">
        <v>1584</v>
      </c>
      <c r="C61" s="14">
        <v>58</v>
      </c>
      <c r="D61" s="14">
        <f t="shared" si="1"/>
        <v>429</v>
      </c>
      <c r="E61" s="14">
        <f t="shared" si="2"/>
        <v>431</v>
      </c>
      <c r="F61" s="14">
        <v>3</v>
      </c>
      <c r="G61" s="16"/>
      <c r="H61" s="16" t="s">
        <v>798</v>
      </c>
      <c r="I61" s="16" t="s">
        <v>1464</v>
      </c>
      <c r="J61" s="33" t="s">
        <v>1585</v>
      </c>
      <c r="K61" s="14" t="s">
        <v>1466</v>
      </c>
      <c r="L61" s="36">
        <v>2429</v>
      </c>
      <c r="M61" s="60" t="s">
        <v>290</v>
      </c>
      <c r="N61" s="61" t="s">
        <v>1463</v>
      </c>
    </row>
    <row r="62" spans="1:14">
      <c r="A62" s="33" t="s">
        <v>483</v>
      </c>
      <c r="B62" s="70" t="s">
        <v>720</v>
      </c>
      <c r="C62" s="14">
        <v>59</v>
      </c>
      <c r="D62" s="14">
        <f t="shared" si="1"/>
        <v>432</v>
      </c>
      <c r="E62" s="14">
        <f t="shared" si="2"/>
        <v>432</v>
      </c>
      <c r="F62" s="14">
        <v>1</v>
      </c>
      <c r="G62" s="16" t="s">
        <v>1586</v>
      </c>
      <c r="H62" s="16" t="s">
        <v>1587</v>
      </c>
      <c r="I62" s="16" t="s">
        <v>1464</v>
      </c>
      <c r="J62" s="33" t="s">
        <v>1588</v>
      </c>
      <c r="K62" s="14" t="s">
        <v>304</v>
      </c>
      <c r="L62" s="36">
        <v>2430</v>
      </c>
      <c r="M62" s="60" t="s">
        <v>290</v>
      </c>
      <c r="N62" s="61" t="s">
        <v>1463</v>
      </c>
    </row>
    <row r="63" spans="1:14">
      <c r="A63" s="79" t="s">
        <v>1007</v>
      </c>
      <c r="B63" s="70" t="s">
        <v>1008</v>
      </c>
      <c r="C63" s="14">
        <v>60</v>
      </c>
      <c r="D63" s="14">
        <f t="shared" si="1"/>
        <v>433</v>
      </c>
      <c r="E63" s="14">
        <f t="shared" si="2"/>
        <v>443</v>
      </c>
      <c r="F63" s="14">
        <v>11</v>
      </c>
      <c r="G63" s="16"/>
      <c r="H63" s="16" t="s">
        <v>1587</v>
      </c>
      <c r="I63" s="16" t="s">
        <v>1464</v>
      </c>
      <c r="J63" s="33" t="s">
        <v>1589</v>
      </c>
      <c r="K63" s="14" t="s">
        <v>1466</v>
      </c>
      <c r="L63" s="36"/>
      <c r="M63" s="60" t="s">
        <v>724</v>
      </c>
      <c r="N63" s="61" t="s">
        <v>1463</v>
      </c>
    </row>
    <row r="64" spans="1:14">
      <c r="A64" s="79" t="s">
        <v>1590</v>
      </c>
      <c r="B64" s="70" t="s">
        <v>1591</v>
      </c>
      <c r="C64" s="14">
        <v>61</v>
      </c>
      <c r="D64" s="14">
        <f t="shared" si="1"/>
        <v>444</v>
      </c>
      <c r="E64" s="14">
        <f t="shared" si="2"/>
        <v>483</v>
      </c>
      <c r="F64" s="14">
        <v>40</v>
      </c>
      <c r="G64" s="16"/>
      <c r="H64" s="16" t="s">
        <v>1549</v>
      </c>
      <c r="I64" s="16" t="s">
        <v>1592</v>
      </c>
      <c r="J64" s="33" t="s">
        <v>1593</v>
      </c>
      <c r="K64" s="14" t="s">
        <v>1594</v>
      </c>
      <c r="L64" s="36">
        <v>2428</v>
      </c>
      <c r="M64" s="17" t="s">
        <v>724</v>
      </c>
      <c r="N64" s="61"/>
    </row>
    <row r="65" spans="1:14" ht="20">
      <c r="A65" s="79" t="s">
        <v>1595</v>
      </c>
      <c r="B65" s="70" t="s">
        <v>1596</v>
      </c>
      <c r="C65" s="14">
        <v>62</v>
      </c>
      <c r="D65" s="14">
        <f t="shared" si="1"/>
        <v>484</v>
      </c>
      <c r="E65" s="14">
        <f t="shared" si="2"/>
        <v>490</v>
      </c>
      <c r="F65" s="14">
        <v>7</v>
      </c>
      <c r="G65" s="16" t="s">
        <v>1597</v>
      </c>
      <c r="H65" s="16" t="s">
        <v>1549</v>
      </c>
      <c r="I65" s="16" t="s">
        <v>1598</v>
      </c>
      <c r="J65" s="33" t="s">
        <v>1599</v>
      </c>
      <c r="K65" s="14"/>
      <c r="L65" s="36"/>
      <c r="M65" s="17" t="s">
        <v>724</v>
      </c>
      <c r="N65" s="61"/>
    </row>
    <row r="66" spans="1:14">
      <c r="A66" s="79" t="s">
        <v>1600</v>
      </c>
      <c r="B66" s="70" t="s">
        <v>1601</v>
      </c>
      <c r="C66" s="14">
        <v>63</v>
      </c>
      <c r="D66" s="14">
        <f t="shared" si="1"/>
        <v>491</v>
      </c>
      <c r="E66" s="14">
        <f t="shared" si="2"/>
        <v>493</v>
      </c>
      <c r="F66" s="14">
        <v>3</v>
      </c>
      <c r="G66" s="16"/>
      <c r="H66" s="16" t="s">
        <v>1549</v>
      </c>
      <c r="I66" s="16" t="s">
        <v>1464</v>
      </c>
      <c r="J66" s="33" t="s">
        <v>1602</v>
      </c>
      <c r="K66" s="14"/>
      <c r="L66" s="36"/>
      <c r="M66" s="17" t="s">
        <v>724</v>
      </c>
      <c r="N66" s="61"/>
    </row>
    <row r="67" spans="1:14" s="23" customFormat="1">
      <c r="A67" s="80" t="s">
        <v>719</v>
      </c>
      <c r="B67" s="19" t="s">
        <v>720</v>
      </c>
      <c r="C67" s="14">
        <v>63</v>
      </c>
      <c r="D67" s="14">
        <f t="shared" si="1"/>
        <v>494</v>
      </c>
      <c r="E67" s="14">
        <f t="shared" si="2"/>
        <v>494</v>
      </c>
      <c r="F67" s="19">
        <v>1</v>
      </c>
      <c r="G67" s="20" t="s">
        <v>1457</v>
      </c>
      <c r="H67" s="66"/>
      <c r="I67" s="66"/>
      <c r="J67" s="19"/>
      <c r="K67" s="19"/>
      <c r="L67" s="19"/>
      <c r="M67" s="21"/>
      <c r="N67" s="22"/>
    </row>
    <row r="68" spans="1:14" ht="31.5">
      <c r="A68" s="6" t="s">
        <v>1603</v>
      </c>
      <c r="B68" s="7" t="s">
        <v>14</v>
      </c>
      <c r="C68" s="27" t="s">
        <v>879</v>
      </c>
      <c r="D68" s="7">
        <v>1</v>
      </c>
      <c r="E68" s="27">
        <f>E71</f>
        <v>11</v>
      </c>
      <c r="F68" s="27">
        <f>E68</f>
        <v>11</v>
      </c>
      <c r="G68" s="29"/>
      <c r="H68" s="29"/>
      <c r="I68" s="29"/>
      <c r="J68" s="29"/>
      <c r="K68" s="29" t="s">
        <v>204</v>
      </c>
      <c r="L68" s="29"/>
      <c r="M68" s="60" t="s">
        <v>290</v>
      </c>
      <c r="N68" s="61"/>
    </row>
    <row r="69" spans="1:14" ht="21">
      <c r="A69" s="30" t="s">
        <v>723</v>
      </c>
      <c r="B69" s="62" t="s">
        <v>18</v>
      </c>
      <c r="C69" s="14">
        <v>64</v>
      </c>
      <c r="D69" s="14">
        <v>1</v>
      </c>
      <c r="E69" s="14">
        <v>1</v>
      </c>
      <c r="F69" s="14">
        <v>1</v>
      </c>
      <c r="G69" s="16" t="s">
        <v>205</v>
      </c>
      <c r="H69" s="16"/>
      <c r="I69" s="16"/>
      <c r="J69" s="14"/>
      <c r="K69" s="14"/>
      <c r="L69" s="63"/>
      <c r="M69" s="60" t="s">
        <v>290</v>
      </c>
      <c r="N69" s="61"/>
    </row>
    <row r="70" spans="1:14" ht="20.5">
      <c r="A70" s="42" t="s">
        <v>206</v>
      </c>
      <c r="B70" s="62" t="s">
        <v>207</v>
      </c>
      <c r="C70" s="14">
        <v>65</v>
      </c>
      <c r="D70" s="14">
        <v>2</v>
      </c>
      <c r="E70" s="14">
        <f>D70+F70-1</f>
        <v>10</v>
      </c>
      <c r="F70" s="14">
        <v>9</v>
      </c>
      <c r="G70" s="15" t="s">
        <v>208</v>
      </c>
      <c r="H70" s="16"/>
      <c r="I70" s="16"/>
      <c r="J70" s="14"/>
      <c r="K70" s="14"/>
      <c r="L70" s="63"/>
      <c r="M70" s="60" t="s">
        <v>290</v>
      </c>
      <c r="N70" s="61"/>
    </row>
    <row r="71" spans="1:14" ht="13" thickBot="1">
      <c r="A71" s="81" t="s">
        <v>719</v>
      </c>
      <c r="B71" s="82" t="s">
        <v>1070</v>
      </c>
      <c r="C71" s="52">
        <v>66</v>
      </c>
      <c r="D71" s="52">
        <v>11</v>
      </c>
      <c r="E71" s="52">
        <f>D71 +F71-1</f>
        <v>11</v>
      </c>
      <c r="F71" s="52">
        <v>1</v>
      </c>
      <c r="G71" s="83" t="s">
        <v>1457</v>
      </c>
      <c r="H71" s="54"/>
      <c r="I71" s="54"/>
      <c r="J71" s="52"/>
      <c r="K71" s="52"/>
      <c r="L71" s="84"/>
      <c r="M71" s="85" t="s">
        <v>290</v>
      </c>
      <c r="N71" s="86"/>
    </row>
    <row r="72" spans="1:14">
      <c r="M72" s="47"/>
    </row>
    <row r="73" spans="1:14">
      <c r="M73" s="47"/>
    </row>
    <row r="74" spans="1:14">
      <c r="M74" s="47"/>
    </row>
    <row r="75" spans="1:14">
      <c r="M75" s="47"/>
    </row>
    <row r="76" spans="1:14">
      <c r="M76" s="47"/>
    </row>
    <row r="77" spans="1:14">
      <c r="M77" s="47"/>
    </row>
    <row r="78" spans="1:14">
      <c r="M78" s="47"/>
    </row>
    <row r="79" spans="1:14">
      <c r="M79" s="47"/>
    </row>
    <row r="80" spans="1:14">
      <c r="M80" s="47"/>
    </row>
    <row r="81" spans="13:13">
      <c r="M81" s="47"/>
    </row>
    <row r="82" spans="13:13">
      <c r="M82" s="47"/>
    </row>
    <row r="83" spans="13:13">
      <c r="M83" s="47"/>
    </row>
    <row r="84" spans="13:13">
      <c r="M84" s="47"/>
    </row>
    <row r="85" spans="13:13">
      <c r="M85" s="47"/>
    </row>
    <row r="86" spans="13:13">
      <c r="M86" s="47"/>
    </row>
    <row r="87" spans="13:13">
      <c r="M87" s="47"/>
    </row>
    <row r="88" spans="13:13">
      <c r="M88" s="47"/>
    </row>
    <row r="89" spans="13:13">
      <c r="M89" s="47"/>
    </row>
    <row r="90" spans="13:13">
      <c r="M90" s="47"/>
    </row>
    <row r="91" spans="13:13">
      <c r="M91" s="47"/>
    </row>
    <row r="92" spans="13:13">
      <c r="M92" s="47"/>
    </row>
    <row r="93" spans="13:13">
      <c r="M93" s="47"/>
    </row>
    <row r="94" spans="13:13">
      <c r="M94" s="47"/>
    </row>
    <row r="95" spans="13:13">
      <c r="M95" s="47"/>
    </row>
    <row r="96" spans="13:13">
      <c r="M96" s="47"/>
    </row>
    <row r="97" spans="13:13">
      <c r="M97" s="47"/>
    </row>
    <row r="98" spans="13:13">
      <c r="M98" s="47"/>
    </row>
    <row r="99" spans="13:13">
      <c r="M99" s="47"/>
    </row>
    <row r="100" spans="13:13">
      <c r="M100" s="47"/>
    </row>
    <row r="101" spans="13:13">
      <c r="M101" s="47"/>
    </row>
    <row r="102" spans="13:13">
      <c r="M102" s="47"/>
    </row>
    <row r="103" spans="13:13">
      <c r="M103" s="47"/>
    </row>
    <row r="104" spans="13:13">
      <c r="M104" s="47"/>
    </row>
    <row r="105" spans="13:13">
      <c r="M105" s="47"/>
    </row>
    <row r="106" spans="13:13">
      <c r="M106" s="47"/>
    </row>
    <row r="107" spans="13:13">
      <c r="M107" s="47"/>
    </row>
    <row r="108" spans="13:13">
      <c r="M108" s="47"/>
    </row>
    <row r="109" spans="13:13">
      <c r="M109" s="47"/>
    </row>
    <row r="110" spans="13:13">
      <c r="M110" s="47"/>
    </row>
    <row r="111" spans="13:13">
      <c r="M111" s="47"/>
    </row>
    <row r="112" spans="13:13">
      <c r="M112" s="47"/>
    </row>
    <row r="113" spans="13:13">
      <c r="M113" s="47"/>
    </row>
    <row r="114" spans="13:13">
      <c r="M114" s="47"/>
    </row>
    <row r="115" spans="13:13">
      <c r="M115" s="47"/>
    </row>
    <row r="116" spans="13:13">
      <c r="M116" s="47"/>
    </row>
    <row r="117" spans="13:13">
      <c r="M117" s="47"/>
    </row>
    <row r="118" spans="13:13">
      <c r="M118" s="47"/>
    </row>
    <row r="119" spans="13:13">
      <c r="M119" s="47"/>
    </row>
    <row r="120" spans="13:13">
      <c r="M120" s="47"/>
    </row>
    <row r="121" spans="13:13">
      <c r="M121" s="47"/>
    </row>
    <row r="122" spans="13:13">
      <c r="M122" s="47"/>
    </row>
    <row r="123" spans="13:13">
      <c r="M123" s="47"/>
    </row>
    <row r="124" spans="13:13">
      <c r="M124" s="47"/>
    </row>
    <row r="125" spans="13:13">
      <c r="M125" s="47"/>
    </row>
    <row r="126" spans="13:13">
      <c r="M126" s="47"/>
    </row>
    <row r="127" spans="13:13">
      <c r="M127" s="47"/>
    </row>
    <row r="128" spans="13:13">
      <c r="M128" s="47"/>
    </row>
    <row r="129" spans="13:13">
      <c r="M129" s="47"/>
    </row>
    <row r="130" spans="13:13">
      <c r="M130" s="47"/>
    </row>
    <row r="131" spans="13:13">
      <c r="M131" s="47"/>
    </row>
    <row r="132" spans="13:13">
      <c r="M132" s="47"/>
    </row>
    <row r="133" spans="13:13">
      <c r="M133" s="47"/>
    </row>
    <row r="134" spans="13:13">
      <c r="M134" s="47"/>
    </row>
    <row r="135" spans="13:13">
      <c r="M135" s="47"/>
    </row>
    <row r="136" spans="13:13">
      <c r="M136" s="47"/>
    </row>
    <row r="137" spans="13:13">
      <c r="M137" s="47"/>
    </row>
    <row r="138" spans="13:13">
      <c r="M138" s="47"/>
    </row>
    <row r="139" spans="13:13">
      <c r="M139" s="47"/>
    </row>
    <row r="140" spans="13:13">
      <c r="M140" s="47"/>
    </row>
    <row r="141" spans="13:13">
      <c r="M141" s="47"/>
    </row>
    <row r="142" spans="13:13">
      <c r="M142" s="47"/>
    </row>
    <row r="143" spans="13:13">
      <c r="M143" s="47"/>
    </row>
    <row r="144" spans="13:13">
      <c r="M144" s="47"/>
    </row>
    <row r="145" spans="13:13">
      <c r="M145" s="47"/>
    </row>
    <row r="146" spans="13:13">
      <c r="M146" s="47"/>
    </row>
    <row r="147" spans="13:13">
      <c r="M147" s="47"/>
    </row>
    <row r="148" spans="13:13">
      <c r="M148" s="47"/>
    </row>
    <row r="149" spans="13:13">
      <c r="M149" s="47"/>
    </row>
    <row r="150" spans="13:13">
      <c r="M150" s="47"/>
    </row>
    <row r="151" spans="13:13">
      <c r="M151" s="47"/>
    </row>
    <row r="152" spans="13:13">
      <c r="M152" s="47"/>
    </row>
  </sheetData>
  <pageMargins left="0.75" right="0.75" top="1" bottom="1" header="0.5" footer="0.5"/>
  <headerFooter alignWithMargins="0">
    <oddHeader>&amp;L&amp;"Arial"&amp;9&amp;K0078D7 INTERNAL&amp;1#_x000D_</oddHeader>
  </headerFooter>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0105-8397-4E87-9C42-67913FCBDECC}">
  <sheetPr codeName="Sheet17">
    <tabColor rgb="FFFF0000"/>
  </sheetPr>
  <dimension ref="A1:N133"/>
  <sheetViews>
    <sheetView topLeftCell="A13" zoomScale="145" zoomScaleNormal="145" workbookViewId="0">
      <selection activeCell="I23" sqref="I23"/>
    </sheetView>
  </sheetViews>
  <sheetFormatPr defaultColWidth="9.1796875" defaultRowHeight="10"/>
  <cols>
    <col min="1" max="1" width="17.81640625" style="153" customWidth="1"/>
    <col min="2" max="2" width="10" style="154" customWidth="1"/>
    <col min="3" max="3" width="8.1796875" style="154" bestFit="1" customWidth="1"/>
    <col min="4" max="5" width="8.26953125" style="154" bestFit="1" customWidth="1"/>
    <col min="6" max="6" width="7.26953125" style="154" bestFit="1" customWidth="1"/>
    <col min="7" max="7" width="26.1796875" style="155" bestFit="1" customWidth="1"/>
    <col min="8" max="8" width="20.7265625" style="155" bestFit="1" customWidth="1"/>
    <col min="9" max="9" width="20.81640625" style="155" bestFit="1" customWidth="1"/>
    <col min="10" max="10" width="26.453125" style="156" bestFit="1" customWidth="1"/>
    <col min="11" max="11" width="9.1796875" style="154"/>
    <col min="12" max="12" width="22.1796875" style="157" customWidth="1"/>
    <col min="13" max="13" width="13.26953125" style="101" customWidth="1"/>
    <col min="14" max="256" width="9.1796875" style="101"/>
    <col min="257" max="257" width="17.81640625" style="101" customWidth="1"/>
    <col min="258" max="258" width="10" style="101" customWidth="1"/>
    <col min="259" max="259" width="8.1796875" style="101" bestFit="1" customWidth="1"/>
    <col min="260" max="261" width="8.26953125" style="101" bestFit="1" customWidth="1"/>
    <col min="262" max="262" width="7.26953125" style="101" bestFit="1" customWidth="1"/>
    <col min="263" max="263" width="26.1796875" style="101" bestFit="1" customWidth="1"/>
    <col min="264" max="264" width="20.7265625" style="101" bestFit="1" customWidth="1"/>
    <col min="265" max="265" width="20.81640625" style="101" bestFit="1" customWidth="1"/>
    <col min="266" max="266" width="26.453125" style="101" bestFit="1" customWidth="1"/>
    <col min="267" max="267" width="9.1796875" style="101"/>
    <col min="268" max="268" width="22.1796875" style="101" customWidth="1"/>
    <col min="269" max="269" width="13.26953125" style="101" customWidth="1"/>
    <col min="270" max="512" width="9.1796875" style="101"/>
    <col min="513" max="513" width="17.81640625" style="101" customWidth="1"/>
    <col min="514" max="514" width="10" style="101" customWidth="1"/>
    <col min="515" max="515" width="8.1796875" style="101" bestFit="1" customWidth="1"/>
    <col min="516" max="517" width="8.26953125" style="101" bestFit="1" customWidth="1"/>
    <col min="518" max="518" width="7.26953125" style="101" bestFit="1" customWidth="1"/>
    <col min="519" max="519" width="26.1796875" style="101" bestFit="1" customWidth="1"/>
    <col min="520" max="520" width="20.7265625" style="101" bestFit="1" customWidth="1"/>
    <col min="521" max="521" width="20.81640625" style="101" bestFit="1" customWidth="1"/>
    <col min="522" max="522" width="26.453125" style="101" bestFit="1" customWidth="1"/>
    <col min="523" max="523" width="9.1796875" style="101"/>
    <col min="524" max="524" width="22.1796875" style="101" customWidth="1"/>
    <col min="525" max="525" width="13.26953125" style="101" customWidth="1"/>
    <col min="526" max="768" width="9.1796875" style="101"/>
    <col min="769" max="769" width="17.81640625" style="101" customWidth="1"/>
    <col min="770" max="770" width="10" style="101" customWidth="1"/>
    <col min="771" max="771" width="8.1796875" style="101" bestFit="1" customWidth="1"/>
    <col min="772" max="773" width="8.26953125" style="101" bestFit="1" customWidth="1"/>
    <col min="774" max="774" width="7.26953125" style="101" bestFit="1" customWidth="1"/>
    <col min="775" max="775" width="26.1796875" style="101" bestFit="1" customWidth="1"/>
    <col min="776" max="776" width="20.7265625" style="101" bestFit="1" customWidth="1"/>
    <col min="777" max="777" width="20.81640625" style="101" bestFit="1" customWidth="1"/>
    <col min="778" max="778" width="26.453125" style="101" bestFit="1" customWidth="1"/>
    <col min="779" max="779" width="9.1796875" style="101"/>
    <col min="780" max="780" width="22.1796875" style="101" customWidth="1"/>
    <col min="781" max="781" width="13.26953125" style="101" customWidth="1"/>
    <col min="782" max="1024" width="9.1796875" style="101"/>
    <col min="1025" max="1025" width="17.81640625" style="101" customWidth="1"/>
    <col min="1026" max="1026" width="10" style="101" customWidth="1"/>
    <col min="1027" max="1027" width="8.1796875" style="101" bestFit="1" customWidth="1"/>
    <col min="1028" max="1029" width="8.26953125" style="101" bestFit="1" customWidth="1"/>
    <col min="1030" max="1030" width="7.26953125" style="101" bestFit="1" customWidth="1"/>
    <col min="1031" max="1031" width="26.1796875" style="101" bestFit="1" customWidth="1"/>
    <col min="1032" max="1032" width="20.7265625" style="101" bestFit="1" customWidth="1"/>
    <col min="1033" max="1033" width="20.81640625" style="101" bestFit="1" customWidth="1"/>
    <col min="1034" max="1034" width="26.453125" style="101" bestFit="1" customWidth="1"/>
    <col min="1035" max="1035" width="9.1796875" style="101"/>
    <col min="1036" max="1036" width="22.1796875" style="101" customWidth="1"/>
    <col min="1037" max="1037" width="13.26953125" style="101" customWidth="1"/>
    <col min="1038" max="1280" width="9.1796875" style="101"/>
    <col min="1281" max="1281" width="17.81640625" style="101" customWidth="1"/>
    <col min="1282" max="1282" width="10" style="101" customWidth="1"/>
    <col min="1283" max="1283" width="8.1796875" style="101" bestFit="1" customWidth="1"/>
    <col min="1284" max="1285" width="8.26953125" style="101" bestFit="1" customWidth="1"/>
    <col min="1286" max="1286" width="7.26953125" style="101" bestFit="1" customWidth="1"/>
    <col min="1287" max="1287" width="26.1796875" style="101" bestFit="1" customWidth="1"/>
    <col min="1288" max="1288" width="20.7265625" style="101" bestFit="1" customWidth="1"/>
    <col min="1289" max="1289" width="20.81640625" style="101" bestFit="1" customWidth="1"/>
    <col min="1290" max="1290" width="26.453125" style="101" bestFit="1" customWidth="1"/>
    <col min="1291" max="1291" width="9.1796875" style="101"/>
    <col min="1292" max="1292" width="22.1796875" style="101" customWidth="1"/>
    <col min="1293" max="1293" width="13.26953125" style="101" customWidth="1"/>
    <col min="1294" max="1536" width="9.1796875" style="101"/>
    <col min="1537" max="1537" width="17.81640625" style="101" customWidth="1"/>
    <col min="1538" max="1538" width="10" style="101" customWidth="1"/>
    <col min="1539" max="1539" width="8.1796875" style="101" bestFit="1" customWidth="1"/>
    <col min="1540" max="1541" width="8.26953125" style="101" bestFit="1" customWidth="1"/>
    <col min="1542" max="1542" width="7.26953125" style="101" bestFit="1" customWidth="1"/>
    <col min="1543" max="1543" width="26.1796875" style="101" bestFit="1" customWidth="1"/>
    <col min="1544" max="1544" width="20.7265625" style="101" bestFit="1" customWidth="1"/>
    <col min="1545" max="1545" width="20.81640625" style="101" bestFit="1" customWidth="1"/>
    <col min="1546" max="1546" width="26.453125" style="101" bestFit="1" customWidth="1"/>
    <col min="1547" max="1547" width="9.1796875" style="101"/>
    <col min="1548" max="1548" width="22.1796875" style="101" customWidth="1"/>
    <col min="1549" max="1549" width="13.26953125" style="101" customWidth="1"/>
    <col min="1550" max="1792" width="9.1796875" style="101"/>
    <col min="1793" max="1793" width="17.81640625" style="101" customWidth="1"/>
    <col min="1794" max="1794" width="10" style="101" customWidth="1"/>
    <col min="1795" max="1795" width="8.1796875" style="101" bestFit="1" customWidth="1"/>
    <col min="1796" max="1797" width="8.26953125" style="101" bestFit="1" customWidth="1"/>
    <col min="1798" max="1798" width="7.26953125" style="101" bestFit="1" customWidth="1"/>
    <col min="1799" max="1799" width="26.1796875" style="101" bestFit="1" customWidth="1"/>
    <col min="1800" max="1800" width="20.7265625" style="101" bestFit="1" customWidth="1"/>
    <col min="1801" max="1801" width="20.81640625" style="101" bestFit="1" customWidth="1"/>
    <col min="1802" max="1802" width="26.453125" style="101" bestFit="1" customWidth="1"/>
    <col min="1803" max="1803" width="9.1796875" style="101"/>
    <col min="1804" max="1804" width="22.1796875" style="101" customWidth="1"/>
    <col min="1805" max="1805" width="13.26953125" style="101" customWidth="1"/>
    <col min="1806" max="2048" width="9.1796875" style="101"/>
    <col min="2049" max="2049" width="17.81640625" style="101" customWidth="1"/>
    <col min="2050" max="2050" width="10" style="101" customWidth="1"/>
    <col min="2051" max="2051" width="8.1796875" style="101" bestFit="1" customWidth="1"/>
    <col min="2052" max="2053" width="8.26953125" style="101" bestFit="1" customWidth="1"/>
    <col min="2054" max="2054" width="7.26953125" style="101" bestFit="1" customWidth="1"/>
    <col min="2055" max="2055" width="26.1796875" style="101" bestFit="1" customWidth="1"/>
    <col min="2056" max="2056" width="20.7265625" style="101" bestFit="1" customWidth="1"/>
    <col min="2057" max="2057" width="20.81640625" style="101" bestFit="1" customWidth="1"/>
    <col min="2058" max="2058" width="26.453125" style="101" bestFit="1" customWidth="1"/>
    <col min="2059" max="2059" width="9.1796875" style="101"/>
    <col min="2060" max="2060" width="22.1796875" style="101" customWidth="1"/>
    <col min="2061" max="2061" width="13.26953125" style="101" customWidth="1"/>
    <col min="2062" max="2304" width="9.1796875" style="101"/>
    <col min="2305" max="2305" width="17.81640625" style="101" customWidth="1"/>
    <col min="2306" max="2306" width="10" style="101" customWidth="1"/>
    <col min="2307" max="2307" width="8.1796875" style="101" bestFit="1" customWidth="1"/>
    <col min="2308" max="2309" width="8.26953125" style="101" bestFit="1" customWidth="1"/>
    <col min="2310" max="2310" width="7.26953125" style="101" bestFit="1" customWidth="1"/>
    <col min="2311" max="2311" width="26.1796875" style="101" bestFit="1" customWidth="1"/>
    <col min="2312" max="2312" width="20.7265625" style="101" bestFit="1" customWidth="1"/>
    <col min="2313" max="2313" width="20.81640625" style="101" bestFit="1" customWidth="1"/>
    <col min="2314" max="2314" width="26.453125" style="101" bestFit="1" customWidth="1"/>
    <col min="2315" max="2315" width="9.1796875" style="101"/>
    <col min="2316" max="2316" width="22.1796875" style="101" customWidth="1"/>
    <col min="2317" max="2317" width="13.26953125" style="101" customWidth="1"/>
    <col min="2318" max="2560" width="9.1796875" style="101"/>
    <col min="2561" max="2561" width="17.81640625" style="101" customWidth="1"/>
    <col min="2562" max="2562" width="10" style="101" customWidth="1"/>
    <col min="2563" max="2563" width="8.1796875" style="101" bestFit="1" customWidth="1"/>
    <col min="2564" max="2565" width="8.26953125" style="101" bestFit="1" customWidth="1"/>
    <col min="2566" max="2566" width="7.26953125" style="101" bestFit="1" customWidth="1"/>
    <col min="2567" max="2567" width="26.1796875" style="101" bestFit="1" customWidth="1"/>
    <col min="2568" max="2568" width="20.7265625" style="101" bestFit="1" customWidth="1"/>
    <col min="2569" max="2569" width="20.81640625" style="101" bestFit="1" customWidth="1"/>
    <col min="2570" max="2570" width="26.453125" style="101" bestFit="1" customWidth="1"/>
    <col min="2571" max="2571" width="9.1796875" style="101"/>
    <col min="2572" max="2572" width="22.1796875" style="101" customWidth="1"/>
    <col min="2573" max="2573" width="13.26953125" style="101" customWidth="1"/>
    <col min="2574" max="2816" width="9.1796875" style="101"/>
    <col min="2817" max="2817" width="17.81640625" style="101" customWidth="1"/>
    <col min="2818" max="2818" width="10" style="101" customWidth="1"/>
    <col min="2819" max="2819" width="8.1796875" style="101" bestFit="1" customWidth="1"/>
    <col min="2820" max="2821" width="8.26953125" style="101" bestFit="1" customWidth="1"/>
    <col min="2822" max="2822" width="7.26953125" style="101" bestFit="1" customWidth="1"/>
    <col min="2823" max="2823" width="26.1796875" style="101" bestFit="1" customWidth="1"/>
    <col min="2824" max="2824" width="20.7265625" style="101" bestFit="1" customWidth="1"/>
    <col min="2825" max="2825" width="20.81640625" style="101" bestFit="1" customWidth="1"/>
    <col min="2826" max="2826" width="26.453125" style="101" bestFit="1" customWidth="1"/>
    <col min="2827" max="2827" width="9.1796875" style="101"/>
    <col min="2828" max="2828" width="22.1796875" style="101" customWidth="1"/>
    <col min="2829" max="2829" width="13.26953125" style="101" customWidth="1"/>
    <col min="2830" max="3072" width="9.1796875" style="101"/>
    <col min="3073" max="3073" width="17.81640625" style="101" customWidth="1"/>
    <col min="3074" max="3074" width="10" style="101" customWidth="1"/>
    <col min="3075" max="3075" width="8.1796875" style="101" bestFit="1" customWidth="1"/>
    <col min="3076" max="3077" width="8.26953125" style="101" bestFit="1" customWidth="1"/>
    <col min="3078" max="3078" width="7.26953125" style="101" bestFit="1" customWidth="1"/>
    <col min="3079" max="3079" width="26.1796875" style="101" bestFit="1" customWidth="1"/>
    <col min="3080" max="3080" width="20.7265625" style="101" bestFit="1" customWidth="1"/>
    <col min="3081" max="3081" width="20.81640625" style="101" bestFit="1" customWidth="1"/>
    <col min="3082" max="3082" width="26.453125" style="101" bestFit="1" customWidth="1"/>
    <col min="3083" max="3083" width="9.1796875" style="101"/>
    <col min="3084" max="3084" width="22.1796875" style="101" customWidth="1"/>
    <col min="3085" max="3085" width="13.26953125" style="101" customWidth="1"/>
    <col min="3086" max="3328" width="9.1796875" style="101"/>
    <col min="3329" max="3329" width="17.81640625" style="101" customWidth="1"/>
    <col min="3330" max="3330" width="10" style="101" customWidth="1"/>
    <col min="3331" max="3331" width="8.1796875" style="101" bestFit="1" customWidth="1"/>
    <col min="3332" max="3333" width="8.26953125" style="101" bestFit="1" customWidth="1"/>
    <col min="3334" max="3334" width="7.26953125" style="101" bestFit="1" customWidth="1"/>
    <col min="3335" max="3335" width="26.1796875" style="101" bestFit="1" customWidth="1"/>
    <col min="3336" max="3336" width="20.7265625" style="101" bestFit="1" customWidth="1"/>
    <col min="3337" max="3337" width="20.81640625" style="101" bestFit="1" customWidth="1"/>
    <col min="3338" max="3338" width="26.453125" style="101" bestFit="1" customWidth="1"/>
    <col min="3339" max="3339" width="9.1796875" style="101"/>
    <col min="3340" max="3340" width="22.1796875" style="101" customWidth="1"/>
    <col min="3341" max="3341" width="13.26953125" style="101" customWidth="1"/>
    <col min="3342" max="3584" width="9.1796875" style="101"/>
    <col min="3585" max="3585" width="17.81640625" style="101" customWidth="1"/>
    <col min="3586" max="3586" width="10" style="101" customWidth="1"/>
    <col min="3587" max="3587" width="8.1796875" style="101" bestFit="1" customWidth="1"/>
    <col min="3588" max="3589" width="8.26953125" style="101" bestFit="1" customWidth="1"/>
    <col min="3590" max="3590" width="7.26953125" style="101" bestFit="1" customWidth="1"/>
    <col min="3591" max="3591" width="26.1796875" style="101" bestFit="1" customWidth="1"/>
    <col min="3592" max="3592" width="20.7265625" style="101" bestFit="1" customWidth="1"/>
    <col min="3593" max="3593" width="20.81640625" style="101" bestFit="1" customWidth="1"/>
    <col min="3594" max="3594" width="26.453125" style="101" bestFit="1" customWidth="1"/>
    <col min="3595" max="3595" width="9.1796875" style="101"/>
    <col min="3596" max="3596" width="22.1796875" style="101" customWidth="1"/>
    <col min="3597" max="3597" width="13.26953125" style="101" customWidth="1"/>
    <col min="3598" max="3840" width="9.1796875" style="101"/>
    <col min="3841" max="3841" width="17.81640625" style="101" customWidth="1"/>
    <col min="3842" max="3842" width="10" style="101" customWidth="1"/>
    <col min="3843" max="3843" width="8.1796875" style="101" bestFit="1" customWidth="1"/>
    <col min="3844" max="3845" width="8.26953125" style="101" bestFit="1" customWidth="1"/>
    <col min="3846" max="3846" width="7.26953125" style="101" bestFit="1" customWidth="1"/>
    <col min="3847" max="3847" width="26.1796875" style="101" bestFit="1" customWidth="1"/>
    <col min="3848" max="3848" width="20.7265625" style="101" bestFit="1" customWidth="1"/>
    <col min="3849" max="3849" width="20.81640625" style="101" bestFit="1" customWidth="1"/>
    <col min="3850" max="3850" width="26.453125" style="101" bestFit="1" customWidth="1"/>
    <col min="3851" max="3851" width="9.1796875" style="101"/>
    <col min="3852" max="3852" width="22.1796875" style="101" customWidth="1"/>
    <col min="3853" max="3853" width="13.26953125" style="101" customWidth="1"/>
    <col min="3854" max="4096" width="9.1796875" style="101"/>
    <col min="4097" max="4097" width="17.81640625" style="101" customWidth="1"/>
    <col min="4098" max="4098" width="10" style="101" customWidth="1"/>
    <col min="4099" max="4099" width="8.1796875" style="101" bestFit="1" customWidth="1"/>
    <col min="4100" max="4101" width="8.26953125" style="101" bestFit="1" customWidth="1"/>
    <col min="4102" max="4102" width="7.26953125" style="101" bestFit="1" customWidth="1"/>
    <col min="4103" max="4103" width="26.1796875" style="101" bestFit="1" customWidth="1"/>
    <col min="4104" max="4104" width="20.7265625" style="101" bestFit="1" customWidth="1"/>
    <col min="4105" max="4105" width="20.81640625" style="101" bestFit="1" customWidth="1"/>
    <col min="4106" max="4106" width="26.453125" style="101" bestFit="1" customWidth="1"/>
    <col min="4107" max="4107" width="9.1796875" style="101"/>
    <col min="4108" max="4108" width="22.1796875" style="101" customWidth="1"/>
    <col min="4109" max="4109" width="13.26953125" style="101" customWidth="1"/>
    <col min="4110" max="4352" width="9.1796875" style="101"/>
    <col min="4353" max="4353" width="17.81640625" style="101" customWidth="1"/>
    <col min="4354" max="4354" width="10" style="101" customWidth="1"/>
    <col min="4355" max="4355" width="8.1796875" style="101" bestFit="1" customWidth="1"/>
    <col min="4356" max="4357" width="8.26953125" style="101" bestFit="1" customWidth="1"/>
    <col min="4358" max="4358" width="7.26953125" style="101" bestFit="1" customWidth="1"/>
    <col min="4359" max="4359" width="26.1796875" style="101" bestFit="1" customWidth="1"/>
    <col min="4360" max="4360" width="20.7265625" style="101" bestFit="1" customWidth="1"/>
    <col min="4361" max="4361" width="20.81640625" style="101" bestFit="1" customWidth="1"/>
    <col min="4362" max="4362" width="26.453125" style="101" bestFit="1" customWidth="1"/>
    <col min="4363" max="4363" width="9.1796875" style="101"/>
    <col min="4364" max="4364" width="22.1796875" style="101" customWidth="1"/>
    <col min="4365" max="4365" width="13.26953125" style="101" customWidth="1"/>
    <col min="4366" max="4608" width="9.1796875" style="101"/>
    <col min="4609" max="4609" width="17.81640625" style="101" customWidth="1"/>
    <col min="4610" max="4610" width="10" style="101" customWidth="1"/>
    <col min="4611" max="4611" width="8.1796875" style="101" bestFit="1" customWidth="1"/>
    <col min="4612" max="4613" width="8.26953125" style="101" bestFit="1" customWidth="1"/>
    <col min="4614" max="4614" width="7.26953125" style="101" bestFit="1" customWidth="1"/>
    <col min="4615" max="4615" width="26.1796875" style="101" bestFit="1" customWidth="1"/>
    <col min="4616" max="4616" width="20.7265625" style="101" bestFit="1" customWidth="1"/>
    <col min="4617" max="4617" width="20.81640625" style="101" bestFit="1" customWidth="1"/>
    <col min="4618" max="4618" width="26.453125" style="101" bestFit="1" customWidth="1"/>
    <col min="4619" max="4619" width="9.1796875" style="101"/>
    <col min="4620" max="4620" width="22.1796875" style="101" customWidth="1"/>
    <col min="4621" max="4621" width="13.26953125" style="101" customWidth="1"/>
    <col min="4622" max="4864" width="9.1796875" style="101"/>
    <col min="4865" max="4865" width="17.81640625" style="101" customWidth="1"/>
    <col min="4866" max="4866" width="10" style="101" customWidth="1"/>
    <col min="4867" max="4867" width="8.1796875" style="101" bestFit="1" customWidth="1"/>
    <col min="4868" max="4869" width="8.26953125" style="101" bestFit="1" customWidth="1"/>
    <col min="4870" max="4870" width="7.26953125" style="101" bestFit="1" customWidth="1"/>
    <col min="4871" max="4871" width="26.1796875" style="101" bestFit="1" customWidth="1"/>
    <col min="4872" max="4872" width="20.7265625" style="101" bestFit="1" customWidth="1"/>
    <col min="4873" max="4873" width="20.81640625" style="101" bestFit="1" customWidth="1"/>
    <col min="4874" max="4874" width="26.453125" style="101" bestFit="1" customWidth="1"/>
    <col min="4875" max="4875" width="9.1796875" style="101"/>
    <col min="4876" max="4876" width="22.1796875" style="101" customWidth="1"/>
    <col min="4877" max="4877" width="13.26953125" style="101" customWidth="1"/>
    <col min="4878" max="5120" width="9.1796875" style="101"/>
    <col min="5121" max="5121" width="17.81640625" style="101" customWidth="1"/>
    <col min="5122" max="5122" width="10" style="101" customWidth="1"/>
    <col min="5123" max="5123" width="8.1796875" style="101" bestFit="1" customWidth="1"/>
    <col min="5124" max="5125" width="8.26953125" style="101" bestFit="1" customWidth="1"/>
    <col min="5126" max="5126" width="7.26953125" style="101" bestFit="1" customWidth="1"/>
    <col min="5127" max="5127" width="26.1796875" style="101" bestFit="1" customWidth="1"/>
    <col min="5128" max="5128" width="20.7265625" style="101" bestFit="1" customWidth="1"/>
    <col min="5129" max="5129" width="20.81640625" style="101" bestFit="1" customWidth="1"/>
    <col min="5130" max="5130" width="26.453125" style="101" bestFit="1" customWidth="1"/>
    <col min="5131" max="5131" width="9.1796875" style="101"/>
    <col min="5132" max="5132" width="22.1796875" style="101" customWidth="1"/>
    <col min="5133" max="5133" width="13.26953125" style="101" customWidth="1"/>
    <col min="5134" max="5376" width="9.1796875" style="101"/>
    <col min="5377" max="5377" width="17.81640625" style="101" customWidth="1"/>
    <col min="5378" max="5378" width="10" style="101" customWidth="1"/>
    <col min="5379" max="5379" width="8.1796875" style="101" bestFit="1" customWidth="1"/>
    <col min="5380" max="5381" width="8.26953125" style="101" bestFit="1" customWidth="1"/>
    <col min="5382" max="5382" width="7.26953125" style="101" bestFit="1" customWidth="1"/>
    <col min="5383" max="5383" width="26.1796875" style="101" bestFit="1" customWidth="1"/>
    <col min="5384" max="5384" width="20.7265625" style="101" bestFit="1" customWidth="1"/>
    <col min="5385" max="5385" width="20.81640625" style="101" bestFit="1" customWidth="1"/>
    <col min="5386" max="5386" width="26.453125" style="101" bestFit="1" customWidth="1"/>
    <col min="5387" max="5387" width="9.1796875" style="101"/>
    <col min="5388" max="5388" width="22.1796875" style="101" customWidth="1"/>
    <col min="5389" max="5389" width="13.26953125" style="101" customWidth="1"/>
    <col min="5390" max="5632" width="9.1796875" style="101"/>
    <col min="5633" max="5633" width="17.81640625" style="101" customWidth="1"/>
    <col min="5634" max="5634" width="10" style="101" customWidth="1"/>
    <col min="5635" max="5635" width="8.1796875" style="101" bestFit="1" customWidth="1"/>
    <col min="5636" max="5637" width="8.26953125" style="101" bestFit="1" customWidth="1"/>
    <col min="5638" max="5638" width="7.26953125" style="101" bestFit="1" customWidth="1"/>
    <col min="5639" max="5639" width="26.1796875" style="101" bestFit="1" customWidth="1"/>
    <col min="5640" max="5640" width="20.7265625" style="101" bestFit="1" customWidth="1"/>
    <col min="5641" max="5641" width="20.81640625" style="101" bestFit="1" customWidth="1"/>
    <col min="5642" max="5642" width="26.453125" style="101" bestFit="1" customWidth="1"/>
    <col min="5643" max="5643" width="9.1796875" style="101"/>
    <col min="5644" max="5644" width="22.1796875" style="101" customWidth="1"/>
    <col min="5645" max="5645" width="13.26953125" style="101" customWidth="1"/>
    <col min="5646" max="5888" width="9.1796875" style="101"/>
    <col min="5889" max="5889" width="17.81640625" style="101" customWidth="1"/>
    <col min="5890" max="5890" width="10" style="101" customWidth="1"/>
    <col min="5891" max="5891" width="8.1796875" style="101" bestFit="1" customWidth="1"/>
    <col min="5892" max="5893" width="8.26953125" style="101" bestFit="1" customWidth="1"/>
    <col min="5894" max="5894" width="7.26953125" style="101" bestFit="1" customWidth="1"/>
    <col min="5895" max="5895" width="26.1796875" style="101" bestFit="1" customWidth="1"/>
    <col min="5896" max="5896" width="20.7265625" style="101" bestFit="1" customWidth="1"/>
    <col min="5897" max="5897" width="20.81640625" style="101" bestFit="1" customWidth="1"/>
    <col min="5898" max="5898" width="26.453125" style="101" bestFit="1" customWidth="1"/>
    <col min="5899" max="5899" width="9.1796875" style="101"/>
    <col min="5900" max="5900" width="22.1796875" style="101" customWidth="1"/>
    <col min="5901" max="5901" width="13.26953125" style="101" customWidth="1"/>
    <col min="5902" max="6144" width="9.1796875" style="101"/>
    <col min="6145" max="6145" width="17.81640625" style="101" customWidth="1"/>
    <col min="6146" max="6146" width="10" style="101" customWidth="1"/>
    <col min="6147" max="6147" width="8.1796875" style="101" bestFit="1" customWidth="1"/>
    <col min="6148" max="6149" width="8.26953125" style="101" bestFit="1" customWidth="1"/>
    <col min="6150" max="6150" width="7.26953125" style="101" bestFit="1" customWidth="1"/>
    <col min="6151" max="6151" width="26.1796875" style="101" bestFit="1" customWidth="1"/>
    <col min="6152" max="6152" width="20.7265625" style="101" bestFit="1" customWidth="1"/>
    <col min="6153" max="6153" width="20.81640625" style="101" bestFit="1" customWidth="1"/>
    <col min="6154" max="6154" width="26.453125" style="101" bestFit="1" customWidth="1"/>
    <col min="6155" max="6155" width="9.1796875" style="101"/>
    <col min="6156" max="6156" width="22.1796875" style="101" customWidth="1"/>
    <col min="6157" max="6157" width="13.26953125" style="101" customWidth="1"/>
    <col min="6158" max="6400" width="9.1796875" style="101"/>
    <col min="6401" max="6401" width="17.81640625" style="101" customWidth="1"/>
    <col min="6402" max="6402" width="10" style="101" customWidth="1"/>
    <col min="6403" max="6403" width="8.1796875" style="101" bestFit="1" customWidth="1"/>
    <col min="6404" max="6405" width="8.26953125" style="101" bestFit="1" customWidth="1"/>
    <col min="6406" max="6406" width="7.26953125" style="101" bestFit="1" customWidth="1"/>
    <col min="6407" max="6407" width="26.1796875" style="101" bestFit="1" customWidth="1"/>
    <col min="6408" max="6408" width="20.7265625" style="101" bestFit="1" customWidth="1"/>
    <col min="6409" max="6409" width="20.81640625" style="101" bestFit="1" customWidth="1"/>
    <col min="6410" max="6410" width="26.453125" style="101" bestFit="1" customWidth="1"/>
    <col min="6411" max="6411" width="9.1796875" style="101"/>
    <col min="6412" max="6412" width="22.1796875" style="101" customWidth="1"/>
    <col min="6413" max="6413" width="13.26953125" style="101" customWidth="1"/>
    <col min="6414" max="6656" width="9.1796875" style="101"/>
    <col min="6657" max="6657" width="17.81640625" style="101" customWidth="1"/>
    <col min="6658" max="6658" width="10" style="101" customWidth="1"/>
    <col min="6659" max="6659" width="8.1796875" style="101" bestFit="1" customWidth="1"/>
    <col min="6660" max="6661" width="8.26953125" style="101" bestFit="1" customWidth="1"/>
    <col min="6662" max="6662" width="7.26953125" style="101" bestFit="1" customWidth="1"/>
    <col min="6663" max="6663" width="26.1796875" style="101" bestFit="1" customWidth="1"/>
    <col min="6664" max="6664" width="20.7265625" style="101" bestFit="1" customWidth="1"/>
    <col min="6665" max="6665" width="20.81640625" style="101" bestFit="1" customWidth="1"/>
    <col min="6666" max="6666" width="26.453125" style="101" bestFit="1" customWidth="1"/>
    <col min="6667" max="6667" width="9.1796875" style="101"/>
    <col min="6668" max="6668" width="22.1796875" style="101" customWidth="1"/>
    <col min="6669" max="6669" width="13.26953125" style="101" customWidth="1"/>
    <col min="6670" max="6912" width="9.1796875" style="101"/>
    <col min="6913" max="6913" width="17.81640625" style="101" customWidth="1"/>
    <col min="6914" max="6914" width="10" style="101" customWidth="1"/>
    <col min="6915" max="6915" width="8.1796875" style="101" bestFit="1" customWidth="1"/>
    <col min="6916" max="6917" width="8.26953125" style="101" bestFit="1" customWidth="1"/>
    <col min="6918" max="6918" width="7.26953125" style="101" bestFit="1" customWidth="1"/>
    <col min="6919" max="6919" width="26.1796875" style="101" bestFit="1" customWidth="1"/>
    <col min="6920" max="6920" width="20.7265625" style="101" bestFit="1" customWidth="1"/>
    <col min="6921" max="6921" width="20.81640625" style="101" bestFit="1" customWidth="1"/>
    <col min="6922" max="6922" width="26.453125" style="101" bestFit="1" customWidth="1"/>
    <col min="6923" max="6923" width="9.1796875" style="101"/>
    <col min="6924" max="6924" width="22.1796875" style="101" customWidth="1"/>
    <col min="6925" max="6925" width="13.26953125" style="101" customWidth="1"/>
    <col min="6926" max="7168" width="9.1796875" style="101"/>
    <col min="7169" max="7169" width="17.81640625" style="101" customWidth="1"/>
    <col min="7170" max="7170" width="10" style="101" customWidth="1"/>
    <col min="7171" max="7171" width="8.1796875" style="101" bestFit="1" customWidth="1"/>
    <col min="7172" max="7173" width="8.26953125" style="101" bestFit="1" customWidth="1"/>
    <col min="7174" max="7174" width="7.26953125" style="101" bestFit="1" customWidth="1"/>
    <col min="7175" max="7175" width="26.1796875" style="101" bestFit="1" customWidth="1"/>
    <col min="7176" max="7176" width="20.7265625" style="101" bestFit="1" customWidth="1"/>
    <col min="7177" max="7177" width="20.81640625" style="101" bestFit="1" customWidth="1"/>
    <col min="7178" max="7178" width="26.453125" style="101" bestFit="1" customWidth="1"/>
    <col min="7179" max="7179" width="9.1796875" style="101"/>
    <col min="7180" max="7180" width="22.1796875" style="101" customWidth="1"/>
    <col min="7181" max="7181" width="13.26953125" style="101" customWidth="1"/>
    <col min="7182" max="7424" width="9.1796875" style="101"/>
    <col min="7425" max="7425" width="17.81640625" style="101" customWidth="1"/>
    <col min="7426" max="7426" width="10" style="101" customWidth="1"/>
    <col min="7427" max="7427" width="8.1796875" style="101" bestFit="1" customWidth="1"/>
    <col min="7428" max="7429" width="8.26953125" style="101" bestFit="1" customWidth="1"/>
    <col min="7430" max="7430" width="7.26953125" style="101" bestFit="1" customWidth="1"/>
    <col min="7431" max="7431" width="26.1796875" style="101" bestFit="1" customWidth="1"/>
    <col min="7432" max="7432" width="20.7265625" style="101" bestFit="1" customWidth="1"/>
    <col min="7433" max="7433" width="20.81640625" style="101" bestFit="1" customWidth="1"/>
    <col min="7434" max="7434" width="26.453125" style="101" bestFit="1" customWidth="1"/>
    <col min="7435" max="7435" width="9.1796875" style="101"/>
    <col min="7436" max="7436" width="22.1796875" style="101" customWidth="1"/>
    <col min="7437" max="7437" width="13.26953125" style="101" customWidth="1"/>
    <col min="7438" max="7680" width="9.1796875" style="101"/>
    <col min="7681" max="7681" width="17.81640625" style="101" customWidth="1"/>
    <col min="7682" max="7682" width="10" style="101" customWidth="1"/>
    <col min="7683" max="7683" width="8.1796875" style="101" bestFit="1" customWidth="1"/>
    <col min="7684" max="7685" width="8.26953125" style="101" bestFit="1" customWidth="1"/>
    <col min="7686" max="7686" width="7.26953125" style="101" bestFit="1" customWidth="1"/>
    <col min="7687" max="7687" width="26.1796875" style="101" bestFit="1" customWidth="1"/>
    <col min="7688" max="7688" width="20.7265625" style="101" bestFit="1" customWidth="1"/>
    <col min="7689" max="7689" width="20.81640625" style="101" bestFit="1" customWidth="1"/>
    <col min="7690" max="7690" width="26.453125" style="101" bestFit="1" customWidth="1"/>
    <col min="7691" max="7691" width="9.1796875" style="101"/>
    <col min="7692" max="7692" width="22.1796875" style="101" customWidth="1"/>
    <col min="7693" max="7693" width="13.26953125" style="101" customWidth="1"/>
    <col min="7694" max="7936" width="9.1796875" style="101"/>
    <col min="7937" max="7937" width="17.81640625" style="101" customWidth="1"/>
    <col min="7938" max="7938" width="10" style="101" customWidth="1"/>
    <col min="7939" max="7939" width="8.1796875" style="101" bestFit="1" customWidth="1"/>
    <col min="7940" max="7941" width="8.26953125" style="101" bestFit="1" customWidth="1"/>
    <col min="7942" max="7942" width="7.26953125" style="101" bestFit="1" customWidth="1"/>
    <col min="7943" max="7943" width="26.1796875" style="101" bestFit="1" customWidth="1"/>
    <col min="7944" max="7944" width="20.7265625" style="101" bestFit="1" customWidth="1"/>
    <col min="7945" max="7945" width="20.81640625" style="101" bestFit="1" customWidth="1"/>
    <col min="7946" max="7946" width="26.453125" style="101" bestFit="1" customWidth="1"/>
    <col min="7947" max="7947" width="9.1796875" style="101"/>
    <col min="7948" max="7948" width="22.1796875" style="101" customWidth="1"/>
    <col min="7949" max="7949" width="13.26953125" style="101" customWidth="1"/>
    <col min="7950" max="8192" width="9.1796875" style="101"/>
    <col min="8193" max="8193" width="17.81640625" style="101" customWidth="1"/>
    <col min="8194" max="8194" width="10" style="101" customWidth="1"/>
    <col min="8195" max="8195" width="8.1796875" style="101" bestFit="1" customWidth="1"/>
    <col min="8196" max="8197" width="8.26953125" style="101" bestFit="1" customWidth="1"/>
    <col min="8198" max="8198" width="7.26953125" style="101" bestFit="1" customWidth="1"/>
    <col min="8199" max="8199" width="26.1796875" style="101" bestFit="1" customWidth="1"/>
    <col min="8200" max="8200" width="20.7265625" style="101" bestFit="1" customWidth="1"/>
    <col min="8201" max="8201" width="20.81640625" style="101" bestFit="1" customWidth="1"/>
    <col min="8202" max="8202" width="26.453125" style="101" bestFit="1" customWidth="1"/>
    <col min="8203" max="8203" width="9.1796875" style="101"/>
    <col min="8204" max="8204" width="22.1796875" style="101" customWidth="1"/>
    <col min="8205" max="8205" width="13.26953125" style="101" customWidth="1"/>
    <col min="8206" max="8448" width="9.1796875" style="101"/>
    <col min="8449" max="8449" width="17.81640625" style="101" customWidth="1"/>
    <col min="8450" max="8450" width="10" style="101" customWidth="1"/>
    <col min="8451" max="8451" width="8.1796875" style="101" bestFit="1" customWidth="1"/>
    <col min="8452" max="8453" width="8.26953125" style="101" bestFit="1" customWidth="1"/>
    <col min="8454" max="8454" width="7.26953125" style="101" bestFit="1" customWidth="1"/>
    <col min="8455" max="8455" width="26.1796875" style="101" bestFit="1" customWidth="1"/>
    <col min="8456" max="8456" width="20.7265625" style="101" bestFit="1" customWidth="1"/>
    <col min="8457" max="8457" width="20.81640625" style="101" bestFit="1" customWidth="1"/>
    <col min="8458" max="8458" width="26.453125" style="101" bestFit="1" customWidth="1"/>
    <col min="8459" max="8459" width="9.1796875" style="101"/>
    <col min="8460" max="8460" width="22.1796875" style="101" customWidth="1"/>
    <col min="8461" max="8461" width="13.26953125" style="101" customWidth="1"/>
    <col min="8462" max="8704" width="9.1796875" style="101"/>
    <col min="8705" max="8705" width="17.81640625" style="101" customWidth="1"/>
    <col min="8706" max="8706" width="10" style="101" customWidth="1"/>
    <col min="8707" max="8707" width="8.1796875" style="101" bestFit="1" customWidth="1"/>
    <col min="8708" max="8709" width="8.26953125" style="101" bestFit="1" customWidth="1"/>
    <col min="8710" max="8710" width="7.26953125" style="101" bestFit="1" customWidth="1"/>
    <col min="8711" max="8711" width="26.1796875" style="101" bestFit="1" customWidth="1"/>
    <col min="8712" max="8712" width="20.7265625" style="101" bestFit="1" customWidth="1"/>
    <col min="8713" max="8713" width="20.81640625" style="101" bestFit="1" customWidth="1"/>
    <col min="8714" max="8714" width="26.453125" style="101" bestFit="1" customWidth="1"/>
    <col min="8715" max="8715" width="9.1796875" style="101"/>
    <col min="8716" max="8716" width="22.1796875" style="101" customWidth="1"/>
    <col min="8717" max="8717" width="13.26953125" style="101" customWidth="1"/>
    <col min="8718" max="8960" width="9.1796875" style="101"/>
    <col min="8961" max="8961" width="17.81640625" style="101" customWidth="1"/>
    <col min="8962" max="8962" width="10" style="101" customWidth="1"/>
    <col min="8963" max="8963" width="8.1796875" style="101" bestFit="1" customWidth="1"/>
    <col min="8964" max="8965" width="8.26953125" style="101" bestFit="1" customWidth="1"/>
    <col min="8966" max="8966" width="7.26953125" style="101" bestFit="1" customWidth="1"/>
    <col min="8967" max="8967" width="26.1796875" style="101" bestFit="1" customWidth="1"/>
    <col min="8968" max="8968" width="20.7265625" style="101" bestFit="1" customWidth="1"/>
    <col min="8969" max="8969" width="20.81640625" style="101" bestFit="1" customWidth="1"/>
    <col min="8970" max="8970" width="26.453125" style="101" bestFit="1" customWidth="1"/>
    <col min="8971" max="8971" width="9.1796875" style="101"/>
    <col min="8972" max="8972" width="22.1796875" style="101" customWidth="1"/>
    <col min="8973" max="8973" width="13.26953125" style="101" customWidth="1"/>
    <col min="8974" max="9216" width="9.1796875" style="101"/>
    <col min="9217" max="9217" width="17.81640625" style="101" customWidth="1"/>
    <col min="9218" max="9218" width="10" style="101" customWidth="1"/>
    <col min="9219" max="9219" width="8.1796875" style="101" bestFit="1" customWidth="1"/>
    <col min="9220" max="9221" width="8.26953125" style="101" bestFit="1" customWidth="1"/>
    <col min="9222" max="9222" width="7.26953125" style="101" bestFit="1" customWidth="1"/>
    <col min="9223" max="9223" width="26.1796875" style="101" bestFit="1" customWidth="1"/>
    <col min="9224" max="9224" width="20.7265625" style="101" bestFit="1" customWidth="1"/>
    <col min="9225" max="9225" width="20.81640625" style="101" bestFit="1" customWidth="1"/>
    <col min="9226" max="9226" width="26.453125" style="101" bestFit="1" customWidth="1"/>
    <col min="9227" max="9227" width="9.1796875" style="101"/>
    <col min="9228" max="9228" width="22.1796875" style="101" customWidth="1"/>
    <col min="9229" max="9229" width="13.26953125" style="101" customWidth="1"/>
    <col min="9230" max="9472" width="9.1796875" style="101"/>
    <col min="9473" max="9473" width="17.81640625" style="101" customWidth="1"/>
    <col min="9474" max="9474" width="10" style="101" customWidth="1"/>
    <col min="9475" max="9475" width="8.1796875" style="101" bestFit="1" customWidth="1"/>
    <col min="9476" max="9477" width="8.26953125" style="101" bestFit="1" customWidth="1"/>
    <col min="9478" max="9478" width="7.26953125" style="101" bestFit="1" customWidth="1"/>
    <col min="9479" max="9479" width="26.1796875" style="101" bestFit="1" customWidth="1"/>
    <col min="9480" max="9480" width="20.7265625" style="101" bestFit="1" customWidth="1"/>
    <col min="9481" max="9481" width="20.81640625" style="101" bestFit="1" customWidth="1"/>
    <col min="9482" max="9482" width="26.453125" style="101" bestFit="1" customWidth="1"/>
    <col min="9483" max="9483" width="9.1796875" style="101"/>
    <col min="9484" max="9484" width="22.1796875" style="101" customWidth="1"/>
    <col min="9485" max="9485" width="13.26953125" style="101" customWidth="1"/>
    <col min="9486" max="9728" width="9.1796875" style="101"/>
    <col min="9729" max="9729" width="17.81640625" style="101" customWidth="1"/>
    <col min="9730" max="9730" width="10" style="101" customWidth="1"/>
    <col min="9731" max="9731" width="8.1796875" style="101" bestFit="1" customWidth="1"/>
    <col min="9732" max="9733" width="8.26953125" style="101" bestFit="1" customWidth="1"/>
    <col min="9734" max="9734" width="7.26953125" style="101" bestFit="1" customWidth="1"/>
    <col min="9735" max="9735" width="26.1796875" style="101" bestFit="1" customWidth="1"/>
    <col min="9736" max="9736" width="20.7265625" style="101" bestFit="1" customWidth="1"/>
    <col min="9737" max="9737" width="20.81640625" style="101" bestFit="1" customWidth="1"/>
    <col min="9738" max="9738" width="26.453125" style="101" bestFit="1" customWidth="1"/>
    <col min="9739" max="9739" width="9.1796875" style="101"/>
    <col min="9740" max="9740" width="22.1796875" style="101" customWidth="1"/>
    <col min="9741" max="9741" width="13.26953125" style="101" customWidth="1"/>
    <col min="9742" max="9984" width="9.1796875" style="101"/>
    <col min="9985" max="9985" width="17.81640625" style="101" customWidth="1"/>
    <col min="9986" max="9986" width="10" style="101" customWidth="1"/>
    <col min="9987" max="9987" width="8.1796875" style="101" bestFit="1" customWidth="1"/>
    <col min="9988" max="9989" width="8.26953125" style="101" bestFit="1" customWidth="1"/>
    <col min="9990" max="9990" width="7.26953125" style="101" bestFit="1" customWidth="1"/>
    <col min="9991" max="9991" width="26.1796875" style="101" bestFit="1" customWidth="1"/>
    <col min="9992" max="9992" width="20.7265625" style="101" bestFit="1" customWidth="1"/>
    <col min="9993" max="9993" width="20.81640625" style="101" bestFit="1" customWidth="1"/>
    <col min="9994" max="9994" width="26.453125" style="101" bestFit="1" customWidth="1"/>
    <col min="9995" max="9995" width="9.1796875" style="101"/>
    <col min="9996" max="9996" width="22.1796875" style="101" customWidth="1"/>
    <col min="9997" max="9997" width="13.26953125" style="101" customWidth="1"/>
    <col min="9998" max="10240" width="9.1796875" style="101"/>
    <col min="10241" max="10241" width="17.81640625" style="101" customWidth="1"/>
    <col min="10242" max="10242" width="10" style="101" customWidth="1"/>
    <col min="10243" max="10243" width="8.1796875" style="101" bestFit="1" customWidth="1"/>
    <col min="10244" max="10245" width="8.26953125" style="101" bestFit="1" customWidth="1"/>
    <col min="10246" max="10246" width="7.26953125" style="101" bestFit="1" customWidth="1"/>
    <col min="10247" max="10247" width="26.1796875" style="101" bestFit="1" customWidth="1"/>
    <col min="10248" max="10248" width="20.7265625" style="101" bestFit="1" customWidth="1"/>
    <col min="10249" max="10249" width="20.81640625" style="101" bestFit="1" customWidth="1"/>
    <col min="10250" max="10250" width="26.453125" style="101" bestFit="1" customWidth="1"/>
    <col min="10251" max="10251" width="9.1796875" style="101"/>
    <col min="10252" max="10252" width="22.1796875" style="101" customWidth="1"/>
    <col min="10253" max="10253" width="13.26953125" style="101" customWidth="1"/>
    <col min="10254" max="10496" width="9.1796875" style="101"/>
    <col min="10497" max="10497" width="17.81640625" style="101" customWidth="1"/>
    <col min="10498" max="10498" width="10" style="101" customWidth="1"/>
    <col min="10499" max="10499" width="8.1796875" style="101" bestFit="1" customWidth="1"/>
    <col min="10500" max="10501" width="8.26953125" style="101" bestFit="1" customWidth="1"/>
    <col min="10502" max="10502" width="7.26953125" style="101" bestFit="1" customWidth="1"/>
    <col min="10503" max="10503" width="26.1796875" style="101" bestFit="1" customWidth="1"/>
    <col min="10504" max="10504" width="20.7265625" style="101" bestFit="1" customWidth="1"/>
    <col min="10505" max="10505" width="20.81640625" style="101" bestFit="1" customWidth="1"/>
    <col min="10506" max="10506" width="26.453125" style="101" bestFit="1" customWidth="1"/>
    <col min="10507" max="10507" width="9.1796875" style="101"/>
    <col min="10508" max="10508" width="22.1796875" style="101" customWidth="1"/>
    <col min="10509" max="10509" width="13.26953125" style="101" customWidth="1"/>
    <col min="10510" max="10752" width="9.1796875" style="101"/>
    <col min="10753" max="10753" width="17.81640625" style="101" customWidth="1"/>
    <col min="10754" max="10754" width="10" style="101" customWidth="1"/>
    <col min="10755" max="10755" width="8.1796875" style="101" bestFit="1" customWidth="1"/>
    <col min="10756" max="10757" width="8.26953125" style="101" bestFit="1" customWidth="1"/>
    <col min="10758" max="10758" width="7.26953125" style="101" bestFit="1" customWidth="1"/>
    <col min="10759" max="10759" width="26.1796875" style="101" bestFit="1" customWidth="1"/>
    <col min="10760" max="10760" width="20.7265625" style="101" bestFit="1" customWidth="1"/>
    <col min="10761" max="10761" width="20.81640625" style="101" bestFit="1" customWidth="1"/>
    <col min="10762" max="10762" width="26.453125" style="101" bestFit="1" customWidth="1"/>
    <col min="10763" max="10763" width="9.1796875" style="101"/>
    <col min="10764" max="10764" width="22.1796875" style="101" customWidth="1"/>
    <col min="10765" max="10765" width="13.26953125" style="101" customWidth="1"/>
    <col min="10766" max="11008" width="9.1796875" style="101"/>
    <col min="11009" max="11009" width="17.81640625" style="101" customWidth="1"/>
    <col min="11010" max="11010" width="10" style="101" customWidth="1"/>
    <col min="11011" max="11011" width="8.1796875" style="101" bestFit="1" customWidth="1"/>
    <col min="11012" max="11013" width="8.26953125" style="101" bestFit="1" customWidth="1"/>
    <col min="11014" max="11014" width="7.26953125" style="101" bestFit="1" customWidth="1"/>
    <col min="11015" max="11015" width="26.1796875" style="101" bestFit="1" customWidth="1"/>
    <col min="11016" max="11016" width="20.7265625" style="101" bestFit="1" customWidth="1"/>
    <col min="11017" max="11017" width="20.81640625" style="101" bestFit="1" customWidth="1"/>
    <col min="11018" max="11018" width="26.453125" style="101" bestFit="1" customWidth="1"/>
    <col min="11019" max="11019" width="9.1796875" style="101"/>
    <col min="11020" max="11020" width="22.1796875" style="101" customWidth="1"/>
    <col min="11021" max="11021" width="13.26953125" style="101" customWidth="1"/>
    <col min="11022" max="11264" width="9.1796875" style="101"/>
    <col min="11265" max="11265" width="17.81640625" style="101" customWidth="1"/>
    <col min="11266" max="11266" width="10" style="101" customWidth="1"/>
    <col min="11267" max="11267" width="8.1796875" style="101" bestFit="1" customWidth="1"/>
    <col min="11268" max="11269" width="8.26953125" style="101" bestFit="1" customWidth="1"/>
    <col min="11270" max="11270" width="7.26953125" style="101" bestFit="1" customWidth="1"/>
    <col min="11271" max="11271" width="26.1796875" style="101" bestFit="1" customWidth="1"/>
    <col min="11272" max="11272" width="20.7265625" style="101" bestFit="1" customWidth="1"/>
    <col min="11273" max="11273" width="20.81640625" style="101" bestFit="1" customWidth="1"/>
    <col min="11274" max="11274" width="26.453125" style="101" bestFit="1" customWidth="1"/>
    <col min="11275" max="11275" width="9.1796875" style="101"/>
    <col min="11276" max="11276" width="22.1796875" style="101" customWidth="1"/>
    <col min="11277" max="11277" width="13.26953125" style="101" customWidth="1"/>
    <col min="11278" max="11520" width="9.1796875" style="101"/>
    <col min="11521" max="11521" width="17.81640625" style="101" customWidth="1"/>
    <col min="11522" max="11522" width="10" style="101" customWidth="1"/>
    <col min="11523" max="11523" width="8.1796875" style="101" bestFit="1" customWidth="1"/>
    <col min="11524" max="11525" width="8.26953125" style="101" bestFit="1" customWidth="1"/>
    <col min="11526" max="11526" width="7.26953125" style="101" bestFit="1" customWidth="1"/>
    <col min="11527" max="11527" width="26.1796875" style="101" bestFit="1" customWidth="1"/>
    <col min="11528" max="11528" width="20.7265625" style="101" bestFit="1" customWidth="1"/>
    <col min="11529" max="11529" width="20.81640625" style="101" bestFit="1" customWidth="1"/>
    <col min="11530" max="11530" width="26.453125" style="101" bestFit="1" customWidth="1"/>
    <col min="11531" max="11531" width="9.1796875" style="101"/>
    <col min="11532" max="11532" width="22.1796875" style="101" customWidth="1"/>
    <col min="11533" max="11533" width="13.26953125" style="101" customWidth="1"/>
    <col min="11534" max="11776" width="9.1796875" style="101"/>
    <col min="11777" max="11777" width="17.81640625" style="101" customWidth="1"/>
    <col min="11778" max="11778" width="10" style="101" customWidth="1"/>
    <col min="11779" max="11779" width="8.1796875" style="101" bestFit="1" customWidth="1"/>
    <col min="11780" max="11781" width="8.26953125" style="101" bestFit="1" customWidth="1"/>
    <col min="11782" max="11782" width="7.26953125" style="101" bestFit="1" customWidth="1"/>
    <col min="11783" max="11783" width="26.1796875" style="101" bestFit="1" customWidth="1"/>
    <col min="11784" max="11784" width="20.7265625" style="101" bestFit="1" customWidth="1"/>
    <col min="11785" max="11785" width="20.81640625" style="101" bestFit="1" customWidth="1"/>
    <col min="11786" max="11786" width="26.453125" style="101" bestFit="1" customWidth="1"/>
    <col min="11787" max="11787" width="9.1796875" style="101"/>
    <col min="11788" max="11788" width="22.1796875" style="101" customWidth="1"/>
    <col min="11789" max="11789" width="13.26953125" style="101" customWidth="1"/>
    <col min="11790" max="12032" width="9.1796875" style="101"/>
    <col min="12033" max="12033" width="17.81640625" style="101" customWidth="1"/>
    <col min="12034" max="12034" width="10" style="101" customWidth="1"/>
    <col min="12035" max="12035" width="8.1796875" style="101" bestFit="1" customWidth="1"/>
    <col min="12036" max="12037" width="8.26953125" style="101" bestFit="1" customWidth="1"/>
    <col min="12038" max="12038" width="7.26953125" style="101" bestFit="1" customWidth="1"/>
    <col min="12039" max="12039" width="26.1796875" style="101" bestFit="1" customWidth="1"/>
    <col min="12040" max="12040" width="20.7265625" style="101" bestFit="1" customWidth="1"/>
    <col min="12041" max="12041" width="20.81640625" style="101" bestFit="1" customWidth="1"/>
    <col min="12042" max="12042" width="26.453125" style="101" bestFit="1" customWidth="1"/>
    <col min="12043" max="12043" width="9.1796875" style="101"/>
    <col min="12044" max="12044" width="22.1796875" style="101" customWidth="1"/>
    <col min="12045" max="12045" width="13.26953125" style="101" customWidth="1"/>
    <col min="12046" max="12288" width="9.1796875" style="101"/>
    <col min="12289" max="12289" width="17.81640625" style="101" customWidth="1"/>
    <col min="12290" max="12290" width="10" style="101" customWidth="1"/>
    <col min="12291" max="12291" width="8.1796875" style="101" bestFit="1" customWidth="1"/>
    <col min="12292" max="12293" width="8.26953125" style="101" bestFit="1" customWidth="1"/>
    <col min="12294" max="12294" width="7.26953125" style="101" bestFit="1" customWidth="1"/>
    <col min="12295" max="12295" width="26.1796875" style="101" bestFit="1" customWidth="1"/>
    <col min="12296" max="12296" width="20.7265625" style="101" bestFit="1" customWidth="1"/>
    <col min="12297" max="12297" width="20.81640625" style="101" bestFit="1" customWidth="1"/>
    <col min="12298" max="12298" width="26.453125" style="101" bestFit="1" customWidth="1"/>
    <col min="12299" max="12299" width="9.1796875" style="101"/>
    <col min="12300" max="12300" width="22.1796875" style="101" customWidth="1"/>
    <col min="12301" max="12301" width="13.26953125" style="101" customWidth="1"/>
    <col min="12302" max="12544" width="9.1796875" style="101"/>
    <col min="12545" max="12545" width="17.81640625" style="101" customWidth="1"/>
    <col min="12546" max="12546" width="10" style="101" customWidth="1"/>
    <col min="12547" max="12547" width="8.1796875" style="101" bestFit="1" customWidth="1"/>
    <col min="12548" max="12549" width="8.26953125" style="101" bestFit="1" customWidth="1"/>
    <col min="12550" max="12550" width="7.26953125" style="101" bestFit="1" customWidth="1"/>
    <col min="12551" max="12551" width="26.1796875" style="101" bestFit="1" customWidth="1"/>
    <col min="12552" max="12552" width="20.7265625" style="101" bestFit="1" customWidth="1"/>
    <col min="12553" max="12553" width="20.81640625" style="101" bestFit="1" customWidth="1"/>
    <col min="12554" max="12554" width="26.453125" style="101" bestFit="1" customWidth="1"/>
    <col min="12555" max="12555" width="9.1796875" style="101"/>
    <col min="12556" max="12556" width="22.1796875" style="101" customWidth="1"/>
    <col min="12557" max="12557" width="13.26953125" style="101" customWidth="1"/>
    <col min="12558" max="12800" width="9.1796875" style="101"/>
    <col min="12801" max="12801" width="17.81640625" style="101" customWidth="1"/>
    <col min="12802" max="12802" width="10" style="101" customWidth="1"/>
    <col min="12803" max="12803" width="8.1796875" style="101" bestFit="1" customWidth="1"/>
    <col min="12804" max="12805" width="8.26953125" style="101" bestFit="1" customWidth="1"/>
    <col min="12806" max="12806" width="7.26953125" style="101" bestFit="1" customWidth="1"/>
    <col min="12807" max="12807" width="26.1796875" style="101" bestFit="1" customWidth="1"/>
    <col min="12808" max="12808" width="20.7265625" style="101" bestFit="1" customWidth="1"/>
    <col min="12809" max="12809" width="20.81640625" style="101" bestFit="1" customWidth="1"/>
    <col min="12810" max="12810" width="26.453125" style="101" bestFit="1" customWidth="1"/>
    <col min="12811" max="12811" width="9.1796875" style="101"/>
    <col min="12812" max="12812" width="22.1796875" style="101" customWidth="1"/>
    <col min="12813" max="12813" width="13.26953125" style="101" customWidth="1"/>
    <col min="12814" max="13056" width="9.1796875" style="101"/>
    <col min="13057" max="13057" width="17.81640625" style="101" customWidth="1"/>
    <col min="13058" max="13058" width="10" style="101" customWidth="1"/>
    <col min="13059" max="13059" width="8.1796875" style="101" bestFit="1" customWidth="1"/>
    <col min="13060" max="13061" width="8.26953125" style="101" bestFit="1" customWidth="1"/>
    <col min="13062" max="13062" width="7.26953125" style="101" bestFit="1" customWidth="1"/>
    <col min="13063" max="13063" width="26.1796875" style="101" bestFit="1" customWidth="1"/>
    <col min="13064" max="13064" width="20.7265625" style="101" bestFit="1" customWidth="1"/>
    <col min="13065" max="13065" width="20.81640625" style="101" bestFit="1" customWidth="1"/>
    <col min="13066" max="13066" width="26.453125" style="101" bestFit="1" customWidth="1"/>
    <col min="13067" max="13067" width="9.1796875" style="101"/>
    <col min="13068" max="13068" width="22.1796875" style="101" customWidth="1"/>
    <col min="13069" max="13069" width="13.26953125" style="101" customWidth="1"/>
    <col min="13070" max="13312" width="9.1796875" style="101"/>
    <col min="13313" max="13313" width="17.81640625" style="101" customWidth="1"/>
    <col min="13314" max="13314" width="10" style="101" customWidth="1"/>
    <col min="13315" max="13315" width="8.1796875" style="101" bestFit="1" customWidth="1"/>
    <col min="13316" max="13317" width="8.26953125" style="101" bestFit="1" customWidth="1"/>
    <col min="13318" max="13318" width="7.26953125" style="101" bestFit="1" customWidth="1"/>
    <col min="13319" max="13319" width="26.1796875" style="101" bestFit="1" customWidth="1"/>
    <col min="13320" max="13320" width="20.7265625" style="101" bestFit="1" customWidth="1"/>
    <col min="13321" max="13321" width="20.81640625" style="101" bestFit="1" customWidth="1"/>
    <col min="13322" max="13322" width="26.453125" style="101" bestFit="1" customWidth="1"/>
    <col min="13323" max="13323" width="9.1796875" style="101"/>
    <col min="13324" max="13324" width="22.1796875" style="101" customWidth="1"/>
    <col min="13325" max="13325" width="13.26953125" style="101" customWidth="1"/>
    <col min="13326" max="13568" width="9.1796875" style="101"/>
    <col min="13569" max="13569" width="17.81640625" style="101" customWidth="1"/>
    <col min="13570" max="13570" width="10" style="101" customWidth="1"/>
    <col min="13571" max="13571" width="8.1796875" style="101" bestFit="1" customWidth="1"/>
    <col min="13572" max="13573" width="8.26953125" style="101" bestFit="1" customWidth="1"/>
    <col min="13574" max="13574" width="7.26953125" style="101" bestFit="1" customWidth="1"/>
    <col min="13575" max="13575" width="26.1796875" style="101" bestFit="1" customWidth="1"/>
    <col min="13576" max="13576" width="20.7265625" style="101" bestFit="1" customWidth="1"/>
    <col min="13577" max="13577" width="20.81640625" style="101" bestFit="1" customWidth="1"/>
    <col min="13578" max="13578" width="26.453125" style="101" bestFit="1" customWidth="1"/>
    <col min="13579" max="13579" width="9.1796875" style="101"/>
    <col min="13580" max="13580" width="22.1796875" style="101" customWidth="1"/>
    <col min="13581" max="13581" width="13.26953125" style="101" customWidth="1"/>
    <col min="13582" max="13824" width="9.1796875" style="101"/>
    <col min="13825" max="13825" width="17.81640625" style="101" customWidth="1"/>
    <col min="13826" max="13826" width="10" style="101" customWidth="1"/>
    <col min="13827" max="13827" width="8.1796875" style="101" bestFit="1" customWidth="1"/>
    <col min="13828" max="13829" width="8.26953125" style="101" bestFit="1" customWidth="1"/>
    <col min="13830" max="13830" width="7.26953125" style="101" bestFit="1" customWidth="1"/>
    <col min="13831" max="13831" width="26.1796875" style="101" bestFit="1" customWidth="1"/>
    <col min="13832" max="13832" width="20.7265625" style="101" bestFit="1" customWidth="1"/>
    <col min="13833" max="13833" width="20.81640625" style="101" bestFit="1" customWidth="1"/>
    <col min="13834" max="13834" width="26.453125" style="101" bestFit="1" customWidth="1"/>
    <col min="13835" max="13835" width="9.1796875" style="101"/>
    <col min="13836" max="13836" width="22.1796875" style="101" customWidth="1"/>
    <col min="13837" max="13837" width="13.26953125" style="101" customWidth="1"/>
    <col min="13838" max="14080" width="9.1796875" style="101"/>
    <col min="14081" max="14081" width="17.81640625" style="101" customWidth="1"/>
    <col min="14082" max="14082" width="10" style="101" customWidth="1"/>
    <col min="14083" max="14083" width="8.1796875" style="101" bestFit="1" customWidth="1"/>
    <col min="14084" max="14085" width="8.26953125" style="101" bestFit="1" customWidth="1"/>
    <col min="14086" max="14086" width="7.26953125" style="101" bestFit="1" customWidth="1"/>
    <col min="14087" max="14087" width="26.1796875" style="101" bestFit="1" customWidth="1"/>
    <col min="14088" max="14088" width="20.7265625" style="101" bestFit="1" customWidth="1"/>
    <col min="14089" max="14089" width="20.81640625" style="101" bestFit="1" customWidth="1"/>
    <col min="14090" max="14090" width="26.453125" style="101" bestFit="1" customWidth="1"/>
    <col min="14091" max="14091" width="9.1796875" style="101"/>
    <col min="14092" max="14092" width="22.1796875" style="101" customWidth="1"/>
    <col min="14093" max="14093" width="13.26953125" style="101" customWidth="1"/>
    <col min="14094" max="14336" width="9.1796875" style="101"/>
    <col min="14337" max="14337" width="17.81640625" style="101" customWidth="1"/>
    <col min="14338" max="14338" width="10" style="101" customWidth="1"/>
    <col min="14339" max="14339" width="8.1796875" style="101" bestFit="1" customWidth="1"/>
    <col min="14340" max="14341" width="8.26953125" style="101" bestFit="1" customWidth="1"/>
    <col min="14342" max="14342" width="7.26953125" style="101" bestFit="1" customWidth="1"/>
    <col min="14343" max="14343" width="26.1796875" style="101" bestFit="1" customWidth="1"/>
    <col min="14344" max="14344" width="20.7265625" style="101" bestFit="1" customWidth="1"/>
    <col min="14345" max="14345" width="20.81640625" style="101" bestFit="1" customWidth="1"/>
    <col min="14346" max="14346" width="26.453125" style="101" bestFit="1" customWidth="1"/>
    <col min="14347" max="14347" width="9.1796875" style="101"/>
    <col min="14348" max="14348" width="22.1796875" style="101" customWidth="1"/>
    <col min="14349" max="14349" width="13.26953125" style="101" customWidth="1"/>
    <col min="14350" max="14592" width="9.1796875" style="101"/>
    <col min="14593" max="14593" width="17.81640625" style="101" customWidth="1"/>
    <col min="14594" max="14594" width="10" style="101" customWidth="1"/>
    <col min="14595" max="14595" width="8.1796875" style="101" bestFit="1" customWidth="1"/>
    <col min="14596" max="14597" width="8.26953125" style="101" bestFit="1" customWidth="1"/>
    <col min="14598" max="14598" width="7.26953125" style="101" bestFit="1" customWidth="1"/>
    <col min="14599" max="14599" width="26.1796875" style="101" bestFit="1" customWidth="1"/>
    <col min="14600" max="14600" width="20.7265625" style="101" bestFit="1" customWidth="1"/>
    <col min="14601" max="14601" width="20.81640625" style="101" bestFit="1" customWidth="1"/>
    <col min="14602" max="14602" width="26.453125" style="101" bestFit="1" customWidth="1"/>
    <col min="14603" max="14603" width="9.1796875" style="101"/>
    <col min="14604" max="14604" width="22.1796875" style="101" customWidth="1"/>
    <col min="14605" max="14605" width="13.26953125" style="101" customWidth="1"/>
    <col min="14606" max="14848" width="9.1796875" style="101"/>
    <col min="14849" max="14849" width="17.81640625" style="101" customWidth="1"/>
    <col min="14850" max="14850" width="10" style="101" customWidth="1"/>
    <col min="14851" max="14851" width="8.1796875" style="101" bestFit="1" customWidth="1"/>
    <col min="14852" max="14853" width="8.26953125" style="101" bestFit="1" customWidth="1"/>
    <col min="14854" max="14854" width="7.26953125" style="101" bestFit="1" customWidth="1"/>
    <col min="14855" max="14855" width="26.1796875" style="101" bestFit="1" customWidth="1"/>
    <col min="14856" max="14856" width="20.7265625" style="101" bestFit="1" customWidth="1"/>
    <col min="14857" max="14857" width="20.81640625" style="101" bestFit="1" customWidth="1"/>
    <col min="14858" max="14858" width="26.453125" style="101" bestFit="1" customWidth="1"/>
    <col min="14859" max="14859" width="9.1796875" style="101"/>
    <col min="14860" max="14860" width="22.1796875" style="101" customWidth="1"/>
    <col min="14861" max="14861" width="13.26953125" style="101" customWidth="1"/>
    <col min="14862" max="15104" width="9.1796875" style="101"/>
    <col min="15105" max="15105" width="17.81640625" style="101" customWidth="1"/>
    <col min="15106" max="15106" width="10" style="101" customWidth="1"/>
    <col min="15107" max="15107" width="8.1796875" style="101" bestFit="1" customWidth="1"/>
    <col min="15108" max="15109" width="8.26953125" style="101" bestFit="1" customWidth="1"/>
    <col min="15110" max="15110" width="7.26953125" style="101" bestFit="1" customWidth="1"/>
    <col min="15111" max="15111" width="26.1796875" style="101" bestFit="1" customWidth="1"/>
    <col min="15112" max="15112" width="20.7265625" style="101" bestFit="1" customWidth="1"/>
    <col min="15113" max="15113" width="20.81640625" style="101" bestFit="1" customWidth="1"/>
    <col min="15114" max="15114" width="26.453125" style="101" bestFit="1" customWidth="1"/>
    <col min="15115" max="15115" width="9.1796875" style="101"/>
    <col min="15116" max="15116" width="22.1796875" style="101" customWidth="1"/>
    <col min="15117" max="15117" width="13.26953125" style="101" customWidth="1"/>
    <col min="15118" max="15360" width="9.1796875" style="101"/>
    <col min="15361" max="15361" width="17.81640625" style="101" customWidth="1"/>
    <col min="15362" max="15362" width="10" style="101" customWidth="1"/>
    <col min="15363" max="15363" width="8.1796875" style="101" bestFit="1" customWidth="1"/>
    <col min="15364" max="15365" width="8.26953125" style="101" bestFit="1" customWidth="1"/>
    <col min="15366" max="15366" width="7.26953125" style="101" bestFit="1" customWidth="1"/>
    <col min="15367" max="15367" width="26.1796875" style="101" bestFit="1" customWidth="1"/>
    <col min="15368" max="15368" width="20.7265625" style="101" bestFit="1" customWidth="1"/>
    <col min="15369" max="15369" width="20.81640625" style="101" bestFit="1" customWidth="1"/>
    <col min="15370" max="15370" width="26.453125" style="101" bestFit="1" customWidth="1"/>
    <col min="15371" max="15371" width="9.1796875" style="101"/>
    <col min="15372" max="15372" width="22.1796875" style="101" customWidth="1"/>
    <col min="15373" max="15373" width="13.26953125" style="101" customWidth="1"/>
    <col min="15374" max="15616" width="9.1796875" style="101"/>
    <col min="15617" max="15617" width="17.81640625" style="101" customWidth="1"/>
    <col min="15618" max="15618" width="10" style="101" customWidth="1"/>
    <col min="15619" max="15619" width="8.1796875" style="101" bestFit="1" customWidth="1"/>
    <col min="15620" max="15621" width="8.26953125" style="101" bestFit="1" customWidth="1"/>
    <col min="15622" max="15622" width="7.26953125" style="101" bestFit="1" customWidth="1"/>
    <col min="15623" max="15623" width="26.1796875" style="101" bestFit="1" customWidth="1"/>
    <col min="15624" max="15624" width="20.7265625" style="101" bestFit="1" customWidth="1"/>
    <col min="15625" max="15625" width="20.81640625" style="101" bestFit="1" customWidth="1"/>
    <col min="15626" max="15626" width="26.453125" style="101" bestFit="1" customWidth="1"/>
    <col min="15627" max="15627" width="9.1796875" style="101"/>
    <col min="15628" max="15628" width="22.1796875" style="101" customWidth="1"/>
    <col min="15629" max="15629" width="13.26953125" style="101" customWidth="1"/>
    <col min="15630" max="15872" width="9.1796875" style="101"/>
    <col min="15873" max="15873" width="17.81640625" style="101" customWidth="1"/>
    <col min="15874" max="15874" width="10" style="101" customWidth="1"/>
    <col min="15875" max="15875" width="8.1796875" style="101" bestFit="1" customWidth="1"/>
    <col min="15876" max="15877" width="8.26953125" style="101" bestFit="1" customWidth="1"/>
    <col min="15878" max="15878" width="7.26953125" style="101" bestFit="1" customWidth="1"/>
    <col min="15879" max="15879" width="26.1796875" style="101" bestFit="1" customWidth="1"/>
    <col min="15880" max="15880" width="20.7265625" style="101" bestFit="1" customWidth="1"/>
    <col min="15881" max="15881" width="20.81640625" style="101" bestFit="1" customWidth="1"/>
    <col min="15882" max="15882" width="26.453125" style="101" bestFit="1" customWidth="1"/>
    <col min="15883" max="15883" width="9.1796875" style="101"/>
    <col min="15884" max="15884" width="22.1796875" style="101" customWidth="1"/>
    <col min="15885" max="15885" width="13.26953125" style="101" customWidth="1"/>
    <col min="15886" max="16128" width="9.1796875" style="101"/>
    <col min="16129" max="16129" width="17.81640625" style="101" customWidth="1"/>
    <col min="16130" max="16130" width="10" style="101" customWidth="1"/>
    <col min="16131" max="16131" width="8.1796875" style="101" bestFit="1" customWidth="1"/>
    <col min="16132" max="16133" width="8.26953125" style="101" bestFit="1" customWidth="1"/>
    <col min="16134" max="16134" width="7.26953125" style="101" bestFit="1" customWidth="1"/>
    <col min="16135" max="16135" width="26.1796875" style="101" bestFit="1" customWidth="1"/>
    <col min="16136" max="16136" width="20.7265625" style="101" bestFit="1" customWidth="1"/>
    <col min="16137" max="16137" width="20.81640625" style="101" bestFit="1" customWidth="1"/>
    <col min="16138" max="16138" width="26.453125" style="101" bestFit="1" customWidth="1"/>
    <col min="16139" max="16139" width="9.1796875" style="101"/>
    <col min="16140" max="16140" width="22.1796875" style="101" customWidth="1"/>
    <col min="16141" max="16141" width="13.26953125" style="101" customWidth="1"/>
    <col min="16142" max="16384" width="9.1796875" style="101"/>
  </cols>
  <sheetData>
    <row r="1" spans="1:14" s="92" customFormat="1" ht="57.75" customHeight="1">
      <c r="A1" s="88" t="s">
        <v>0</v>
      </c>
      <c r="B1" s="89" t="s">
        <v>1</v>
      </c>
      <c r="C1" s="89" t="s">
        <v>2</v>
      </c>
      <c r="D1" s="89" t="s">
        <v>3</v>
      </c>
      <c r="E1" s="89" t="s">
        <v>4</v>
      </c>
      <c r="F1" s="89" t="s">
        <v>5</v>
      </c>
      <c r="G1" s="89" t="s">
        <v>6</v>
      </c>
      <c r="H1" s="89" t="s">
        <v>505</v>
      </c>
      <c r="I1" s="89" t="s">
        <v>506</v>
      </c>
      <c r="J1" s="90" t="s">
        <v>286</v>
      </c>
      <c r="K1" s="89" t="s">
        <v>10</v>
      </c>
      <c r="L1" s="91" t="s">
        <v>507</v>
      </c>
      <c r="M1" s="89" t="s">
        <v>12</v>
      </c>
      <c r="N1" s="89" t="s">
        <v>508</v>
      </c>
    </row>
    <row r="2" spans="1:14" ht="21">
      <c r="A2" s="93" t="s">
        <v>509</v>
      </c>
      <c r="B2" s="94" t="s">
        <v>14</v>
      </c>
      <c r="C2" s="94"/>
      <c r="D2" s="94">
        <v>1</v>
      </c>
      <c r="E2" s="94">
        <f>E8</f>
        <v>50</v>
      </c>
      <c r="F2" s="94">
        <f>SUM(F3:F8)</f>
        <v>50</v>
      </c>
      <c r="G2" s="95" t="s">
        <v>510</v>
      </c>
      <c r="H2" s="96"/>
      <c r="I2" s="96"/>
      <c r="J2" s="97"/>
      <c r="K2" s="94"/>
      <c r="L2" s="98"/>
      <c r="M2" s="99" t="s">
        <v>511</v>
      </c>
      <c r="N2" s="100"/>
    </row>
    <row r="3" spans="1:14" ht="20.5">
      <c r="A3" s="102" t="s">
        <v>17</v>
      </c>
      <c r="B3" s="103" t="s">
        <v>18</v>
      </c>
      <c r="C3" s="104">
        <v>1</v>
      </c>
      <c r="D3" s="104">
        <v>1</v>
      </c>
      <c r="E3" s="104">
        <f t="shared" ref="E3:E8" si="0">D3+F3-1</f>
        <v>1</v>
      </c>
      <c r="F3" s="104">
        <v>1</v>
      </c>
      <c r="G3" s="105" t="s">
        <v>512</v>
      </c>
      <c r="H3" s="105"/>
      <c r="I3" s="105"/>
      <c r="J3" s="106"/>
      <c r="K3" s="104"/>
      <c r="L3" s="107"/>
      <c r="M3" s="99" t="s">
        <v>511</v>
      </c>
      <c r="N3" s="100"/>
    </row>
    <row r="4" spans="1:14" s="23" customFormat="1">
      <c r="A4" s="18" t="s">
        <v>513</v>
      </c>
      <c r="B4" s="18" t="s">
        <v>514</v>
      </c>
      <c r="C4" s="14">
        <v>2</v>
      </c>
      <c r="D4" s="19">
        <f>E3+1</f>
        <v>2</v>
      </c>
      <c r="E4" s="14">
        <f t="shared" si="0"/>
        <v>16</v>
      </c>
      <c r="F4" s="19">
        <v>15</v>
      </c>
      <c r="G4" s="18" t="s">
        <v>515</v>
      </c>
      <c r="H4" s="20"/>
      <c r="I4" s="20"/>
      <c r="J4" s="18"/>
      <c r="K4" s="19"/>
      <c r="L4" s="19"/>
      <c r="M4" s="21"/>
      <c r="N4" s="22"/>
    </row>
    <row r="5" spans="1:14" s="23" customFormat="1">
      <c r="A5" s="18" t="s">
        <v>516</v>
      </c>
      <c r="B5" s="18" t="s">
        <v>517</v>
      </c>
      <c r="C5" s="108">
        <v>3</v>
      </c>
      <c r="D5" s="19">
        <f>E4+1</f>
        <v>17</v>
      </c>
      <c r="E5" s="14">
        <f t="shared" si="0"/>
        <v>26</v>
      </c>
      <c r="F5" s="19">
        <v>10</v>
      </c>
      <c r="G5" s="18" t="s">
        <v>518</v>
      </c>
      <c r="H5" s="20"/>
      <c r="I5" s="20"/>
      <c r="J5" s="18"/>
      <c r="K5" s="19"/>
      <c r="L5" s="19"/>
      <c r="M5" s="21"/>
      <c r="N5" s="22"/>
    </row>
    <row r="6" spans="1:14" s="23" customFormat="1">
      <c r="A6" s="18" t="s">
        <v>215</v>
      </c>
      <c r="B6" s="18" t="s">
        <v>216</v>
      </c>
      <c r="C6" s="14">
        <v>4</v>
      </c>
      <c r="D6" s="19">
        <f>E5+1</f>
        <v>27</v>
      </c>
      <c r="E6" s="14">
        <f t="shared" si="0"/>
        <v>34</v>
      </c>
      <c r="F6" s="19">
        <v>8</v>
      </c>
      <c r="G6" s="18" t="s">
        <v>519</v>
      </c>
      <c r="H6" s="109"/>
      <c r="I6" s="109"/>
      <c r="J6" s="18"/>
      <c r="K6" s="19"/>
      <c r="L6" s="19"/>
      <c r="M6" s="21"/>
      <c r="N6" s="22"/>
    </row>
    <row r="7" spans="1:14">
      <c r="A7" s="18" t="s">
        <v>520</v>
      </c>
      <c r="B7" s="18" t="s">
        <v>514</v>
      </c>
      <c r="C7" s="104">
        <v>5</v>
      </c>
      <c r="D7" s="19">
        <f>E6+1</f>
        <v>35</v>
      </c>
      <c r="E7" s="104">
        <f t="shared" si="0"/>
        <v>49</v>
      </c>
      <c r="F7" s="104">
        <v>15</v>
      </c>
      <c r="G7" s="110" t="s">
        <v>521</v>
      </c>
      <c r="H7" s="110"/>
      <c r="I7" s="110"/>
      <c r="J7" s="106"/>
      <c r="K7" s="104"/>
      <c r="L7" s="107"/>
      <c r="M7" s="99" t="s">
        <v>511</v>
      </c>
      <c r="N7" s="100"/>
    </row>
    <row r="8" spans="1:14" s="23" customFormat="1">
      <c r="A8" s="18" t="s">
        <v>522</v>
      </c>
      <c r="B8" s="18" t="s">
        <v>18</v>
      </c>
      <c r="C8" s="14">
        <v>6</v>
      </c>
      <c r="D8" s="19">
        <f>E7+1</f>
        <v>50</v>
      </c>
      <c r="E8" s="14">
        <f t="shared" si="0"/>
        <v>50</v>
      </c>
      <c r="F8" s="19">
        <v>1</v>
      </c>
      <c r="G8" s="18" t="s">
        <v>523</v>
      </c>
      <c r="H8" s="20"/>
      <c r="I8" s="20"/>
      <c r="J8" s="18"/>
      <c r="K8" s="19"/>
      <c r="L8" s="19"/>
      <c r="M8" s="21"/>
      <c r="N8" s="22"/>
    </row>
    <row r="9" spans="1:14">
      <c r="A9" s="111" t="s">
        <v>524</v>
      </c>
      <c r="B9" s="112" t="s">
        <v>14</v>
      </c>
      <c r="C9" s="112">
        <v>6</v>
      </c>
      <c r="D9" s="112">
        <v>1</v>
      </c>
      <c r="E9" s="112">
        <f>E48</f>
        <v>201</v>
      </c>
      <c r="F9" s="112">
        <f>SUM(F10:F48)</f>
        <v>231</v>
      </c>
      <c r="G9" s="96"/>
      <c r="H9" s="96"/>
      <c r="I9" s="96"/>
      <c r="J9" s="113"/>
      <c r="K9" s="112"/>
      <c r="L9" s="114"/>
      <c r="M9" s="99" t="s">
        <v>511</v>
      </c>
      <c r="N9" s="100"/>
    </row>
    <row r="10" spans="1:14" ht="20.5">
      <c r="A10" s="115" t="s">
        <v>17</v>
      </c>
      <c r="B10" s="103" t="s">
        <v>18</v>
      </c>
      <c r="C10" s="104">
        <v>7</v>
      </c>
      <c r="D10" s="104">
        <v>1</v>
      </c>
      <c r="E10" s="104">
        <f>D10+F10-1</f>
        <v>1</v>
      </c>
      <c r="F10" s="104">
        <v>1</v>
      </c>
      <c r="G10" s="105" t="s">
        <v>525</v>
      </c>
      <c r="H10" s="105" t="s">
        <v>526</v>
      </c>
      <c r="I10" s="105"/>
      <c r="J10" s="106"/>
      <c r="K10" s="104"/>
      <c r="L10" s="107"/>
      <c r="M10" s="99" t="s">
        <v>511</v>
      </c>
      <c r="N10" s="100"/>
    </row>
    <row r="11" spans="1:14" ht="20.5">
      <c r="A11" s="115" t="s">
        <v>527</v>
      </c>
      <c r="B11" s="103" t="s">
        <v>528</v>
      </c>
      <c r="C11" s="104">
        <v>8</v>
      </c>
      <c r="D11" s="104">
        <f t="shared" ref="D11:D48" si="1">E10+1</f>
        <v>2</v>
      </c>
      <c r="E11" s="104">
        <f t="shared" ref="E11:E48" si="2">F11+D11-1</f>
        <v>15</v>
      </c>
      <c r="F11" s="104">
        <v>14</v>
      </c>
      <c r="G11" s="116" t="s">
        <v>529</v>
      </c>
      <c r="H11" s="105" t="s">
        <v>526</v>
      </c>
      <c r="I11" s="105" t="s">
        <v>530</v>
      </c>
      <c r="J11" s="117" t="s">
        <v>531</v>
      </c>
      <c r="K11" s="104" t="s">
        <v>532</v>
      </c>
      <c r="L11" s="118" t="s">
        <v>533</v>
      </c>
      <c r="M11" s="99" t="s">
        <v>511</v>
      </c>
      <c r="N11" s="100" t="s">
        <v>534</v>
      </c>
    </row>
    <row r="12" spans="1:14" ht="12.5">
      <c r="A12" s="115" t="s">
        <v>535</v>
      </c>
      <c r="B12" s="103" t="s">
        <v>536</v>
      </c>
      <c r="C12" s="104">
        <v>9</v>
      </c>
      <c r="D12" s="104">
        <f t="shared" si="1"/>
        <v>16</v>
      </c>
      <c r="E12" s="104">
        <f>F12+D12-1</f>
        <v>26</v>
      </c>
      <c r="F12" s="104">
        <v>11</v>
      </c>
      <c r="G12" s="106" t="s">
        <v>537</v>
      </c>
      <c r="H12" s="105" t="s">
        <v>526</v>
      </c>
      <c r="I12" s="105" t="s">
        <v>530</v>
      </c>
      <c r="J12" s="106" t="s">
        <v>538</v>
      </c>
      <c r="K12" s="104"/>
      <c r="L12" s="118"/>
      <c r="M12" s="99" t="s">
        <v>511</v>
      </c>
      <c r="N12" s="100"/>
    </row>
    <row r="13" spans="1:14" s="128" customFormat="1" ht="20.5">
      <c r="A13" s="119" t="s">
        <v>539</v>
      </c>
      <c r="B13" s="120" t="s">
        <v>540</v>
      </c>
      <c r="C13" s="121">
        <v>10</v>
      </c>
      <c r="D13" s="122">
        <f t="shared" si="1"/>
        <v>27</v>
      </c>
      <c r="E13" s="122">
        <f>F13+D13-1</f>
        <v>56</v>
      </c>
      <c r="F13" s="121">
        <v>30</v>
      </c>
      <c r="G13" s="123" t="s">
        <v>541</v>
      </c>
      <c r="H13" s="123" t="s">
        <v>526</v>
      </c>
      <c r="I13" s="123" t="s">
        <v>542</v>
      </c>
      <c r="J13" s="124" t="s">
        <v>543</v>
      </c>
      <c r="K13" s="125" t="s">
        <v>544</v>
      </c>
      <c r="L13" s="126" t="s">
        <v>545</v>
      </c>
      <c r="M13" s="127" t="s">
        <v>511</v>
      </c>
    </row>
    <row r="14" spans="1:14" ht="12.5">
      <c r="A14" s="129" t="s">
        <v>546</v>
      </c>
      <c r="B14" s="103" t="s">
        <v>547</v>
      </c>
      <c r="C14" s="104">
        <v>11</v>
      </c>
      <c r="D14" s="104">
        <f>E12+1</f>
        <v>27</v>
      </c>
      <c r="E14" s="104">
        <f t="shared" si="2"/>
        <v>28</v>
      </c>
      <c r="F14" s="104">
        <v>2</v>
      </c>
      <c r="G14" s="106"/>
      <c r="H14" s="105" t="s">
        <v>526</v>
      </c>
      <c r="I14" s="105" t="s">
        <v>530</v>
      </c>
      <c r="J14" s="106" t="s">
        <v>548</v>
      </c>
      <c r="K14" s="104" t="s">
        <v>532</v>
      </c>
      <c r="L14" s="118" t="s">
        <v>549</v>
      </c>
      <c r="M14" s="130"/>
    </row>
    <row r="15" spans="1:14" s="128" customFormat="1" ht="60.5">
      <c r="A15" s="129" t="s">
        <v>550</v>
      </c>
      <c r="B15" s="131" t="s">
        <v>551</v>
      </c>
      <c r="C15" s="104">
        <v>12</v>
      </c>
      <c r="D15" s="104">
        <f t="shared" si="1"/>
        <v>29</v>
      </c>
      <c r="E15" s="104">
        <f t="shared" si="2"/>
        <v>31</v>
      </c>
      <c r="F15" s="108">
        <v>3</v>
      </c>
      <c r="G15" s="125" t="s">
        <v>552</v>
      </c>
      <c r="H15" s="125" t="s">
        <v>526</v>
      </c>
      <c r="I15" s="125" t="s">
        <v>553</v>
      </c>
      <c r="J15" s="117" t="s">
        <v>554</v>
      </c>
      <c r="K15" s="104" t="s">
        <v>555</v>
      </c>
      <c r="L15" s="126" t="s">
        <v>556</v>
      </c>
      <c r="M15" s="127" t="s">
        <v>511</v>
      </c>
      <c r="N15" s="128" t="s">
        <v>534</v>
      </c>
    </row>
    <row r="16" spans="1:14" ht="20.5">
      <c r="A16" s="115" t="s">
        <v>557</v>
      </c>
      <c r="B16" s="103" t="s">
        <v>558</v>
      </c>
      <c r="C16" s="104">
        <v>13</v>
      </c>
      <c r="D16" s="104">
        <f t="shared" si="1"/>
        <v>32</v>
      </c>
      <c r="E16" s="104">
        <f t="shared" si="2"/>
        <v>32</v>
      </c>
      <c r="F16" s="104">
        <v>1</v>
      </c>
      <c r="G16" s="132" t="s">
        <v>559</v>
      </c>
      <c r="H16" s="105" t="s">
        <v>526</v>
      </c>
      <c r="I16" s="105" t="s">
        <v>530</v>
      </c>
      <c r="J16" s="106" t="s">
        <v>560</v>
      </c>
      <c r="K16" s="104" t="s">
        <v>532</v>
      </c>
      <c r="L16" s="118" t="s">
        <v>561</v>
      </c>
      <c r="M16" s="99" t="s">
        <v>511</v>
      </c>
      <c r="N16" s="100" t="s">
        <v>562</v>
      </c>
    </row>
    <row r="17" spans="1:14" ht="12.5">
      <c r="A17" s="115" t="s">
        <v>563</v>
      </c>
      <c r="B17" s="103" t="s">
        <v>558</v>
      </c>
      <c r="C17" s="108">
        <v>14</v>
      </c>
      <c r="D17" s="104">
        <f t="shared" si="1"/>
        <v>33</v>
      </c>
      <c r="E17" s="104">
        <f t="shared" si="2"/>
        <v>33</v>
      </c>
      <c r="F17" s="104">
        <v>1</v>
      </c>
      <c r="G17" s="116" t="s">
        <v>564</v>
      </c>
      <c r="H17" s="105" t="s">
        <v>526</v>
      </c>
      <c r="I17" s="105" t="s">
        <v>530</v>
      </c>
      <c r="J17" s="106" t="s">
        <v>565</v>
      </c>
      <c r="K17" s="104" t="s">
        <v>532</v>
      </c>
      <c r="L17" s="118" t="s">
        <v>566</v>
      </c>
      <c r="M17" s="99" t="s">
        <v>511</v>
      </c>
      <c r="N17" s="100" t="s">
        <v>534</v>
      </c>
    </row>
    <row r="18" spans="1:14" ht="12.5">
      <c r="A18" s="746" t="s">
        <v>567</v>
      </c>
      <c r="B18" s="103" t="s">
        <v>517</v>
      </c>
      <c r="C18" s="104">
        <v>15</v>
      </c>
      <c r="D18" s="104">
        <f t="shared" si="1"/>
        <v>34</v>
      </c>
      <c r="E18" s="104">
        <f t="shared" si="2"/>
        <v>43</v>
      </c>
      <c r="F18" s="104">
        <v>10</v>
      </c>
      <c r="G18" s="116" t="s">
        <v>568</v>
      </c>
      <c r="H18" s="105" t="s">
        <v>526</v>
      </c>
      <c r="I18" s="105" t="s">
        <v>530</v>
      </c>
      <c r="J18" s="106" t="s">
        <v>569</v>
      </c>
      <c r="K18" s="104" t="s">
        <v>532</v>
      </c>
      <c r="L18" s="118" t="s">
        <v>570</v>
      </c>
      <c r="M18" s="99" t="s">
        <v>511</v>
      </c>
      <c r="N18" s="100" t="s">
        <v>534</v>
      </c>
    </row>
    <row r="19" spans="1:14" ht="12.5">
      <c r="A19" s="115" t="s">
        <v>571</v>
      </c>
      <c r="B19" s="133" t="s">
        <v>572</v>
      </c>
      <c r="C19" s="108">
        <v>16</v>
      </c>
      <c r="D19" s="104">
        <f t="shared" si="1"/>
        <v>44</v>
      </c>
      <c r="E19" s="104">
        <f t="shared" si="2"/>
        <v>61</v>
      </c>
      <c r="F19" s="104">
        <v>18</v>
      </c>
      <c r="G19" s="106" t="s">
        <v>573</v>
      </c>
      <c r="H19" s="105" t="s">
        <v>526</v>
      </c>
      <c r="I19" s="105" t="s">
        <v>530</v>
      </c>
      <c r="J19" s="106" t="s">
        <v>574</v>
      </c>
      <c r="K19" s="104" t="s">
        <v>532</v>
      </c>
      <c r="L19" s="118" t="s">
        <v>575</v>
      </c>
      <c r="M19" s="99" t="s">
        <v>511</v>
      </c>
      <c r="N19" s="100" t="s">
        <v>534</v>
      </c>
    </row>
    <row r="20" spans="1:14" ht="12.5">
      <c r="A20" s="115" t="s">
        <v>576</v>
      </c>
      <c r="B20" s="103" t="s">
        <v>577</v>
      </c>
      <c r="C20" s="104">
        <v>17</v>
      </c>
      <c r="D20" s="104">
        <f t="shared" si="1"/>
        <v>62</v>
      </c>
      <c r="E20" s="104">
        <f t="shared" si="2"/>
        <v>66</v>
      </c>
      <c r="F20" s="104">
        <v>5</v>
      </c>
      <c r="G20" s="106" t="s">
        <v>578</v>
      </c>
      <c r="H20" s="105" t="s">
        <v>526</v>
      </c>
      <c r="I20" s="105" t="s">
        <v>530</v>
      </c>
      <c r="J20" s="106" t="s">
        <v>579</v>
      </c>
      <c r="K20" s="104" t="s">
        <v>532</v>
      </c>
      <c r="L20" s="118" t="s">
        <v>580</v>
      </c>
      <c r="M20" s="99" t="s">
        <v>511</v>
      </c>
      <c r="N20" s="100" t="s">
        <v>562</v>
      </c>
    </row>
    <row r="21" spans="1:14" ht="12.5">
      <c r="A21" s="115" t="s">
        <v>581</v>
      </c>
      <c r="B21" s="103" t="s">
        <v>582</v>
      </c>
      <c r="C21" s="108">
        <v>18</v>
      </c>
      <c r="D21" s="104">
        <f t="shared" si="1"/>
        <v>67</v>
      </c>
      <c r="E21" s="104">
        <f t="shared" si="2"/>
        <v>85</v>
      </c>
      <c r="F21" s="104">
        <v>19</v>
      </c>
      <c r="G21" s="106" t="s">
        <v>583</v>
      </c>
      <c r="H21" s="105" t="s">
        <v>526</v>
      </c>
      <c r="I21" s="105" t="s">
        <v>530</v>
      </c>
      <c r="J21" s="106" t="s">
        <v>584</v>
      </c>
      <c r="K21" s="104" t="s">
        <v>532</v>
      </c>
      <c r="L21" s="118" t="s">
        <v>585</v>
      </c>
      <c r="M21" s="99" t="s">
        <v>511</v>
      </c>
      <c r="N21" s="100" t="s">
        <v>562</v>
      </c>
    </row>
    <row r="22" spans="1:14" ht="12.5">
      <c r="A22" s="115" t="s">
        <v>586</v>
      </c>
      <c r="B22" s="133" t="s">
        <v>587</v>
      </c>
      <c r="C22" s="104">
        <v>19</v>
      </c>
      <c r="D22" s="104">
        <f t="shared" si="1"/>
        <v>86</v>
      </c>
      <c r="E22" s="104">
        <f t="shared" si="2"/>
        <v>97</v>
      </c>
      <c r="F22" s="104">
        <v>12</v>
      </c>
      <c r="G22" s="116" t="s">
        <v>588</v>
      </c>
      <c r="H22" s="105" t="s">
        <v>526</v>
      </c>
      <c r="I22" s="105" t="s">
        <v>530</v>
      </c>
      <c r="J22" s="106" t="s">
        <v>589</v>
      </c>
      <c r="K22" s="104" t="s">
        <v>532</v>
      </c>
      <c r="L22" s="118" t="s">
        <v>590</v>
      </c>
      <c r="M22" s="99" t="s">
        <v>511</v>
      </c>
      <c r="N22" s="100" t="s">
        <v>534</v>
      </c>
    </row>
    <row r="23" spans="1:14" ht="12.5">
      <c r="A23" s="115" t="s">
        <v>591</v>
      </c>
      <c r="B23" s="133" t="s">
        <v>592</v>
      </c>
      <c r="C23" s="108">
        <v>20</v>
      </c>
      <c r="D23" s="104">
        <f t="shared" si="1"/>
        <v>98</v>
      </c>
      <c r="E23" s="104">
        <f t="shared" si="2"/>
        <v>103</v>
      </c>
      <c r="F23" s="104">
        <v>6</v>
      </c>
      <c r="G23" s="106" t="s">
        <v>593</v>
      </c>
      <c r="H23" s="105" t="s">
        <v>526</v>
      </c>
      <c r="I23" s="105" t="s">
        <v>530</v>
      </c>
      <c r="J23" s="106" t="s">
        <v>594</v>
      </c>
      <c r="K23" s="104" t="s">
        <v>532</v>
      </c>
      <c r="L23" s="118" t="s">
        <v>595</v>
      </c>
      <c r="M23" s="99" t="s">
        <v>511</v>
      </c>
      <c r="N23" s="100" t="s">
        <v>562</v>
      </c>
    </row>
    <row r="24" spans="1:14" ht="12.5">
      <c r="A24" s="115" t="s">
        <v>596</v>
      </c>
      <c r="B24" s="103" t="s">
        <v>18</v>
      </c>
      <c r="C24" s="104">
        <v>21</v>
      </c>
      <c r="D24" s="104">
        <f t="shared" si="1"/>
        <v>104</v>
      </c>
      <c r="E24" s="104">
        <f t="shared" si="2"/>
        <v>104</v>
      </c>
      <c r="F24" s="104">
        <v>1</v>
      </c>
      <c r="G24" s="116" t="s">
        <v>597</v>
      </c>
      <c r="H24" s="105" t="s">
        <v>526</v>
      </c>
      <c r="I24" s="105" t="s">
        <v>530</v>
      </c>
      <c r="J24" s="106" t="s">
        <v>598</v>
      </c>
      <c r="K24" s="104" t="s">
        <v>532</v>
      </c>
      <c r="L24" s="118" t="s">
        <v>599</v>
      </c>
      <c r="M24" s="99" t="s">
        <v>511</v>
      </c>
      <c r="N24" s="100" t="s">
        <v>534</v>
      </c>
    </row>
    <row r="25" spans="1:14" ht="20.5">
      <c r="A25" s="746" t="s">
        <v>600</v>
      </c>
      <c r="B25" s="103" t="s">
        <v>528</v>
      </c>
      <c r="C25" s="108">
        <v>22</v>
      </c>
      <c r="D25" s="104">
        <f t="shared" si="1"/>
        <v>105</v>
      </c>
      <c r="E25" s="104">
        <f t="shared" si="2"/>
        <v>118</v>
      </c>
      <c r="F25" s="104">
        <v>14</v>
      </c>
      <c r="G25" s="106" t="s">
        <v>601</v>
      </c>
      <c r="H25" s="105" t="s">
        <v>526</v>
      </c>
      <c r="I25" s="105" t="s">
        <v>530</v>
      </c>
      <c r="J25" s="117" t="s">
        <v>602</v>
      </c>
      <c r="K25" s="104" t="s">
        <v>532</v>
      </c>
      <c r="L25" s="118" t="s">
        <v>603</v>
      </c>
      <c r="M25" s="99" t="s">
        <v>511</v>
      </c>
      <c r="N25" s="100" t="s">
        <v>534</v>
      </c>
    </row>
    <row r="26" spans="1:14" ht="30.5">
      <c r="A26" s="746" t="s">
        <v>604</v>
      </c>
      <c r="B26" s="103" t="s">
        <v>18</v>
      </c>
      <c r="C26" s="104">
        <v>23</v>
      </c>
      <c r="D26" s="104">
        <f t="shared" si="1"/>
        <v>119</v>
      </c>
      <c r="E26" s="104">
        <f t="shared" si="2"/>
        <v>119</v>
      </c>
      <c r="F26" s="104">
        <v>1</v>
      </c>
      <c r="G26" s="132" t="s">
        <v>605</v>
      </c>
      <c r="H26" s="105" t="s">
        <v>526</v>
      </c>
      <c r="I26" s="105" t="s">
        <v>530</v>
      </c>
      <c r="J26" s="106" t="s">
        <v>606</v>
      </c>
      <c r="K26" s="104" t="s">
        <v>532</v>
      </c>
      <c r="L26" s="118" t="s">
        <v>607</v>
      </c>
      <c r="M26" s="99" t="s">
        <v>511</v>
      </c>
      <c r="N26" s="100" t="s">
        <v>562</v>
      </c>
    </row>
    <row r="27" spans="1:14" ht="12.5">
      <c r="A27" s="115" t="s">
        <v>608</v>
      </c>
      <c r="B27" s="103" t="s">
        <v>609</v>
      </c>
      <c r="C27" s="108">
        <v>24</v>
      </c>
      <c r="D27" s="104">
        <f t="shared" si="1"/>
        <v>120</v>
      </c>
      <c r="E27" s="104">
        <f t="shared" si="2"/>
        <v>121</v>
      </c>
      <c r="F27" s="104">
        <v>2</v>
      </c>
      <c r="G27" s="116" t="s">
        <v>610</v>
      </c>
      <c r="H27" s="105" t="s">
        <v>526</v>
      </c>
      <c r="I27" s="105" t="s">
        <v>530</v>
      </c>
      <c r="J27" s="106" t="s">
        <v>611</v>
      </c>
      <c r="K27" s="104" t="s">
        <v>532</v>
      </c>
      <c r="L27" s="118" t="s">
        <v>612</v>
      </c>
      <c r="M27" s="99" t="s">
        <v>511</v>
      </c>
      <c r="N27" s="100" t="s">
        <v>534</v>
      </c>
    </row>
    <row r="28" spans="1:14" ht="12.5">
      <c r="A28" s="115" t="s">
        <v>613</v>
      </c>
      <c r="B28" s="103" t="s">
        <v>216</v>
      </c>
      <c r="C28" s="104">
        <v>25</v>
      </c>
      <c r="D28" s="104">
        <f t="shared" si="1"/>
        <v>122</v>
      </c>
      <c r="E28" s="104">
        <f t="shared" si="2"/>
        <v>129</v>
      </c>
      <c r="F28" s="104">
        <v>8</v>
      </c>
      <c r="G28" s="116" t="s">
        <v>614</v>
      </c>
      <c r="H28" s="105" t="s">
        <v>526</v>
      </c>
      <c r="I28" s="105" t="s">
        <v>530</v>
      </c>
      <c r="J28" s="106" t="s">
        <v>615</v>
      </c>
      <c r="K28" s="104" t="s">
        <v>532</v>
      </c>
      <c r="L28" s="118" t="s">
        <v>616</v>
      </c>
      <c r="M28" s="99" t="s">
        <v>511</v>
      </c>
      <c r="N28" s="100" t="s">
        <v>534</v>
      </c>
    </row>
    <row r="29" spans="1:14" ht="12.5">
      <c r="A29" s="115" t="s">
        <v>617</v>
      </c>
      <c r="B29" s="103" t="s">
        <v>216</v>
      </c>
      <c r="C29" s="108">
        <v>26</v>
      </c>
      <c r="D29" s="104">
        <f t="shared" si="1"/>
        <v>130</v>
      </c>
      <c r="E29" s="104">
        <f t="shared" si="2"/>
        <v>137</v>
      </c>
      <c r="F29" s="104">
        <v>8</v>
      </c>
      <c r="G29" s="116" t="s">
        <v>618</v>
      </c>
      <c r="H29" s="105" t="s">
        <v>526</v>
      </c>
      <c r="I29" s="105" t="s">
        <v>530</v>
      </c>
      <c r="J29" s="106" t="s">
        <v>619</v>
      </c>
      <c r="K29" s="104" t="s">
        <v>532</v>
      </c>
      <c r="L29" s="118" t="s">
        <v>620</v>
      </c>
      <c r="M29" s="99" t="s">
        <v>511</v>
      </c>
      <c r="N29" s="100" t="s">
        <v>534</v>
      </c>
    </row>
    <row r="30" spans="1:14" ht="12.5">
      <c r="A30" s="115" t="s">
        <v>621</v>
      </c>
      <c r="B30" s="103" t="s">
        <v>216</v>
      </c>
      <c r="C30" s="104">
        <v>27</v>
      </c>
      <c r="D30" s="104">
        <f t="shared" si="1"/>
        <v>138</v>
      </c>
      <c r="E30" s="104">
        <f t="shared" si="2"/>
        <v>145</v>
      </c>
      <c r="F30" s="104">
        <v>8</v>
      </c>
      <c r="G30" s="116" t="s">
        <v>622</v>
      </c>
      <c r="H30" s="105" t="s">
        <v>526</v>
      </c>
      <c r="I30" s="105" t="s">
        <v>530</v>
      </c>
      <c r="J30" s="106" t="s">
        <v>623</v>
      </c>
      <c r="K30" s="104" t="s">
        <v>532</v>
      </c>
      <c r="L30" s="118" t="s">
        <v>624</v>
      </c>
      <c r="M30" s="99" t="s">
        <v>511</v>
      </c>
      <c r="N30" s="100" t="s">
        <v>534</v>
      </c>
    </row>
    <row r="31" spans="1:14" ht="12.5">
      <c r="A31" s="134" t="s">
        <v>625</v>
      </c>
      <c r="B31" s="103" t="s">
        <v>626</v>
      </c>
      <c r="C31" s="108">
        <v>28</v>
      </c>
      <c r="D31" s="104">
        <f t="shared" si="1"/>
        <v>146</v>
      </c>
      <c r="E31" s="104">
        <f t="shared" si="2"/>
        <v>148</v>
      </c>
      <c r="F31" s="104">
        <v>3</v>
      </c>
      <c r="G31" s="116" t="s">
        <v>627</v>
      </c>
      <c r="H31" s="105" t="s">
        <v>526</v>
      </c>
      <c r="I31" s="105" t="s">
        <v>530</v>
      </c>
      <c r="J31" s="106" t="s">
        <v>628</v>
      </c>
      <c r="K31" s="104" t="s">
        <v>532</v>
      </c>
      <c r="L31" s="118" t="s">
        <v>629</v>
      </c>
      <c r="M31" s="99" t="s">
        <v>511</v>
      </c>
      <c r="N31" s="100"/>
    </row>
    <row r="32" spans="1:14" ht="12.5">
      <c r="A32" s="134" t="s">
        <v>630</v>
      </c>
      <c r="B32" s="103" t="s">
        <v>631</v>
      </c>
      <c r="C32" s="104">
        <v>29</v>
      </c>
      <c r="D32" s="104">
        <f t="shared" si="1"/>
        <v>149</v>
      </c>
      <c r="E32" s="104">
        <f t="shared" si="2"/>
        <v>155</v>
      </c>
      <c r="F32" s="104">
        <v>7</v>
      </c>
      <c r="G32" s="116" t="s">
        <v>632</v>
      </c>
      <c r="H32" s="105" t="s">
        <v>526</v>
      </c>
      <c r="I32" s="105" t="s">
        <v>530</v>
      </c>
      <c r="J32" s="106" t="s">
        <v>633</v>
      </c>
      <c r="K32" s="104" t="s">
        <v>532</v>
      </c>
      <c r="L32" s="118" t="s">
        <v>634</v>
      </c>
      <c r="M32" s="99" t="s">
        <v>511</v>
      </c>
      <c r="N32" s="100"/>
    </row>
    <row r="33" spans="1:14" ht="20.5">
      <c r="A33" s="135" t="s">
        <v>635</v>
      </c>
      <c r="B33" s="103" t="s">
        <v>18</v>
      </c>
      <c r="C33" s="108">
        <v>30</v>
      </c>
      <c r="D33" s="104">
        <f t="shared" si="1"/>
        <v>156</v>
      </c>
      <c r="E33" s="104">
        <f t="shared" si="2"/>
        <v>156</v>
      </c>
      <c r="F33" s="104">
        <v>1</v>
      </c>
      <c r="G33" s="132" t="s">
        <v>636</v>
      </c>
      <c r="H33" s="105" t="s">
        <v>526</v>
      </c>
      <c r="I33" s="105" t="s">
        <v>530</v>
      </c>
      <c r="J33" s="106" t="s">
        <v>637</v>
      </c>
      <c r="K33" s="104" t="s">
        <v>532</v>
      </c>
      <c r="L33" s="118" t="s">
        <v>638</v>
      </c>
      <c r="M33" s="99" t="s">
        <v>511</v>
      </c>
      <c r="N33" s="100" t="s">
        <v>534</v>
      </c>
    </row>
    <row r="34" spans="1:14" ht="70.5">
      <c r="A34" s="135" t="s">
        <v>639</v>
      </c>
      <c r="B34" s="103" t="s">
        <v>18</v>
      </c>
      <c r="C34" s="104">
        <v>31</v>
      </c>
      <c r="D34" s="104">
        <f t="shared" si="1"/>
        <v>157</v>
      </c>
      <c r="E34" s="104">
        <f t="shared" si="2"/>
        <v>157</v>
      </c>
      <c r="F34" s="104">
        <v>1</v>
      </c>
      <c r="G34" s="132" t="s">
        <v>640</v>
      </c>
      <c r="H34" s="105" t="s">
        <v>526</v>
      </c>
      <c r="I34" s="105" t="s">
        <v>530</v>
      </c>
      <c r="J34" s="106" t="s">
        <v>641</v>
      </c>
      <c r="K34" s="104" t="s">
        <v>532</v>
      </c>
      <c r="L34" s="118" t="s">
        <v>642</v>
      </c>
      <c r="M34" s="99" t="s">
        <v>511</v>
      </c>
      <c r="N34" s="100" t="s">
        <v>534</v>
      </c>
    </row>
    <row r="35" spans="1:14" ht="20.5">
      <c r="A35" s="135" t="s">
        <v>643</v>
      </c>
      <c r="B35" s="103" t="s">
        <v>18</v>
      </c>
      <c r="C35" s="108">
        <v>32</v>
      </c>
      <c r="D35" s="104">
        <f t="shared" si="1"/>
        <v>158</v>
      </c>
      <c r="E35" s="104">
        <f t="shared" si="2"/>
        <v>158</v>
      </c>
      <c r="F35" s="104">
        <v>1</v>
      </c>
      <c r="G35" s="132" t="s">
        <v>644</v>
      </c>
      <c r="H35" s="105" t="s">
        <v>526</v>
      </c>
      <c r="I35" s="105" t="s">
        <v>530</v>
      </c>
      <c r="J35" s="106" t="s">
        <v>645</v>
      </c>
      <c r="K35" s="104" t="s">
        <v>532</v>
      </c>
      <c r="L35" s="118" t="s">
        <v>646</v>
      </c>
      <c r="M35" s="99" t="s">
        <v>511</v>
      </c>
      <c r="N35" s="100" t="s">
        <v>534</v>
      </c>
    </row>
    <row r="36" spans="1:14" s="750" customFormat="1" ht="20.5">
      <c r="A36" s="751" t="s">
        <v>647</v>
      </c>
      <c r="B36" s="730" t="s">
        <v>18</v>
      </c>
      <c r="C36" s="731">
        <v>33</v>
      </c>
      <c r="D36" s="731">
        <f t="shared" si="1"/>
        <v>159</v>
      </c>
      <c r="E36" s="731">
        <f t="shared" si="2"/>
        <v>159</v>
      </c>
      <c r="F36" s="731">
        <v>1</v>
      </c>
      <c r="G36" s="732" t="s">
        <v>648</v>
      </c>
      <c r="H36" s="733" t="s">
        <v>526</v>
      </c>
      <c r="I36" s="733" t="s">
        <v>530</v>
      </c>
      <c r="J36" s="734" t="s">
        <v>649</v>
      </c>
      <c r="K36" s="731" t="s">
        <v>532</v>
      </c>
      <c r="L36" s="747" t="s">
        <v>650</v>
      </c>
      <c r="M36" s="748" t="s">
        <v>511</v>
      </c>
      <c r="N36" s="749" t="s">
        <v>534</v>
      </c>
    </row>
    <row r="37" spans="1:14" ht="20.5">
      <c r="A37" s="729" t="s">
        <v>651</v>
      </c>
      <c r="B37" s="730" t="s">
        <v>18</v>
      </c>
      <c r="C37" s="632">
        <v>34</v>
      </c>
      <c r="D37" s="731">
        <f t="shared" si="1"/>
        <v>160</v>
      </c>
      <c r="E37" s="731">
        <f t="shared" si="2"/>
        <v>160</v>
      </c>
      <c r="F37" s="731">
        <v>1</v>
      </c>
      <c r="G37" s="732" t="s">
        <v>652</v>
      </c>
      <c r="H37" s="733" t="s">
        <v>526</v>
      </c>
      <c r="I37" s="733" t="s">
        <v>530</v>
      </c>
      <c r="J37" s="734" t="s">
        <v>653</v>
      </c>
      <c r="K37" s="104" t="s">
        <v>532</v>
      </c>
      <c r="L37" s="118" t="s">
        <v>654</v>
      </c>
      <c r="M37" s="99" t="s">
        <v>511</v>
      </c>
      <c r="N37" s="100" t="s">
        <v>534</v>
      </c>
    </row>
    <row r="38" spans="1:14" ht="12.5">
      <c r="A38" s="729" t="s">
        <v>655</v>
      </c>
      <c r="B38" s="730" t="s">
        <v>18</v>
      </c>
      <c r="C38" s="731">
        <v>35</v>
      </c>
      <c r="D38" s="731">
        <f t="shared" si="1"/>
        <v>161</v>
      </c>
      <c r="E38" s="731">
        <f t="shared" si="2"/>
        <v>161</v>
      </c>
      <c r="F38" s="731">
        <v>1</v>
      </c>
      <c r="G38" s="732" t="s">
        <v>656</v>
      </c>
      <c r="H38" s="733" t="s">
        <v>526</v>
      </c>
      <c r="I38" s="733" t="s">
        <v>530</v>
      </c>
      <c r="J38" s="734" t="s">
        <v>657</v>
      </c>
      <c r="K38" s="104" t="s">
        <v>532</v>
      </c>
      <c r="L38" s="118" t="s">
        <v>658</v>
      </c>
      <c r="M38" s="99" t="s">
        <v>511</v>
      </c>
      <c r="N38" s="100" t="s">
        <v>534</v>
      </c>
    </row>
    <row r="39" spans="1:14" ht="20.5">
      <c r="A39" s="135" t="s">
        <v>659</v>
      </c>
      <c r="B39" s="103" t="s">
        <v>18</v>
      </c>
      <c r="C39" s="108">
        <v>36</v>
      </c>
      <c r="D39" s="104">
        <f t="shared" si="1"/>
        <v>162</v>
      </c>
      <c r="E39" s="104">
        <f t="shared" si="2"/>
        <v>162</v>
      </c>
      <c r="F39" s="104">
        <v>1</v>
      </c>
      <c r="G39" s="132" t="s">
        <v>660</v>
      </c>
      <c r="H39" s="105" t="s">
        <v>526</v>
      </c>
      <c r="I39" s="105" t="s">
        <v>530</v>
      </c>
      <c r="J39" s="106" t="s">
        <v>661</v>
      </c>
      <c r="K39" s="104" t="s">
        <v>532</v>
      </c>
      <c r="L39" s="118" t="s">
        <v>662</v>
      </c>
      <c r="M39" s="99" t="s">
        <v>511</v>
      </c>
      <c r="N39" s="100" t="s">
        <v>534</v>
      </c>
    </row>
    <row r="40" spans="1:14" ht="12.5">
      <c r="A40" s="136" t="s">
        <v>663</v>
      </c>
      <c r="B40" s="103" t="s">
        <v>18</v>
      </c>
      <c r="C40" s="104">
        <v>37</v>
      </c>
      <c r="D40" s="104">
        <f t="shared" si="1"/>
        <v>163</v>
      </c>
      <c r="E40" s="104">
        <f t="shared" si="2"/>
        <v>163</v>
      </c>
      <c r="F40" s="104">
        <v>1</v>
      </c>
      <c r="G40" s="132" t="s">
        <v>664</v>
      </c>
      <c r="H40" s="105" t="s">
        <v>526</v>
      </c>
      <c r="I40" s="105" t="s">
        <v>530</v>
      </c>
      <c r="J40" s="106" t="s">
        <v>665</v>
      </c>
      <c r="K40" s="104" t="s">
        <v>666</v>
      </c>
      <c r="L40" s="118" t="s">
        <v>667</v>
      </c>
      <c r="M40" s="99" t="s">
        <v>511</v>
      </c>
      <c r="N40" s="100" t="s">
        <v>562</v>
      </c>
    </row>
    <row r="41" spans="1:14" ht="30.5">
      <c r="A41" s="136" t="s">
        <v>668</v>
      </c>
      <c r="B41" s="103" t="s">
        <v>517</v>
      </c>
      <c r="C41" s="108">
        <v>38</v>
      </c>
      <c r="D41" s="104">
        <f t="shared" si="1"/>
        <v>164</v>
      </c>
      <c r="E41" s="104">
        <f t="shared" si="2"/>
        <v>173</v>
      </c>
      <c r="F41" s="104">
        <v>10</v>
      </c>
      <c r="G41" s="132" t="s">
        <v>669</v>
      </c>
      <c r="H41" s="105" t="s">
        <v>526</v>
      </c>
      <c r="I41" s="105" t="s">
        <v>530</v>
      </c>
      <c r="J41" s="117" t="s">
        <v>670</v>
      </c>
      <c r="K41" s="104"/>
      <c r="L41" s="118" t="s">
        <v>671</v>
      </c>
      <c r="M41" s="99" t="s">
        <v>511</v>
      </c>
      <c r="N41" s="100"/>
    </row>
    <row r="42" spans="1:14" ht="90.5">
      <c r="A42" s="136" t="s">
        <v>672</v>
      </c>
      <c r="B42" s="103" t="s">
        <v>547</v>
      </c>
      <c r="C42" s="104">
        <v>39</v>
      </c>
      <c r="D42" s="104">
        <f t="shared" si="1"/>
        <v>174</v>
      </c>
      <c r="E42" s="104">
        <f t="shared" si="2"/>
        <v>175</v>
      </c>
      <c r="F42" s="104">
        <v>2</v>
      </c>
      <c r="G42" s="132" t="s">
        <v>673</v>
      </c>
      <c r="H42" s="105" t="s">
        <v>526</v>
      </c>
      <c r="I42" s="105" t="s">
        <v>530</v>
      </c>
      <c r="J42" s="11" t="s">
        <v>674</v>
      </c>
      <c r="K42" s="104"/>
      <c r="L42" s="118" t="s">
        <v>675</v>
      </c>
      <c r="M42" s="130"/>
      <c r="N42" s="100"/>
    </row>
    <row r="43" spans="1:14" ht="12.5">
      <c r="A43" s="136" t="s">
        <v>676</v>
      </c>
      <c r="B43" s="103" t="s">
        <v>216</v>
      </c>
      <c r="C43" s="108">
        <v>40</v>
      </c>
      <c r="D43" s="104">
        <f t="shared" si="1"/>
        <v>176</v>
      </c>
      <c r="E43" s="104">
        <f t="shared" si="2"/>
        <v>183</v>
      </c>
      <c r="F43" s="104">
        <v>8</v>
      </c>
      <c r="G43" s="132" t="s">
        <v>519</v>
      </c>
      <c r="H43" s="105" t="s">
        <v>526</v>
      </c>
      <c r="I43" s="105" t="s">
        <v>530</v>
      </c>
      <c r="J43" s="106" t="s">
        <v>677</v>
      </c>
      <c r="K43" s="104"/>
      <c r="L43" s="118" t="s">
        <v>678</v>
      </c>
      <c r="M43" s="130"/>
      <c r="N43" s="100"/>
    </row>
    <row r="44" spans="1:14" s="147" customFormat="1" ht="52.5">
      <c r="A44" s="752" t="s">
        <v>679</v>
      </c>
      <c r="B44" s="138" t="s">
        <v>18</v>
      </c>
      <c r="C44" s="139">
        <v>41</v>
      </c>
      <c r="D44" s="139">
        <f t="shared" si="1"/>
        <v>184</v>
      </c>
      <c r="E44" s="139">
        <f t="shared" si="2"/>
        <v>184</v>
      </c>
      <c r="F44" s="139">
        <v>1</v>
      </c>
      <c r="G44" s="140" t="s">
        <v>680</v>
      </c>
      <c r="H44" s="141" t="s">
        <v>526</v>
      </c>
      <c r="I44" s="142" t="s">
        <v>681</v>
      </c>
      <c r="J44" s="143" t="s">
        <v>682</v>
      </c>
      <c r="K44" s="139" t="s">
        <v>683</v>
      </c>
      <c r="L44" s="144" t="s">
        <v>684</v>
      </c>
      <c r="M44" s="145"/>
      <c r="N44" s="146"/>
    </row>
    <row r="45" spans="1:14" s="745" customFormat="1" ht="12.5">
      <c r="A45" s="752" t="s">
        <v>685</v>
      </c>
      <c r="B45" s="735" t="s">
        <v>18</v>
      </c>
      <c r="C45" s="741">
        <v>42</v>
      </c>
      <c r="D45" s="736">
        <f t="shared" si="1"/>
        <v>185</v>
      </c>
      <c r="E45" s="736">
        <f t="shared" si="2"/>
        <v>185</v>
      </c>
      <c r="F45" s="736">
        <v>1</v>
      </c>
      <c r="G45" s="737" t="s">
        <v>686</v>
      </c>
      <c r="H45" s="738" t="s">
        <v>526</v>
      </c>
      <c r="I45" s="739" t="s">
        <v>687</v>
      </c>
      <c r="J45" s="740" t="s">
        <v>688</v>
      </c>
      <c r="K45" s="736" t="s">
        <v>683</v>
      </c>
      <c r="L45" s="742" t="s">
        <v>689</v>
      </c>
      <c r="M45" s="743"/>
      <c r="N45" s="744"/>
    </row>
    <row r="46" spans="1:14" s="147" customFormat="1" ht="12.5">
      <c r="A46" s="752" t="s">
        <v>690</v>
      </c>
      <c r="B46" s="735" t="s">
        <v>691</v>
      </c>
      <c r="C46" s="736">
        <v>43</v>
      </c>
      <c r="D46" s="736">
        <f t="shared" si="1"/>
        <v>186</v>
      </c>
      <c r="E46" s="736">
        <f t="shared" si="2"/>
        <v>199</v>
      </c>
      <c r="F46" s="736">
        <v>14</v>
      </c>
      <c r="G46" s="737" t="s">
        <v>692</v>
      </c>
      <c r="H46" s="738" t="s">
        <v>526</v>
      </c>
      <c r="I46" s="739" t="s">
        <v>687</v>
      </c>
      <c r="J46" s="740" t="s">
        <v>693</v>
      </c>
      <c r="K46" s="139" t="s">
        <v>683</v>
      </c>
      <c r="L46" s="144" t="s">
        <v>694</v>
      </c>
      <c r="M46" s="145"/>
      <c r="N46" s="146"/>
    </row>
    <row r="47" spans="1:14" s="147" customFormat="1" ht="12.5">
      <c r="A47" s="137" t="s">
        <v>695</v>
      </c>
      <c r="B47" s="138" t="s">
        <v>696</v>
      </c>
      <c r="C47" s="148">
        <v>44</v>
      </c>
      <c r="D47" s="139">
        <f t="shared" si="1"/>
        <v>200</v>
      </c>
      <c r="E47" s="139">
        <f t="shared" si="2"/>
        <v>200</v>
      </c>
      <c r="F47" s="139">
        <v>1</v>
      </c>
      <c r="G47" s="140" t="s">
        <v>697</v>
      </c>
      <c r="H47" s="141" t="s">
        <v>526</v>
      </c>
      <c r="I47" s="142" t="s">
        <v>687</v>
      </c>
      <c r="J47" s="149" t="s">
        <v>698</v>
      </c>
      <c r="K47" s="139" t="s">
        <v>683</v>
      </c>
      <c r="L47" s="144" t="s">
        <v>699</v>
      </c>
      <c r="M47" s="145"/>
      <c r="N47" s="146"/>
    </row>
    <row r="48" spans="1:14" s="23" customFormat="1">
      <c r="A48" s="18" t="s">
        <v>522</v>
      </c>
      <c r="B48" s="18" t="s">
        <v>18</v>
      </c>
      <c r="C48" s="104">
        <v>45</v>
      </c>
      <c r="D48" s="104">
        <f t="shared" si="1"/>
        <v>201</v>
      </c>
      <c r="E48" s="104">
        <f t="shared" si="2"/>
        <v>201</v>
      </c>
      <c r="F48" s="19">
        <v>1</v>
      </c>
      <c r="G48" s="18" t="s">
        <v>523</v>
      </c>
      <c r="H48" s="20"/>
      <c r="I48" s="20"/>
      <c r="J48" s="18"/>
      <c r="K48" s="19"/>
      <c r="L48" s="19"/>
      <c r="M48" s="21"/>
      <c r="N48" s="22"/>
    </row>
    <row r="49" spans="1:14" ht="42">
      <c r="A49" s="93" t="s">
        <v>700</v>
      </c>
      <c r="B49" s="94" t="s">
        <v>14</v>
      </c>
      <c r="C49" s="112"/>
      <c r="D49" s="94">
        <v>1</v>
      </c>
      <c r="E49" s="94">
        <f>E52</f>
        <v>11</v>
      </c>
      <c r="F49" s="94">
        <f>SUM(F50:F52)</f>
        <v>11</v>
      </c>
      <c r="G49" s="150"/>
      <c r="H49" s="150"/>
      <c r="I49" s="150"/>
      <c r="J49" s="151"/>
      <c r="K49" s="150" t="s">
        <v>204</v>
      </c>
      <c r="L49" s="150"/>
      <c r="M49" s="99" t="s">
        <v>511</v>
      </c>
      <c r="N49" s="100"/>
    </row>
    <row r="50" spans="1:14" ht="21">
      <c r="A50" s="152" t="s">
        <v>17</v>
      </c>
      <c r="B50" s="103" t="s">
        <v>18</v>
      </c>
      <c r="C50" s="104">
        <v>46</v>
      </c>
      <c r="D50" s="104">
        <v>1</v>
      </c>
      <c r="E50" s="104">
        <v>1</v>
      </c>
      <c r="F50" s="104">
        <v>1</v>
      </c>
      <c r="G50" s="105" t="s">
        <v>701</v>
      </c>
      <c r="H50" s="105"/>
      <c r="I50" s="105"/>
      <c r="J50" s="106"/>
      <c r="K50" s="104"/>
      <c r="L50" s="107"/>
      <c r="M50" s="99" t="s">
        <v>511</v>
      </c>
      <c r="N50" s="100"/>
    </row>
    <row r="51" spans="1:14" ht="20">
      <c r="A51" s="115" t="s">
        <v>206</v>
      </c>
      <c r="B51" s="103" t="s">
        <v>207</v>
      </c>
      <c r="C51" s="104">
        <v>46</v>
      </c>
      <c r="D51" s="19">
        <f>E50+1</f>
        <v>2</v>
      </c>
      <c r="E51" s="104">
        <f>D51+F51-1</f>
        <v>10</v>
      </c>
      <c r="F51" s="104">
        <v>9</v>
      </c>
      <c r="G51" s="105" t="s">
        <v>233</v>
      </c>
      <c r="H51" s="105"/>
      <c r="I51" s="105"/>
      <c r="J51" s="106"/>
      <c r="K51" s="104"/>
      <c r="L51" s="107"/>
      <c r="M51" s="99" t="s">
        <v>511</v>
      </c>
      <c r="N51" s="100"/>
    </row>
    <row r="52" spans="1:14" s="23" customFormat="1">
      <c r="A52" s="18" t="s">
        <v>522</v>
      </c>
      <c r="B52" s="18" t="s">
        <v>18</v>
      </c>
      <c r="C52" s="104">
        <v>46</v>
      </c>
      <c r="D52" s="19">
        <f>E51+1</f>
        <v>11</v>
      </c>
      <c r="E52" s="104">
        <f>D52+F52-1</f>
        <v>11</v>
      </c>
      <c r="F52" s="19">
        <v>1</v>
      </c>
      <c r="G52" s="18" t="s">
        <v>523</v>
      </c>
      <c r="H52" s="20"/>
      <c r="I52" s="20"/>
      <c r="J52" s="18"/>
      <c r="K52" s="19"/>
      <c r="L52" s="19"/>
      <c r="M52" s="21"/>
      <c r="N52" s="22"/>
    </row>
    <row r="53" spans="1:14">
      <c r="M53" s="158"/>
    </row>
    <row r="54" spans="1:14">
      <c r="M54" s="158"/>
    </row>
    <row r="55" spans="1:14">
      <c r="M55" s="158"/>
    </row>
    <row r="56" spans="1:14">
      <c r="M56" s="158"/>
    </row>
    <row r="57" spans="1:14">
      <c r="M57" s="158"/>
    </row>
    <row r="58" spans="1:14">
      <c r="M58" s="158"/>
    </row>
    <row r="59" spans="1:14">
      <c r="M59" s="158"/>
    </row>
    <row r="60" spans="1:14">
      <c r="M60" s="158"/>
    </row>
    <row r="61" spans="1:14">
      <c r="M61" s="158"/>
    </row>
    <row r="62" spans="1:14">
      <c r="M62" s="158"/>
    </row>
    <row r="63" spans="1:14">
      <c r="M63" s="158"/>
    </row>
    <row r="64" spans="1:14">
      <c r="M64" s="158"/>
    </row>
    <row r="65" spans="13:13">
      <c r="M65" s="158"/>
    </row>
    <row r="66" spans="13:13">
      <c r="M66" s="158"/>
    </row>
    <row r="67" spans="13:13">
      <c r="M67" s="158"/>
    </row>
    <row r="68" spans="13:13">
      <c r="M68" s="158"/>
    </row>
    <row r="69" spans="13:13">
      <c r="M69" s="158"/>
    </row>
    <row r="70" spans="13:13">
      <c r="M70" s="158"/>
    </row>
    <row r="71" spans="13:13">
      <c r="M71" s="158"/>
    </row>
    <row r="72" spans="13:13">
      <c r="M72" s="158"/>
    </row>
    <row r="73" spans="13:13">
      <c r="M73" s="158"/>
    </row>
    <row r="74" spans="13:13">
      <c r="M74" s="158"/>
    </row>
    <row r="75" spans="13:13">
      <c r="M75" s="158"/>
    </row>
    <row r="76" spans="13:13">
      <c r="M76" s="158"/>
    </row>
    <row r="77" spans="13:13">
      <c r="M77" s="158"/>
    </row>
    <row r="78" spans="13:13">
      <c r="M78" s="158"/>
    </row>
    <row r="79" spans="13:13">
      <c r="M79" s="158"/>
    </row>
    <row r="80" spans="13:13">
      <c r="M80" s="158"/>
    </row>
    <row r="81" spans="13:13">
      <c r="M81" s="158"/>
    </row>
    <row r="82" spans="13:13">
      <c r="M82" s="158"/>
    </row>
    <row r="83" spans="13:13">
      <c r="M83" s="158"/>
    </row>
    <row r="84" spans="13:13">
      <c r="M84" s="158"/>
    </row>
    <row r="85" spans="13:13">
      <c r="M85" s="158"/>
    </row>
    <row r="86" spans="13:13">
      <c r="M86" s="158"/>
    </row>
    <row r="87" spans="13:13">
      <c r="M87" s="158"/>
    </row>
    <row r="88" spans="13:13">
      <c r="M88" s="158"/>
    </row>
    <row r="89" spans="13:13">
      <c r="M89" s="158"/>
    </row>
    <row r="90" spans="13:13">
      <c r="M90" s="158"/>
    </row>
    <row r="91" spans="13:13">
      <c r="M91" s="158"/>
    </row>
    <row r="92" spans="13:13">
      <c r="M92" s="158"/>
    </row>
    <row r="93" spans="13:13">
      <c r="M93" s="158"/>
    </row>
    <row r="94" spans="13:13">
      <c r="M94" s="158"/>
    </row>
    <row r="95" spans="13:13">
      <c r="M95" s="158"/>
    </row>
    <row r="96" spans="13:13">
      <c r="M96" s="158"/>
    </row>
    <row r="97" spans="13:13">
      <c r="M97" s="158"/>
    </row>
    <row r="98" spans="13:13">
      <c r="M98" s="158"/>
    </row>
    <row r="99" spans="13:13">
      <c r="M99" s="158"/>
    </row>
    <row r="100" spans="13:13">
      <c r="M100" s="158"/>
    </row>
    <row r="101" spans="13:13">
      <c r="M101" s="158"/>
    </row>
    <row r="102" spans="13:13">
      <c r="M102" s="158"/>
    </row>
    <row r="103" spans="13:13">
      <c r="M103" s="158"/>
    </row>
    <row r="104" spans="13:13">
      <c r="M104" s="158"/>
    </row>
    <row r="105" spans="13:13">
      <c r="M105" s="158"/>
    </row>
    <row r="106" spans="13:13">
      <c r="M106" s="158"/>
    </row>
    <row r="107" spans="13:13">
      <c r="M107" s="158"/>
    </row>
    <row r="108" spans="13:13">
      <c r="M108" s="158"/>
    </row>
    <row r="109" spans="13:13">
      <c r="M109" s="158"/>
    </row>
    <row r="110" spans="13:13">
      <c r="M110" s="158"/>
    </row>
    <row r="111" spans="13:13">
      <c r="M111" s="158"/>
    </row>
    <row r="112" spans="13:13">
      <c r="M112" s="158"/>
    </row>
    <row r="113" spans="13:13">
      <c r="M113" s="158"/>
    </row>
    <row r="114" spans="13:13">
      <c r="M114" s="158"/>
    </row>
    <row r="115" spans="13:13">
      <c r="M115" s="158"/>
    </row>
    <row r="116" spans="13:13">
      <c r="M116" s="158"/>
    </row>
    <row r="117" spans="13:13">
      <c r="M117" s="158"/>
    </row>
    <row r="118" spans="13:13">
      <c r="M118" s="158"/>
    </row>
    <row r="119" spans="13:13">
      <c r="M119" s="158"/>
    </row>
    <row r="120" spans="13:13">
      <c r="M120" s="158"/>
    </row>
    <row r="121" spans="13:13">
      <c r="M121" s="158"/>
    </row>
    <row r="122" spans="13:13">
      <c r="M122" s="158"/>
    </row>
    <row r="123" spans="13:13">
      <c r="M123" s="158"/>
    </row>
    <row r="124" spans="13:13">
      <c r="M124" s="158"/>
    </row>
    <row r="125" spans="13:13">
      <c r="M125" s="158"/>
    </row>
    <row r="126" spans="13:13">
      <c r="M126" s="158"/>
    </row>
    <row r="127" spans="13:13">
      <c r="M127" s="158"/>
    </row>
    <row r="128" spans="13:13">
      <c r="M128" s="158"/>
    </row>
    <row r="129" spans="13:13">
      <c r="M129" s="158"/>
    </row>
    <row r="130" spans="13:13">
      <c r="M130" s="158"/>
    </row>
    <row r="131" spans="13:13">
      <c r="M131" s="158"/>
    </row>
    <row r="132" spans="13:13">
      <c r="M132" s="158"/>
    </row>
    <row r="133" spans="13:13">
      <c r="M133" s="158"/>
    </row>
  </sheetData>
  <pageMargins left="0.75" right="0.75" top="1" bottom="1" header="0.5" footer="0.5"/>
  <pageSetup paperSize="9" orientation="portrait" horizontalDpi="300" verticalDpi="300" r:id="rId1"/>
  <headerFooter alignWithMargins="0">
    <oddHeader>&amp;L&amp;"Arial"&amp;9&amp;K0078D7 INTERNAL&amp;1#_x000D_</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F2D6C-0B61-4507-8614-3031235F0AFF}">
  <sheetPr codeName="Sheet16">
    <tabColor indexed="14"/>
  </sheetPr>
  <dimension ref="A1:N137"/>
  <sheetViews>
    <sheetView topLeftCell="A26" zoomScale="130" zoomScaleNormal="130" workbookViewId="0">
      <selection activeCell="A28" sqref="A28"/>
    </sheetView>
  </sheetViews>
  <sheetFormatPr defaultRowHeight="10"/>
  <cols>
    <col min="1" max="1" width="24.7265625" style="43" bestFit="1" customWidth="1"/>
    <col min="2" max="2" width="18.7265625" style="44" bestFit="1" customWidth="1"/>
    <col min="3" max="3" width="8.1796875" style="44" customWidth="1"/>
    <col min="4" max="5" width="8.26953125" style="44" customWidth="1"/>
    <col min="6" max="6" width="7.26953125" style="44" customWidth="1"/>
    <col min="7" max="7" width="17.1796875" style="46" customWidth="1"/>
    <col min="8" max="8" width="20.7265625" style="46" customWidth="1"/>
    <col min="9" max="9" width="20.81640625" style="46" customWidth="1"/>
    <col min="10" max="10" width="19.54296875" style="44" bestFit="1" customWidth="1"/>
    <col min="11" max="11" width="9.1796875" style="44"/>
    <col min="12" max="12" width="22.1796875" style="87" customWidth="1"/>
    <col min="13" max="13" width="13.26953125" style="11" customWidth="1"/>
    <col min="14" max="256" width="9.1796875" style="11"/>
    <col min="257" max="257" width="24.7265625" style="11" bestFit="1" customWidth="1"/>
    <col min="258" max="258" width="18.7265625" style="11" bestFit="1" customWidth="1"/>
    <col min="259" max="259" width="8.1796875" style="11" customWidth="1"/>
    <col min="260" max="261" width="8.26953125" style="11" customWidth="1"/>
    <col min="262" max="262" width="7.26953125" style="11" customWidth="1"/>
    <col min="263" max="263" width="17.1796875" style="11" customWidth="1"/>
    <col min="264" max="264" width="20.7265625" style="11" customWidth="1"/>
    <col min="265" max="265" width="20.81640625" style="11" customWidth="1"/>
    <col min="266" max="266" width="19.54296875" style="11" bestFit="1" customWidth="1"/>
    <col min="267" max="267" width="9.1796875" style="11"/>
    <col min="268" max="268" width="22.1796875" style="11" customWidth="1"/>
    <col min="269" max="269" width="13.26953125" style="11" customWidth="1"/>
    <col min="270" max="512" width="9.1796875" style="11"/>
    <col min="513" max="513" width="24.7265625" style="11" bestFit="1" customWidth="1"/>
    <col min="514" max="514" width="18.7265625" style="11" bestFit="1" customWidth="1"/>
    <col min="515" max="515" width="8.1796875" style="11" customWidth="1"/>
    <col min="516" max="517" width="8.26953125" style="11" customWidth="1"/>
    <col min="518" max="518" width="7.26953125" style="11" customWidth="1"/>
    <col min="519" max="519" width="17.1796875" style="11" customWidth="1"/>
    <col min="520" max="520" width="20.7265625" style="11" customWidth="1"/>
    <col min="521" max="521" width="20.81640625" style="11" customWidth="1"/>
    <col min="522" max="522" width="19.54296875" style="11" bestFit="1" customWidth="1"/>
    <col min="523" max="523" width="9.1796875" style="11"/>
    <col min="524" max="524" width="22.1796875" style="11" customWidth="1"/>
    <col min="525" max="525" width="13.26953125" style="11" customWidth="1"/>
    <col min="526" max="768" width="9.1796875" style="11"/>
    <col min="769" max="769" width="24.7265625" style="11" bestFit="1" customWidth="1"/>
    <col min="770" max="770" width="18.7265625" style="11" bestFit="1" customWidth="1"/>
    <col min="771" max="771" width="8.1796875" style="11" customWidth="1"/>
    <col min="772" max="773" width="8.26953125" style="11" customWidth="1"/>
    <col min="774" max="774" width="7.26953125" style="11" customWidth="1"/>
    <col min="775" max="775" width="17.1796875" style="11" customWidth="1"/>
    <col min="776" max="776" width="20.7265625" style="11" customWidth="1"/>
    <col min="777" max="777" width="20.81640625" style="11" customWidth="1"/>
    <col min="778" max="778" width="19.54296875" style="11" bestFit="1" customWidth="1"/>
    <col min="779" max="779" width="9.1796875" style="11"/>
    <col min="780" max="780" width="22.1796875" style="11" customWidth="1"/>
    <col min="781" max="781" width="13.26953125" style="11" customWidth="1"/>
    <col min="782" max="1024" width="9.1796875" style="11"/>
    <col min="1025" max="1025" width="24.7265625" style="11" bestFit="1" customWidth="1"/>
    <col min="1026" max="1026" width="18.7265625" style="11" bestFit="1" customWidth="1"/>
    <col min="1027" max="1027" width="8.1796875" style="11" customWidth="1"/>
    <col min="1028" max="1029" width="8.26953125" style="11" customWidth="1"/>
    <col min="1030" max="1030" width="7.26953125" style="11" customWidth="1"/>
    <col min="1031" max="1031" width="17.1796875" style="11" customWidth="1"/>
    <col min="1032" max="1032" width="20.7265625" style="11" customWidth="1"/>
    <col min="1033" max="1033" width="20.81640625" style="11" customWidth="1"/>
    <col min="1034" max="1034" width="19.54296875" style="11" bestFit="1" customWidth="1"/>
    <col min="1035" max="1035" width="9.1796875" style="11"/>
    <col min="1036" max="1036" width="22.1796875" style="11" customWidth="1"/>
    <col min="1037" max="1037" width="13.26953125" style="11" customWidth="1"/>
    <col min="1038" max="1280" width="9.1796875" style="11"/>
    <col min="1281" max="1281" width="24.7265625" style="11" bestFit="1" customWidth="1"/>
    <col min="1282" max="1282" width="18.7265625" style="11" bestFit="1" customWidth="1"/>
    <col min="1283" max="1283" width="8.1796875" style="11" customWidth="1"/>
    <col min="1284" max="1285" width="8.26953125" style="11" customWidth="1"/>
    <col min="1286" max="1286" width="7.26953125" style="11" customWidth="1"/>
    <col min="1287" max="1287" width="17.1796875" style="11" customWidth="1"/>
    <col min="1288" max="1288" width="20.7265625" style="11" customWidth="1"/>
    <col min="1289" max="1289" width="20.81640625" style="11" customWidth="1"/>
    <col min="1290" max="1290" width="19.54296875" style="11" bestFit="1" customWidth="1"/>
    <col min="1291" max="1291" width="9.1796875" style="11"/>
    <col min="1292" max="1292" width="22.1796875" style="11" customWidth="1"/>
    <col min="1293" max="1293" width="13.26953125" style="11" customWidth="1"/>
    <col min="1294" max="1536" width="9.1796875" style="11"/>
    <col min="1537" max="1537" width="24.7265625" style="11" bestFit="1" customWidth="1"/>
    <col min="1538" max="1538" width="18.7265625" style="11" bestFit="1" customWidth="1"/>
    <col min="1539" max="1539" width="8.1796875" style="11" customWidth="1"/>
    <col min="1540" max="1541" width="8.26953125" style="11" customWidth="1"/>
    <col min="1542" max="1542" width="7.26953125" style="11" customWidth="1"/>
    <col min="1543" max="1543" width="17.1796875" style="11" customWidth="1"/>
    <col min="1544" max="1544" width="20.7265625" style="11" customWidth="1"/>
    <col min="1545" max="1545" width="20.81640625" style="11" customWidth="1"/>
    <col min="1546" max="1546" width="19.54296875" style="11" bestFit="1" customWidth="1"/>
    <col min="1547" max="1547" width="9.1796875" style="11"/>
    <col min="1548" max="1548" width="22.1796875" style="11" customWidth="1"/>
    <col min="1549" max="1549" width="13.26953125" style="11" customWidth="1"/>
    <col min="1550" max="1792" width="9.1796875" style="11"/>
    <col min="1793" max="1793" width="24.7265625" style="11" bestFit="1" customWidth="1"/>
    <col min="1794" max="1794" width="18.7265625" style="11" bestFit="1" customWidth="1"/>
    <col min="1795" max="1795" width="8.1796875" style="11" customWidth="1"/>
    <col min="1796" max="1797" width="8.26953125" style="11" customWidth="1"/>
    <col min="1798" max="1798" width="7.26953125" style="11" customWidth="1"/>
    <col min="1799" max="1799" width="17.1796875" style="11" customWidth="1"/>
    <col min="1800" max="1800" width="20.7265625" style="11" customWidth="1"/>
    <col min="1801" max="1801" width="20.81640625" style="11" customWidth="1"/>
    <col min="1802" max="1802" width="19.54296875" style="11" bestFit="1" customWidth="1"/>
    <col min="1803" max="1803" width="9.1796875" style="11"/>
    <col min="1804" max="1804" width="22.1796875" style="11" customWidth="1"/>
    <col min="1805" max="1805" width="13.26953125" style="11" customWidth="1"/>
    <col min="1806" max="2048" width="9.1796875" style="11"/>
    <col min="2049" max="2049" width="24.7265625" style="11" bestFit="1" customWidth="1"/>
    <col min="2050" max="2050" width="18.7265625" style="11" bestFit="1" customWidth="1"/>
    <col min="2051" max="2051" width="8.1796875" style="11" customWidth="1"/>
    <col min="2052" max="2053" width="8.26953125" style="11" customWidth="1"/>
    <col min="2054" max="2054" width="7.26953125" style="11" customWidth="1"/>
    <col min="2055" max="2055" width="17.1796875" style="11" customWidth="1"/>
    <col min="2056" max="2056" width="20.7265625" style="11" customWidth="1"/>
    <col min="2057" max="2057" width="20.81640625" style="11" customWidth="1"/>
    <col min="2058" max="2058" width="19.54296875" style="11" bestFit="1" customWidth="1"/>
    <col min="2059" max="2059" width="9.1796875" style="11"/>
    <col min="2060" max="2060" width="22.1796875" style="11" customWidth="1"/>
    <col min="2061" max="2061" width="13.26953125" style="11" customWidth="1"/>
    <col min="2062" max="2304" width="9.1796875" style="11"/>
    <col min="2305" max="2305" width="24.7265625" style="11" bestFit="1" customWidth="1"/>
    <col min="2306" max="2306" width="18.7265625" style="11" bestFit="1" customWidth="1"/>
    <col min="2307" max="2307" width="8.1796875" style="11" customWidth="1"/>
    <col min="2308" max="2309" width="8.26953125" style="11" customWidth="1"/>
    <col min="2310" max="2310" width="7.26953125" style="11" customWidth="1"/>
    <col min="2311" max="2311" width="17.1796875" style="11" customWidth="1"/>
    <col min="2312" max="2312" width="20.7265625" style="11" customWidth="1"/>
    <col min="2313" max="2313" width="20.81640625" style="11" customWidth="1"/>
    <col min="2314" max="2314" width="19.54296875" style="11" bestFit="1" customWidth="1"/>
    <col min="2315" max="2315" width="9.1796875" style="11"/>
    <col min="2316" max="2316" width="22.1796875" style="11" customWidth="1"/>
    <col min="2317" max="2317" width="13.26953125" style="11" customWidth="1"/>
    <col min="2318" max="2560" width="9.1796875" style="11"/>
    <col min="2561" max="2561" width="24.7265625" style="11" bestFit="1" customWidth="1"/>
    <col min="2562" max="2562" width="18.7265625" style="11" bestFit="1" customWidth="1"/>
    <col min="2563" max="2563" width="8.1796875" style="11" customWidth="1"/>
    <col min="2564" max="2565" width="8.26953125" style="11" customWidth="1"/>
    <col min="2566" max="2566" width="7.26953125" style="11" customWidth="1"/>
    <col min="2567" max="2567" width="17.1796875" style="11" customWidth="1"/>
    <col min="2568" max="2568" width="20.7265625" style="11" customWidth="1"/>
    <col min="2569" max="2569" width="20.81640625" style="11" customWidth="1"/>
    <col min="2570" max="2570" width="19.54296875" style="11" bestFit="1" customWidth="1"/>
    <col min="2571" max="2571" width="9.1796875" style="11"/>
    <col min="2572" max="2572" width="22.1796875" style="11" customWidth="1"/>
    <col min="2573" max="2573" width="13.26953125" style="11" customWidth="1"/>
    <col min="2574" max="2816" width="9.1796875" style="11"/>
    <col min="2817" max="2817" width="24.7265625" style="11" bestFit="1" customWidth="1"/>
    <col min="2818" max="2818" width="18.7265625" style="11" bestFit="1" customWidth="1"/>
    <col min="2819" max="2819" width="8.1796875" style="11" customWidth="1"/>
    <col min="2820" max="2821" width="8.26953125" style="11" customWidth="1"/>
    <col min="2822" max="2822" width="7.26953125" style="11" customWidth="1"/>
    <col min="2823" max="2823" width="17.1796875" style="11" customWidth="1"/>
    <col min="2824" max="2824" width="20.7265625" style="11" customWidth="1"/>
    <col min="2825" max="2825" width="20.81640625" style="11" customWidth="1"/>
    <col min="2826" max="2826" width="19.54296875" style="11" bestFit="1" customWidth="1"/>
    <col min="2827" max="2827" width="9.1796875" style="11"/>
    <col min="2828" max="2828" width="22.1796875" style="11" customWidth="1"/>
    <col min="2829" max="2829" width="13.26953125" style="11" customWidth="1"/>
    <col min="2830" max="3072" width="9.1796875" style="11"/>
    <col min="3073" max="3073" width="24.7265625" style="11" bestFit="1" customWidth="1"/>
    <col min="3074" max="3074" width="18.7265625" style="11" bestFit="1" customWidth="1"/>
    <col min="3075" max="3075" width="8.1796875" style="11" customWidth="1"/>
    <col min="3076" max="3077" width="8.26953125" style="11" customWidth="1"/>
    <col min="3078" max="3078" width="7.26953125" style="11" customWidth="1"/>
    <col min="3079" max="3079" width="17.1796875" style="11" customWidth="1"/>
    <col min="3080" max="3080" width="20.7265625" style="11" customWidth="1"/>
    <col min="3081" max="3081" width="20.81640625" style="11" customWidth="1"/>
    <col min="3082" max="3082" width="19.54296875" style="11" bestFit="1" customWidth="1"/>
    <col min="3083" max="3083" width="9.1796875" style="11"/>
    <col min="3084" max="3084" width="22.1796875" style="11" customWidth="1"/>
    <col min="3085" max="3085" width="13.26953125" style="11" customWidth="1"/>
    <col min="3086" max="3328" width="9.1796875" style="11"/>
    <col min="3329" max="3329" width="24.7265625" style="11" bestFit="1" customWidth="1"/>
    <col min="3330" max="3330" width="18.7265625" style="11" bestFit="1" customWidth="1"/>
    <col min="3331" max="3331" width="8.1796875" style="11" customWidth="1"/>
    <col min="3332" max="3333" width="8.26953125" style="11" customWidth="1"/>
    <col min="3334" max="3334" width="7.26953125" style="11" customWidth="1"/>
    <col min="3335" max="3335" width="17.1796875" style="11" customWidth="1"/>
    <col min="3336" max="3336" width="20.7265625" style="11" customWidth="1"/>
    <col min="3337" max="3337" width="20.81640625" style="11" customWidth="1"/>
    <col min="3338" max="3338" width="19.54296875" style="11" bestFit="1" customWidth="1"/>
    <col min="3339" max="3339" width="9.1796875" style="11"/>
    <col min="3340" max="3340" width="22.1796875" style="11" customWidth="1"/>
    <col min="3341" max="3341" width="13.26953125" style="11" customWidth="1"/>
    <col min="3342" max="3584" width="9.1796875" style="11"/>
    <col min="3585" max="3585" width="24.7265625" style="11" bestFit="1" customWidth="1"/>
    <col min="3586" max="3586" width="18.7265625" style="11" bestFit="1" customWidth="1"/>
    <col min="3587" max="3587" width="8.1796875" style="11" customWidth="1"/>
    <col min="3588" max="3589" width="8.26953125" style="11" customWidth="1"/>
    <col min="3590" max="3590" width="7.26953125" style="11" customWidth="1"/>
    <col min="3591" max="3591" width="17.1796875" style="11" customWidth="1"/>
    <col min="3592" max="3592" width="20.7265625" style="11" customWidth="1"/>
    <col min="3593" max="3593" width="20.81640625" style="11" customWidth="1"/>
    <col min="3594" max="3594" width="19.54296875" style="11" bestFit="1" customWidth="1"/>
    <col min="3595" max="3595" width="9.1796875" style="11"/>
    <col min="3596" max="3596" width="22.1796875" style="11" customWidth="1"/>
    <col min="3597" max="3597" width="13.26953125" style="11" customWidth="1"/>
    <col min="3598" max="3840" width="9.1796875" style="11"/>
    <col min="3841" max="3841" width="24.7265625" style="11" bestFit="1" customWidth="1"/>
    <col min="3842" max="3842" width="18.7265625" style="11" bestFit="1" customWidth="1"/>
    <col min="3843" max="3843" width="8.1796875" style="11" customWidth="1"/>
    <col min="3844" max="3845" width="8.26953125" style="11" customWidth="1"/>
    <col min="3846" max="3846" width="7.26953125" style="11" customWidth="1"/>
    <col min="3847" max="3847" width="17.1796875" style="11" customWidth="1"/>
    <col min="3848" max="3848" width="20.7265625" style="11" customWidth="1"/>
    <col min="3849" max="3849" width="20.81640625" style="11" customWidth="1"/>
    <col min="3850" max="3850" width="19.54296875" style="11" bestFit="1" customWidth="1"/>
    <col min="3851" max="3851" width="9.1796875" style="11"/>
    <col min="3852" max="3852" width="22.1796875" style="11" customWidth="1"/>
    <col min="3853" max="3853" width="13.26953125" style="11" customWidth="1"/>
    <col min="3854" max="4096" width="9.1796875" style="11"/>
    <col min="4097" max="4097" width="24.7265625" style="11" bestFit="1" customWidth="1"/>
    <col min="4098" max="4098" width="18.7265625" style="11" bestFit="1" customWidth="1"/>
    <col min="4099" max="4099" width="8.1796875" style="11" customWidth="1"/>
    <col min="4100" max="4101" width="8.26953125" style="11" customWidth="1"/>
    <col min="4102" max="4102" width="7.26953125" style="11" customWidth="1"/>
    <col min="4103" max="4103" width="17.1796875" style="11" customWidth="1"/>
    <col min="4104" max="4104" width="20.7265625" style="11" customWidth="1"/>
    <col min="4105" max="4105" width="20.81640625" style="11" customWidth="1"/>
    <col min="4106" max="4106" width="19.54296875" style="11" bestFit="1" customWidth="1"/>
    <col min="4107" max="4107" width="9.1796875" style="11"/>
    <col min="4108" max="4108" width="22.1796875" style="11" customWidth="1"/>
    <col min="4109" max="4109" width="13.26953125" style="11" customWidth="1"/>
    <col min="4110" max="4352" width="9.1796875" style="11"/>
    <col min="4353" max="4353" width="24.7265625" style="11" bestFit="1" customWidth="1"/>
    <col min="4354" max="4354" width="18.7265625" style="11" bestFit="1" customWidth="1"/>
    <col min="4355" max="4355" width="8.1796875" style="11" customWidth="1"/>
    <col min="4356" max="4357" width="8.26953125" style="11" customWidth="1"/>
    <col min="4358" max="4358" width="7.26953125" style="11" customWidth="1"/>
    <col min="4359" max="4359" width="17.1796875" style="11" customWidth="1"/>
    <col min="4360" max="4360" width="20.7265625" style="11" customWidth="1"/>
    <col min="4361" max="4361" width="20.81640625" style="11" customWidth="1"/>
    <col min="4362" max="4362" width="19.54296875" style="11" bestFit="1" customWidth="1"/>
    <col min="4363" max="4363" width="9.1796875" style="11"/>
    <col min="4364" max="4364" width="22.1796875" style="11" customWidth="1"/>
    <col min="4365" max="4365" width="13.26953125" style="11" customWidth="1"/>
    <col min="4366" max="4608" width="9.1796875" style="11"/>
    <col min="4609" max="4609" width="24.7265625" style="11" bestFit="1" customWidth="1"/>
    <col min="4610" max="4610" width="18.7265625" style="11" bestFit="1" customWidth="1"/>
    <col min="4611" max="4611" width="8.1796875" style="11" customWidth="1"/>
    <col min="4612" max="4613" width="8.26953125" style="11" customWidth="1"/>
    <col min="4614" max="4614" width="7.26953125" style="11" customWidth="1"/>
    <col min="4615" max="4615" width="17.1796875" style="11" customWidth="1"/>
    <col min="4616" max="4616" width="20.7265625" style="11" customWidth="1"/>
    <col min="4617" max="4617" width="20.81640625" style="11" customWidth="1"/>
    <col min="4618" max="4618" width="19.54296875" style="11" bestFit="1" customWidth="1"/>
    <col min="4619" max="4619" width="9.1796875" style="11"/>
    <col min="4620" max="4620" width="22.1796875" style="11" customWidth="1"/>
    <col min="4621" max="4621" width="13.26953125" style="11" customWidth="1"/>
    <col min="4622" max="4864" width="9.1796875" style="11"/>
    <col min="4865" max="4865" width="24.7265625" style="11" bestFit="1" customWidth="1"/>
    <col min="4866" max="4866" width="18.7265625" style="11" bestFit="1" customWidth="1"/>
    <col min="4867" max="4867" width="8.1796875" style="11" customWidth="1"/>
    <col min="4868" max="4869" width="8.26953125" style="11" customWidth="1"/>
    <col min="4870" max="4870" width="7.26953125" style="11" customWidth="1"/>
    <col min="4871" max="4871" width="17.1796875" style="11" customWidth="1"/>
    <col min="4872" max="4872" width="20.7265625" style="11" customWidth="1"/>
    <col min="4873" max="4873" width="20.81640625" style="11" customWidth="1"/>
    <col min="4874" max="4874" width="19.54296875" style="11" bestFit="1" customWidth="1"/>
    <col min="4875" max="4875" width="9.1796875" style="11"/>
    <col min="4876" max="4876" width="22.1796875" style="11" customWidth="1"/>
    <col min="4877" max="4877" width="13.26953125" style="11" customWidth="1"/>
    <col min="4878" max="5120" width="9.1796875" style="11"/>
    <col min="5121" max="5121" width="24.7265625" style="11" bestFit="1" customWidth="1"/>
    <col min="5122" max="5122" width="18.7265625" style="11" bestFit="1" customWidth="1"/>
    <col min="5123" max="5123" width="8.1796875" style="11" customWidth="1"/>
    <col min="5124" max="5125" width="8.26953125" style="11" customWidth="1"/>
    <col min="5126" max="5126" width="7.26953125" style="11" customWidth="1"/>
    <col min="5127" max="5127" width="17.1796875" style="11" customWidth="1"/>
    <col min="5128" max="5128" width="20.7265625" style="11" customWidth="1"/>
    <col min="5129" max="5129" width="20.81640625" style="11" customWidth="1"/>
    <col min="5130" max="5130" width="19.54296875" style="11" bestFit="1" customWidth="1"/>
    <col min="5131" max="5131" width="9.1796875" style="11"/>
    <col min="5132" max="5132" width="22.1796875" style="11" customWidth="1"/>
    <col min="5133" max="5133" width="13.26953125" style="11" customWidth="1"/>
    <col min="5134" max="5376" width="9.1796875" style="11"/>
    <col min="5377" max="5377" width="24.7265625" style="11" bestFit="1" customWidth="1"/>
    <col min="5378" max="5378" width="18.7265625" style="11" bestFit="1" customWidth="1"/>
    <col min="5379" max="5379" width="8.1796875" style="11" customWidth="1"/>
    <col min="5380" max="5381" width="8.26953125" style="11" customWidth="1"/>
    <col min="5382" max="5382" width="7.26953125" style="11" customWidth="1"/>
    <col min="5383" max="5383" width="17.1796875" style="11" customWidth="1"/>
    <col min="5384" max="5384" width="20.7265625" style="11" customWidth="1"/>
    <col min="5385" max="5385" width="20.81640625" style="11" customWidth="1"/>
    <col min="5386" max="5386" width="19.54296875" style="11" bestFit="1" customWidth="1"/>
    <col min="5387" max="5387" width="9.1796875" style="11"/>
    <col min="5388" max="5388" width="22.1796875" style="11" customWidth="1"/>
    <col min="5389" max="5389" width="13.26953125" style="11" customWidth="1"/>
    <col min="5390" max="5632" width="9.1796875" style="11"/>
    <col min="5633" max="5633" width="24.7265625" style="11" bestFit="1" customWidth="1"/>
    <col min="5634" max="5634" width="18.7265625" style="11" bestFit="1" customWidth="1"/>
    <col min="5635" max="5635" width="8.1796875" style="11" customWidth="1"/>
    <col min="5636" max="5637" width="8.26953125" style="11" customWidth="1"/>
    <col min="5638" max="5638" width="7.26953125" style="11" customWidth="1"/>
    <col min="5639" max="5639" width="17.1796875" style="11" customWidth="1"/>
    <col min="5640" max="5640" width="20.7265625" style="11" customWidth="1"/>
    <col min="5641" max="5641" width="20.81640625" style="11" customWidth="1"/>
    <col min="5642" max="5642" width="19.54296875" style="11" bestFit="1" customWidth="1"/>
    <col min="5643" max="5643" width="9.1796875" style="11"/>
    <col min="5644" max="5644" width="22.1796875" style="11" customWidth="1"/>
    <col min="5645" max="5645" width="13.26953125" style="11" customWidth="1"/>
    <col min="5646" max="5888" width="9.1796875" style="11"/>
    <col min="5889" max="5889" width="24.7265625" style="11" bestFit="1" customWidth="1"/>
    <col min="5890" max="5890" width="18.7265625" style="11" bestFit="1" customWidth="1"/>
    <col min="5891" max="5891" width="8.1796875" style="11" customWidth="1"/>
    <col min="5892" max="5893" width="8.26953125" style="11" customWidth="1"/>
    <col min="5894" max="5894" width="7.26953125" style="11" customWidth="1"/>
    <col min="5895" max="5895" width="17.1796875" style="11" customWidth="1"/>
    <col min="5896" max="5896" width="20.7265625" style="11" customWidth="1"/>
    <col min="5897" max="5897" width="20.81640625" style="11" customWidth="1"/>
    <col min="5898" max="5898" width="19.54296875" style="11" bestFit="1" customWidth="1"/>
    <col min="5899" max="5899" width="9.1796875" style="11"/>
    <col min="5900" max="5900" width="22.1796875" style="11" customWidth="1"/>
    <col min="5901" max="5901" width="13.26953125" style="11" customWidth="1"/>
    <col min="5902" max="6144" width="9.1796875" style="11"/>
    <col min="6145" max="6145" width="24.7265625" style="11" bestFit="1" customWidth="1"/>
    <col min="6146" max="6146" width="18.7265625" style="11" bestFit="1" customWidth="1"/>
    <col min="6147" max="6147" width="8.1796875" style="11" customWidth="1"/>
    <col min="6148" max="6149" width="8.26953125" style="11" customWidth="1"/>
    <col min="6150" max="6150" width="7.26953125" style="11" customWidth="1"/>
    <col min="6151" max="6151" width="17.1796875" style="11" customWidth="1"/>
    <col min="6152" max="6152" width="20.7265625" style="11" customWidth="1"/>
    <col min="6153" max="6153" width="20.81640625" style="11" customWidth="1"/>
    <col min="6154" max="6154" width="19.54296875" style="11" bestFit="1" customWidth="1"/>
    <col min="6155" max="6155" width="9.1796875" style="11"/>
    <col min="6156" max="6156" width="22.1796875" style="11" customWidth="1"/>
    <col min="6157" max="6157" width="13.26953125" style="11" customWidth="1"/>
    <col min="6158" max="6400" width="9.1796875" style="11"/>
    <col min="6401" max="6401" width="24.7265625" style="11" bestFit="1" customWidth="1"/>
    <col min="6402" max="6402" width="18.7265625" style="11" bestFit="1" customWidth="1"/>
    <col min="6403" max="6403" width="8.1796875" style="11" customWidth="1"/>
    <col min="6404" max="6405" width="8.26953125" style="11" customWidth="1"/>
    <col min="6406" max="6406" width="7.26953125" style="11" customWidth="1"/>
    <col min="6407" max="6407" width="17.1796875" style="11" customWidth="1"/>
    <col min="6408" max="6408" width="20.7265625" style="11" customWidth="1"/>
    <col min="6409" max="6409" width="20.81640625" style="11" customWidth="1"/>
    <col min="6410" max="6410" width="19.54296875" style="11" bestFit="1" customWidth="1"/>
    <col min="6411" max="6411" width="9.1796875" style="11"/>
    <col min="6412" max="6412" width="22.1796875" style="11" customWidth="1"/>
    <col min="6413" max="6413" width="13.26953125" style="11" customWidth="1"/>
    <col min="6414" max="6656" width="9.1796875" style="11"/>
    <col min="6657" max="6657" width="24.7265625" style="11" bestFit="1" customWidth="1"/>
    <col min="6658" max="6658" width="18.7265625" style="11" bestFit="1" customWidth="1"/>
    <col min="6659" max="6659" width="8.1796875" style="11" customWidth="1"/>
    <col min="6660" max="6661" width="8.26953125" style="11" customWidth="1"/>
    <col min="6662" max="6662" width="7.26953125" style="11" customWidth="1"/>
    <col min="6663" max="6663" width="17.1796875" style="11" customWidth="1"/>
    <col min="6664" max="6664" width="20.7265625" style="11" customWidth="1"/>
    <col min="6665" max="6665" width="20.81640625" style="11" customWidth="1"/>
    <col min="6666" max="6666" width="19.54296875" style="11" bestFit="1" customWidth="1"/>
    <col min="6667" max="6667" width="9.1796875" style="11"/>
    <col min="6668" max="6668" width="22.1796875" style="11" customWidth="1"/>
    <col min="6669" max="6669" width="13.26953125" style="11" customWidth="1"/>
    <col min="6670" max="6912" width="9.1796875" style="11"/>
    <col min="6913" max="6913" width="24.7265625" style="11" bestFit="1" customWidth="1"/>
    <col min="6914" max="6914" width="18.7265625" style="11" bestFit="1" customWidth="1"/>
    <col min="6915" max="6915" width="8.1796875" style="11" customWidth="1"/>
    <col min="6916" max="6917" width="8.26953125" style="11" customWidth="1"/>
    <col min="6918" max="6918" width="7.26953125" style="11" customWidth="1"/>
    <col min="6919" max="6919" width="17.1796875" style="11" customWidth="1"/>
    <col min="6920" max="6920" width="20.7265625" style="11" customWidth="1"/>
    <col min="6921" max="6921" width="20.81640625" style="11" customWidth="1"/>
    <col min="6922" max="6922" width="19.54296875" style="11" bestFit="1" customWidth="1"/>
    <col min="6923" max="6923" width="9.1796875" style="11"/>
    <col min="6924" max="6924" width="22.1796875" style="11" customWidth="1"/>
    <col min="6925" max="6925" width="13.26953125" style="11" customWidth="1"/>
    <col min="6926" max="7168" width="9.1796875" style="11"/>
    <col min="7169" max="7169" width="24.7265625" style="11" bestFit="1" customWidth="1"/>
    <col min="7170" max="7170" width="18.7265625" style="11" bestFit="1" customWidth="1"/>
    <col min="7171" max="7171" width="8.1796875" style="11" customWidth="1"/>
    <col min="7172" max="7173" width="8.26953125" style="11" customWidth="1"/>
    <col min="7174" max="7174" width="7.26953125" style="11" customWidth="1"/>
    <col min="7175" max="7175" width="17.1796875" style="11" customWidth="1"/>
    <col min="7176" max="7176" width="20.7265625" style="11" customWidth="1"/>
    <col min="7177" max="7177" width="20.81640625" style="11" customWidth="1"/>
    <col min="7178" max="7178" width="19.54296875" style="11" bestFit="1" customWidth="1"/>
    <col min="7179" max="7179" width="9.1796875" style="11"/>
    <col min="7180" max="7180" width="22.1796875" style="11" customWidth="1"/>
    <col min="7181" max="7181" width="13.26953125" style="11" customWidth="1"/>
    <col min="7182" max="7424" width="9.1796875" style="11"/>
    <col min="7425" max="7425" width="24.7265625" style="11" bestFit="1" customWidth="1"/>
    <col min="7426" max="7426" width="18.7265625" style="11" bestFit="1" customWidth="1"/>
    <col min="7427" max="7427" width="8.1796875" style="11" customWidth="1"/>
    <col min="7428" max="7429" width="8.26953125" style="11" customWidth="1"/>
    <col min="7430" max="7430" width="7.26953125" style="11" customWidth="1"/>
    <col min="7431" max="7431" width="17.1796875" style="11" customWidth="1"/>
    <col min="7432" max="7432" width="20.7265625" style="11" customWidth="1"/>
    <col min="7433" max="7433" width="20.81640625" style="11" customWidth="1"/>
    <col min="7434" max="7434" width="19.54296875" style="11" bestFit="1" customWidth="1"/>
    <col min="7435" max="7435" width="9.1796875" style="11"/>
    <col min="7436" max="7436" width="22.1796875" style="11" customWidth="1"/>
    <col min="7437" max="7437" width="13.26953125" style="11" customWidth="1"/>
    <col min="7438" max="7680" width="9.1796875" style="11"/>
    <col min="7681" max="7681" width="24.7265625" style="11" bestFit="1" customWidth="1"/>
    <col min="7682" max="7682" width="18.7265625" style="11" bestFit="1" customWidth="1"/>
    <col min="7683" max="7683" width="8.1796875" style="11" customWidth="1"/>
    <col min="7684" max="7685" width="8.26953125" style="11" customWidth="1"/>
    <col min="7686" max="7686" width="7.26953125" style="11" customWidth="1"/>
    <col min="7687" max="7687" width="17.1796875" style="11" customWidth="1"/>
    <col min="7688" max="7688" width="20.7265625" style="11" customWidth="1"/>
    <col min="7689" max="7689" width="20.81640625" style="11" customWidth="1"/>
    <col min="7690" max="7690" width="19.54296875" style="11" bestFit="1" customWidth="1"/>
    <col min="7691" max="7691" width="9.1796875" style="11"/>
    <col min="7692" max="7692" width="22.1796875" style="11" customWidth="1"/>
    <col min="7693" max="7693" width="13.26953125" style="11" customWidth="1"/>
    <col min="7694" max="7936" width="9.1796875" style="11"/>
    <col min="7937" max="7937" width="24.7265625" style="11" bestFit="1" customWidth="1"/>
    <col min="7938" max="7938" width="18.7265625" style="11" bestFit="1" customWidth="1"/>
    <col min="7939" max="7939" width="8.1796875" style="11" customWidth="1"/>
    <col min="7940" max="7941" width="8.26953125" style="11" customWidth="1"/>
    <col min="7942" max="7942" width="7.26953125" style="11" customWidth="1"/>
    <col min="7943" max="7943" width="17.1796875" style="11" customWidth="1"/>
    <col min="7944" max="7944" width="20.7265625" style="11" customWidth="1"/>
    <col min="7945" max="7945" width="20.81640625" style="11" customWidth="1"/>
    <col min="7946" max="7946" width="19.54296875" style="11" bestFit="1" customWidth="1"/>
    <col min="7947" max="7947" width="9.1796875" style="11"/>
    <col min="7948" max="7948" width="22.1796875" style="11" customWidth="1"/>
    <col min="7949" max="7949" width="13.26953125" style="11" customWidth="1"/>
    <col min="7950" max="8192" width="9.1796875" style="11"/>
    <col min="8193" max="8193" width="24.7265625" style="11" bestFit="1" customWidth="1"/>
    <col min="8194" max="8194" width="18.7265625" style="11" bestFit="1" customWidth="1"/>
    <col min="8195" max="8195" width="8.1796875" style="11" customWidth="1"/>
    <col min="8196" max="8197" width="8.26953125" style="11" customWidth="1"/>
    <col min="8198" max="8198" width="7.26953125" style="11" customWidth="1"/>
    <col min="8199" max="8199" width="17.1796875" style="11" customWidth="1"/>
    <col min="8200" max="8200" width="20.7265625" style="11" customWidth="1"/>
    <col min="8201" max="8201" width="20.81640625" style="11" customWidth="1"/>
    <col min="8202" max="8202" width="19.54296875" style="11" bestFit="1" customWidth="1"/>
    <col min="8203" max="8203" width="9.1796875" style="11"/>
    <col min="8204" max="8204" width="22.1796875" style="11" customWidth="1"/>
    <col min="8205" max="8205" width="13.26953125" style="11" customWidth="1"/>
    <col min="8206" max="8448" width="9.1796875" style="11"/>
    <col min="8449" max="8449" width="24.7265625" style="11" bestFit="1" customWidth="1"/>
    <col min="8450" max="8450" width="18.7265625" style="11" bestFit="1" customWidth="1"/>
    <col min="8451" max="8451" width="8.1796875" style="11" customWidth="1"/>
    <col min="8452" max="8453" width="8.26953125" style="11" customWidth="1"/>
    <col min="8454" max="8454" width="7.26953125" style="11" customWidth="1"/>
    <col min="8455" max="8455" width="17.1796875" style="11" customWidth="1"/>
    <col min="8456" max="8456" width="20.7265625" style="11" customWidth="1"/>
    <col min="8457" max="8457" width="20.81640625" style="11" customWidth="1"/>
    <col min="8458" max="8458" width="19.54296875" style="11" bestFit="1" customWidth="1"/>
    <col min="8459" max="8459" width="9.1796875" style="11"/>
    <col min="8460" max="8460" width="22.1796875" style="11" customWidth="1"/>
    <col min="8461" max="8461" width="13.26953125" style="11" customWidth="1"/>
    <col min="8462" max="8704" width="9.1796875" style="11"/>
    <col min="8705" max="8705" width="24.7265625" style="11" bestFit="1" customWidth="1"/>
    <col min="8706" max="8706" width="18.7265625" style="11" bestFit="1" customWidth="1"/>
    <col min="8707" max="8707" width="8.1796875" style="11" customWidth="1"/>
    <col min="8708" max="8709" width="8.26953125" style="11" customWidth="1"/>
    <col min="8710" max="8710" width="7.26953125" style="11" customWidth="1"/>
    <col min="8711" max="8711" width="17.1796875" style="11" customWidth="1"/>
    <col min="8712" max="8712" width="20.7265625" style="11" customWidth="1"/>
    <col min="8713" max="8713" width="20.81640625" style="11" customWidth="1"/>
    <col min="8714" max="8714" width="19.54296875" style="11" bestFit="1" customWidth="1"/>
    <col min="8715" max="8715" width="9.1796875" style="11"/>
    <col min="8716" max="8716" width="22.1796875" style="11" customWidth="1"/>
    <col min="8717" max="8717" width="13.26953125" style="11" customWidth="1"/>
    <col min="8718" max="8960" width="9.1796875" style="11"/>
    <col min="8961" max="8961" width="24.7265625" style="11" bestFit="1" customWidth="1"/>
    <col min="8962" max="8962" width="18.7265625" style="11" bestFit="1" customWidth="1"/>
    <col min="8963" max="8963" width="8.1796875" style="11" customWidth="1"/>
    <col min="8964" max="8965" width="8.26953125" style="11" customWidth="1"/>
    <col min="8966" max="8966" width="7.26953125" style="11" customWidth="1"/>
    <col min="8967" max="8967" width="17.1796875" style="11" customWidth="1"/>
    <col min="8968" max="8968" width="20.7265625" style="11" customWidth="1"/>
    <col min="8969" max="8969" width="20.81640625" style="11" customWidth="1"/>
    <col min="8970" max="8970" width="19.54296875" style="11" bestFit="1" customWidth="1"/>
    <col min="8971" max="8971" width="9.1796875" style="11"/>
    <col min="8972" max="8972" width="22.1796875" style="11" customWidth="1"/>
    <col min="8973" max="8973" width="13.26953125" style="11" customWidth="1"/>
    <col min="8974" max="9216" width="9.1796875" style="11"/>
    <col min="9217" max="9217" width="24.7265625" style="11" bestFit="1" customWidth="1"/>
    <col min="9218" max="9218" width="18.7265625" style="11" bestFit="1" customWidth="1"/>
    <col min="9219" max="9219" width="8.1796875" style="11" customWidth="1"/>
    <col min="9220" max="9221" width="8.26953125" style="11" customWidth="1"/>
    <col min="9222" max="9222" width="7.26953125" style="11" customWidth="1"/>
    <col min="9223" max="9223" width="17.1796875" style="11" customWidth="1"/>
    <col min="9224" max="9224" width="20.7265625" style="11" customWidth="1"/>
    <col min="9225" max="9225" width="20.81640625" style="11" customWidth="1"/>
    <col min="9226" max="9226" width="19.54296875" style="11" bestFit="1" customWidth="1"/>
    <col min="9227" max="9227" width="9.1796875" style="11"/>
    <col min="9228" max="9228" width="22.1796875" style="11" customWidth="1"/>
    <col min="9229" max="9229" width="13.26953125" style="11" customWidth="1"/>
    <col min="9230" max="9472" width="9.1796875" style="11"/>
    <col min="9473" max="9473" width="24.7265625" style="11" bestFit="1" customWidth="1"/>
    <col min="9474" max="9474" width="18.7265625" style="11" bestFit="1" customWidth="1"/>
    <col min="9475" max="9475" width="8.1796875" style="11" customWidth="1"/>
    <col min="9476" max="9477" width="8.26953125" style="11" customWidth="1"/>
    <col min="9478" max="9478" width="7.26953125" style="11" customWidth="1"/>
    <col min="9479" max="9479" width="17.1796875" style="11" customWidth="1"/>
    <col min="9480" max="9480" width="20.7265625" style="11" customWidth="1"/>
    <col min="9481" max="9481" width="20.81640625" style="11" customWidth="1"/>
    <col min="9482" max="9482" width="19.54296875" style="11" bestFit="1" customWidth="1"/>
    <col min="9483" max="9483" width="9.1796875" style="11"/>
    <col min="9484" max="9484" width="22.1796875" style="11" customWidth="1"/>
    <col min="9485" max="9485" width="13.26953125" style="11" customWidth="1"/>
    <col min="9486" max="9728" width="9.1796875" style="11"/>
    <col min="9729" max="9729" width="24.7265625" style="11" bestFit="1" customWidth="1"/>
    <col min="9730" max="9730" width="18.7265625" style="11" bestFit="1" customWidth="1"/>
    <col min="9731" max="9731" width="8.1796875" style="11" customWidth="1"/>
    <col min="9732" max="9733" width="8.26953125" style="11" customWidth="1"/>
    <col min="9734" max="9734" width="7.26953125" style="11" customWidth="1"/>
    <col min="9735" max="9735" width="17.1796875" style="11" customWidth="1"/>
    <col min="9736" max="9736" width="20.7265625" style="11" customWidth="1"/>
    <col min="9737" max="9737" width="20.81640625" style="11" customWidth="1"/>
    <col min="9738" max="9738" width="19.54296875" style="11" bestFit="1" customWidth="1"/>
    <col min="9739" max="9739" width="9.1796875" style="11"/>
    <col min="9740" max="9740" width="22.1796875" style="11" customWidth="1"/>
    <col min="9741" max="9741" width="13.26953125" style="11" customWidth="1"/>
    <col min="9742" max="9984" width="9.1796875" style="11"/>
    <col min="9985" max="9985" width="24.7265625" style="11" bestFit="1" customWidth="1"/>
    <col min="9986" max="9986" width="18.7265625" style="11" bestFit="1" customWidth="1"/>
    <col min="9987" max="9987" width="8.1796875" style="11" customWidth="1"/>
    <col min="9988" max="9989" width="8.26953125" style="11" customWidth="1"/>
    <col min="9990" max="9990" width="7.26953125" style="11" customWidth="1"/>
    <col min="9991" max="9991" width="17.1796875" style="11" customWidth="1"/>
    <col min="9992" max="9992" width="20.7265625" style="11" customWidth="1"/>
    <col min="9993" max="9993" width="20.81640625" style="11" customWidth="1"/>
    <col min="9994" max="9994" width="19.54296875" style="11" bestFit="1" customWidth="1"/>
    <col min="9995" max="9995" width="9.1796875" style="11"/>
    <col min="9996" max="9996" width="22.1796875" style="11" customWidth="1"/>
    <col min="9997" max="9997" width="13.26953125" style="11" customWidth="1"/>
    <col min="9998" max="10240" width="9.1796875" style="11"/>
    <col min="10241" max="10241" width="24.7265625" style="11" bestFit="1" customWidth="1"/>
    <col min="10242" max="10242" width="18.7265625" style="11" bestFit="1" customWidth="1"/>
    <col min="10243" max="10243" width="8.1796875" style="11" customWidth="1"/>
    <col min="10244" max="10245" width="8.26953125" style="11" customWidth="1"/>
    <col min="10246" max="10246" width="7.26953125" style="11" customWidth="1"/>
    <col min="10247" max="10247" width="17.1796875" style="11" customWidth="1"/>
    <col min="10248" max="10248" width="20.7265625" style="11" customWidth="1"/>
    <col min="10249" max="10249" width="20.81640625" style="11" customWidth="1"/>
    <col min="10250" max="10250" width="19.54296875" style="11" bestFit="1" customWidth="1"/>
    <col min="10251" max="10251" width="9.1796875" style="11"/>
    <col min="10252" max="10252" width="22.1796875" style="11" customWidth="1"/>
    <col min="10253" max="10253" width="13.26953125" style="11" customWidth="1"/>
    <col min="10254" max="10496" width="9.1796875" style="11"/>
    <col min="10497" max="10497" width="24.7265625" style="11" bestFit="1" customWidth="1"/>
    <col min="10498" max="10498" width="18.7265625" style="11" bestFit="1" customWidth="1"/>
    <col min="10499" max="10499" width="8.1796875" style="11" customWidth="1"/>
    <col min="10500" max="10501" width="8.26953125" style="11" customWidth="1"/>
    <col min="10502" max="10502" width="7.26953125" style="11" customWidth="1"/>
    <col min="10503" max="10503" width="17.1796875" style="11" customWidth="1"/>
    <col min="10504" max="10504" width="20.7265625" style="11" customWidth="1"/>
    <col min="10505" max="10505" width="20.81640625" style="11" customWidth="1"/>
    <col min="10506" max="10506" width="19.54296875" style="11" bestFit="1" customWidth="1"/>
    <col min="10507" max="10507" width="9.1796875" style="11"/>
    <col min="10508" max="10508" width="22.1796875" style="11" customWidth="1"/>
    <col min="10509" max="10509" width="13.26953125" style="11" customWidth="1"/>
    <col min="10510" max="10752" width="9.1796875" style="11"/>
    <col min="10753" max="10753" width="24.7265625" style="11" bestFit="1" customWidth="1"/>
    <col min="10754" max="10754" width="18.7265625" style="11" bestFit="1" customWidth="1"/>
    <col min="10755" max="10755" width="8.1796875" style="11" customWidth="1"/>
    <col min="10756" max="10757" width="8.26953125" style="11" customWidth="1"/>
    <col min="10758" max="10758" width="7.26953125" style="11" customWidth="1"/>
    <col min="10759" max="10759" width="17.1796875" style="11" customWidth="1"/>
    <col min="10760" max="10760" width="20.7265625" style="11" customWidth="1"/>
    <col min="10761" max="10761" width="20.81640625" style="11" customWidth="1"/>
    <col min="10762" max="10762" width="19.54296875" style="11" bestFit="1" customWidth="1"/>
    <col min="10763" max="10763" width="9.1796875" style="11"/>
    <col min="10764" max="10764" width="22.1796875" style="11" customWidth="1"/>
    <col min="10765" max="10765" width="13.26953125" style="11" customWidth="1"/>
    <col min="10766" max="11008" width="9.1796875" style="11"/>
    <col min="11009" max="11009" width="24.7265625" style="11" bestFit="1" customWidth="1"/>
    <col min="11010" max="11010" width="18.7265625" style="11" bestFit="1" customWidth="1"/>
    <col min="11011" max="11011" width="8.1796875" style="11" customWidth="1"/>
    <col min="11012" max="11013" width="8.26953125" style="11" customWidth="1"/>
    <col min="11014" max="11014" width="7.26953125" style="11" customWidth="1"/>
    <col min="11015" max="11015" width="17.1796875" style="11" customWidth="1"/>
    <col min="11016" max="11016" width="20.7265625" style="11" customWidth="1"/>
    <col min="11017" max="11017" width="20.81640625" style="11" customWidth="1"/>
    <col min="11018" max="11018" width="19.54296875" style="11" bestFit="1" customWidth="1"/>
    <col min="11019" max="11019" width="9.1796875" style="11"/>
    <col min="11020" max="11020" width="22.1796875" style="11" customWidth="1"/>
    <col min="11021" max="11021" width="13.26953125" style="11" customWidth="1"/>
    <col min="11022" max="11264" width="9.1796875" style="11"/>
    <col min="11265" max="11265" width="24.7265625" style="11" bestFit="1" customWidth="1"/>
    <col min="11266" max="11266" width="18.7265625" style="11" bestFit="1" customWidth="1"/>
    <col min="11267" max="11267" width="8.1796875" style="11" customWidth="1"/>
    <col min="11268" max="11269" width="8.26953125" style="11" customWidth="1"/>
    <col min="11270" max="11270" width="7.26953125" style="11" customWidth="1"/>
    <col min="11271" max="11271" width="17.1796875" style="11" customWidth="1"/>
    <col min="11272" max="11272" width="20.7265625" style="11" customWidth="1"/>
    <col min="11273" max="11273" width="20.81640625" style="11" customWidth="1"/>
    <col min="11274" max="11274" width="19.54296875" style="11" bestFit="1" customWidth="1"/>
    <col min="11275" max="11275" width="9.1796875" style="11"/>
    <col min="11276" max="11276" width="22.1796875" style="11" customWidth="1"/>
    <col min="11277" max="11277" width="13.26953125" style="11" customWidth="1"/>
    <col min="11278" max="11520" width="9.1796875" style="11"/>
    <col min="11521" max="11521" width="24.7265625" style="11" bestFit="1" customWidth="1"/>
    <col min="11522" max="11522" width="18.7265625" style="11" bestFit="1" customWidth="1"/>
    <col min="11523" max="11523" width="8.1796875" style="11" customWidth="1"/>
    <col min="11524" max="11525" width="8.26953125" style="11" customWidth="1"/>
    <col min="11526" max="11526" width="7.26953125" style="11" customWidth="1"/>
    <col min="11527" max="11527" width="17.1796875" style="11" customWidth="1"/>
    <col min="11528" max="11528" width="20.7265625" style="11" customWidth="1"/>
    <col min="11529" max="11529" width="20.81640625" style="11" customWidth="1"/>
    <col min="11530" max="11530" width="19.54296875" style="11" bestFit="1" customWidth="1"/>
    <col min="11531" max="11531" width="9.1796875" style="11"/>
    <col min="11532" max="11532" width="22.1796875" style="11" customWidth="1"/>
    <col min="11533" max="11533" width="13.26953125" style="11" customWidth="1"/>
    <col min="11534" max="11776" width="9.1796875" style="11"/>
    <col min="11777" max="11777" width="24.7265625" style="11" bestFit="1" customWidth="1"/>
    <col min="11778" max="11778" width="18.7265625" style="11" bestFit="1" customWidth="1"/>
    <col min="11779" max="11779" width="8.1796875" style="11" customWidth="1"/>
    <col min="11780" max="11781" width="8.26953125" style="11" customWidth="1"/>
    <col min="11782" max="11782" width="7.26953125" style="11" customWidth="1"/>
    <col min="11783" max="11783" width="17.1796875" style="11" customWidth="1"/>
    <col min="11784" max="11784" width="20.7265625" style="11" customWidth="1"/>
    <col min="11785" max="11785" width="20.81640625" style="11" customWidth="1"/>
    <col min="11786" max="11786" width="19.54296875" style="11" bestFit="1" customWidth="1"/>
    <col min="11787" max="11787" width="9.1796875" style="11"/>
    <col min="11788" max="11788" width="22.1796875" style="11" customWidth="1"/>
    <col min="11789" max="11789" width="13.26953125" style="11" customWidth="1"/>
    <col min="11790" max="12032" width="9.1796875" style="11"/>
    <col min="12033" max="12033" width="24.7265625" style="11" bestFit="1" customWidth="1"/>
    <col min="12034" max="12034" width="18.7265625" style="11" bestFit="1" customWidth="1"/>
    <col min="12035" max="12035" width="8.1796875" style="11" customWidth="1"/>
    <col min="12036" max="12037" width="8.26953125" style="11" customWidth="1"/>
    <col min="12038" max="12038" width="7.26953125" style="11" customWidth="1"/>
    <col min="12039" max="12039" width="17.1796875" style="11" customWidth="1"/>
    <col min="12040" max="12040" width="20.7265625" style="11" customWidth="1"/>
    <col min="12041" max="12041" width="20.81640625" style="11" customWidth="1"/>
    <col min="12042" max="12042" width="19.54296875" style="11" bestFit="1" customWidth="1"/>
    <col min="12043" max="12043" width="9.1796875" style="11"/>
    <col min="12044" max="12044" width="22.1796875" style="11" customWidth="1"/>
    <col min="12045" max="12045" width="13.26953125" style="11" customWidth="1"/>
    <col min="12046" max="12288" width="9.1796875" style="11"/>
    <col min="12289" max="12289" width="24.7265625" style="11" bestFit="1" customWidth="1"/>
    <col min="12290" max="12290" width="18.7265625" style="11" bestFit="1" customWidth="1"/>
    <col min="12291" max="12291" width="8.1796875" style="11" customWidth="1"/>
    <col min="12292" max="12293" width="8.26953125" style="11" customWidth="1"/>
    <col min="12294" max="12294" width="7.26953125" style="11" customWidth="1"/>
    <col min="12295" max="12295" width="17.1796875" style="11" customWidth="1"/>
    <col min="12296" max="12296" width="20.7265625" style="11" customWidth="1"/>
    <col min="12297" max="12297" width="20.81640625" style="11" customWidth="1"/>
    <col min="12298" max="12298" width="19.54296875" style="11" bestFit="1" customWidth="1"/>
    <col min="12299" max="12299" width="9.1796875" style="11"/>
    <col min="12300" max="12300" width="22.1796875" style="11" customWidth="1"/>
    <col min="12301" max="12301" width="13.26953125" style="11" customWidth="1"/>
    <col min="12302" max="12544" width="9.1796875" style="11"/>
    <col min="12545" max="12545" width="24.7265625" style="11" bestFit="1" customWidth="1"/>
    <col min="12546" max="12546" width="18.7265625" style="11" bestFit="1" customWidth="1"/>
    <col min="12547" max="12547" width="8.1796875" style="11" customWidth="1"/>
    <col min="12548" max="12549" width="8.26953125" style="11" customWidth="1"/>
    <col min="12550" max="12550" width="7.26953125" style="11" customWidth="1"/>
    <col min="12551" max="12551" width="17.1796875" style="11" customWidth="1"/>
    <col min="12552" max="12552" width="20.7265625" style="11" customWidth="1"/>
    <col min="12553" max="12553" width="20.81640625" style="11" customWidth="1"/>
    <col min="12554" max="12554" width="19.54296875" style="11" bestFit="1" customWidth="1"/>
    <col min="12555" max="12555" width="9.1796875" style="11"/>
    <col min="12556" max="12556" width="22.1796875" style="11" customWidth="1"/>
    <col min="12557" max="12557" width="13.26953125" style="11" customWidth="1"/>
    <col min="12558" max="12800" width="9.1796875" style="11"/>
    <col min="12801" max="12801" width="24.7265625" style="11" bestFit="1" customWidth="1"/>
    <col min="12802" max="12802" width="18.7265625" style="11" bestFit="1" customWidth="1"/>
    <col min="12803" max="12803" width="8.1796875" style="11" customWidth="1"/>
    <col min="12804" max="12805" width="8.26953125" style="11" customWidth="1"/>
    <col min="12806" max="12806" width="7.26953125" style="11" customWidth="1"/>
    <col min="12807" max="12807" width="17.1796875" style="11" customWidth="1"/>
    <col min="12808" max="12808" width="20.7265625" style="11" customWidth="1"/>
    <col min="12809" max="12809" width="20.81640625" style="11" customWidth="1"/>
    <col min="12810" max="12810" width="19.54296875" style="11" bestFit="1" customWidth="1"/>
    <col min="12811" max="12811" width="9.1796875" style="11"/>
    <col min="12812" max="12812" width="22.1796875" style="11" customWidth="1"/>
    <col min="12813" max="12813" width="13.26953125" style="11" customWidth="1"/>
    <col min="12814" max="13056" width="9.1796875" style="11"/>
    <col min="13057" max="13057" width="24.7265625" style="11" bestFit="1" customWidth="1"/>
    <col min="13058" max="13058" width="18.7265625" style="11" bestFit="1" customWidth="1"/>
    <col min="13059" max="13059" width="8.1796875" style="11" customWidth="1"/>
    <col min="13060" max="13061" width="8.26953125" style="11" customWidth="1"/>
    <col min="13062" max="13062" width="7.26953125" style="11" customWidth="1"/>
    <col min="13063" max="13063" width="17.1796875" style="11" customWidth="1"/>
    <col min="13064" max="13064" width="20.7265625" style="11" customWidth="1"/>
    <col min="13065" max="13065" width="20.81640625" style="11" customWidth="1"/>
    <col min="13066" max="13066" width="19.54296875" style="11" bestFit="1" customWidth="1"/>
    <col min="13067" max="13067" width="9.1796875" style="11"/>
    <col min="13068" max="13068" width="22.1796875" style="11" customWidth="1"/>
    <col min="13069" max="13069" width="13.26953125" style="11" customWidth="1"/>
    <col min="13070" max="13312" width="9.1796875" style="11"/>
    <col min="13313" max="13313" width="24.7265625" style="11" bestFit="1" customWidth="1"/>
    <col min="13314" max="13314" width="18.7265625" style="11" bestFit="1" customWidth="1"/>
    <col min="13315" max="13315" width="8.1796875" style="11" customWidth="1"/>
    <col min="13316" max="13317" width="8.26953125" style="11" customWidth="1"/>
    <col min="13318" max="13318" width="7.26953125" style="11" customWidth="1"/>
    <col min="13319" max="13319" width="17.1796875" style="11" customWidth="1"/>
    <col min="13320" max="13320" width="20.7265625" style="11" customWidth="1"/>
    <col min="13321" max="13321" width="20.81640625" style="11" customWidth="1"/>
    <col min="13322" max="13322" width="19.54296875" style="11" bestFit="1" customWidth="1"/>
    <col min="13323" max="13323" width="9.1796875" style="11"/>
    <col min="13324" max="13324" width="22.1796875" style="11" customWidth="1"/>
    <col min="13325" max="13325" width="13.26953125" style="11" customWidth="1"/>
    <col min="13326" max="13568" width="9.1796875" style="11"/>
    <col min="13569" max="13569" width="24.7265625" style="11" bestFit="1" customWidth="1"/>
    <col min="13570" max="13570" width="18.7265625" style="11" bestFit="1" customWidth="1"/>
    <col min="13571" max="13571" width="8.1796875" style="11" customWidth="1"/>
    <col min="13572" max="13573" width="8.26953125" style="11" customWidth="1"/>
    <col min="13574" max="13574" width="7.26953125" style="11" customWidth="1"/>
    <col min="13575" max="13575" width="17.1796875" style="11" customWidth="1"/>
    <col min="13576" max="13576" width="20.7265625" style="11" customWidth="1"/>
    <col min="13577" max="13577" width="20.81640625" style="11" customWidth="1"/>
    <col min="13578" max="13578" width="19.54296875" style="11" bestFit="1" customWidth="1"/>
    <col min="13579" max="13579" width="9.1796875" style="11"/>
    <col min="13580" max="13580" width="22.1796875" style="11" customWidth="1"/>
    <col min="13581" max="13581" width="13.26953125" style="11" customWidth="1"/>
    <col min="13582" max="13824" width="9.1796875" style="11"/>
    <col min="13825" max="13825" width="24.7265625" style="11" bestFit="1" customWidth="1"/>
    <col min="13826" max="13826" width="18.7265625" style="11" bestFit="1" customWidth="1"/>
    <col min="13827" max="13827" width="8.1796875" style="11" customWidth="1"/>
    <col min="13828" max="13829" width="8.26953125" style="11" customWidth="1"/>
    <col min="13830" max="13830" width="7.26953125" style="11" customWidth="1"/>
    <col min="13831" max="13831" width="17.1796875" style="11" customWidth="1"/>
    <col min="13832" max="13832" width="20.7265625" style="11" customWidth="1"/>
    <col min="13833" max="13833" width="20.81640625" style="11" customWidth="1"/>
    <col min="13834" max="13834" width="19.54296875" style="11" bestFit="1" customWidth="1"/>
    <col min="13835" max="13835" width="9.1796875" style="11"/>
    <col min="13836" max="13836" width="22.1796875" style="11" customWidth="1"/>
    <col min="13837" max="13837" width="13.26953125" style="11" customWidth="1"/>
    <col min="13838" max="14080" width="9.1796875" style="11"/>
    <col min="14081" max="14081" width="24.7265625" style="11" bestFit="1" customWidth="1"/>
    <col min="14082" max="14082" width="18.7265625" style="11" bestFit="1" customWidth="1"/>
    <col min="14083" max="14083" width="8.1796875" style="11" customWidth="1"/>
    <col min="14084" max="14085" width="8.26953125" style="11" customWidth="1"/>
    <col min="14086" max="14086" width="7.26953125" style="11" customWidth="1"/>
    <col min="14087" max="14087" width="17.1796875" style="11" customWidth="1"/>
    <col min="14088" max="14088" width="20.7265625" style="11" customWidth="1"/>
    <col min="14089" max="14089" width="20.81640625" style="11" customWidth="1"/>
    <col min="14090" max="14090" width="19.54296875" style="11" bestFit="1" customWidth="1"/>
    <col min="14091" max="14091" width="9.1796875" style="11"/>
    <col min="14092" max="14092" width="22.1796875" style="11" customWidth="1"/>
    <col min="14093" max="14093" width="13.26953125" style="11" customWidth="1"/>
    <col min="14094" max="14336" width="9.1796875" style="11"/>
    <col min="14337" max="14337" width="24.7265625" style="11" bestFit="1" customWidth="1"/>
    <col min="14338" max="14338" width="18.7265625" style="11" bestFit="1" customWidth="1"/>
    <col min="14339" max="14339" width="8.1796875" style="11" customWidth="1"/>
    <col min="14340" max="14341" width="8.26953125" style="11" customWidth="1"/>
    <col min="14342" max="14342" width="7.26953125" style="11" customWidth="1"/>
    <col min="14343" max="14343" width="17.1796875" style="11" customWidth="1"/>
    <col min="14344" max="14344" width="20.7265625" style="11" customWidth="1"/>
    <col min="14345" max="14345" width="20.81640625" style="11" customWidth="1"/>
    <col min="14346" max="14346" width="19.54296875" style="11" bestFit="1" customWidth="1"/>
    <col min="14347" max="14347" width="9.1796875" style="11"/>
    <col min="14348" max="14348" width="22.1796875" style="11" customWidth="1"/>
    <col min="14349" max="14349" width="13.26953125" style="11" customWidth="1"/>
    <col min="14350" max="14592" width="9.1796875" style="11"/>
    <col min="14593" max="14593" width="24.7265625" style="11" bestFit="1" customWidth="1"/>
    <col min="14594" max="14594" width="18.7265625" style="11" bestFit="1" customWidth="1"/>
    <col min="14595" max="14595" width="8.1796875" style="11" customWidth="1"/>
    <col min="14596" max="14597" width="8.26953125" style="11" customWidth="1"/>
    <col min="14598" max="14598" width="7.26953125" style="11" customWidth="1"/>
    <col min="14599" max="14599" width="17.1796875" style="11" customWidth="1"/>
    <col min="14600" max="14600" width="20.7265625" style="11" customWidth="1"/>
    <col min="14601" max="14601" width="20.81640625" style="11" customWidth="1"/>
    <col min="14602" max="14602" width="19.54296875" style="11" bestFit="1" customWidth="1"/>
    <col min="14603" max="14603" width="9.1796875" style="11"/>
    <col min="14604" max="14604" width="22.1796875" style="11" customWidth="1"/>
    <col min="14605" max="14605" width="13.26953125" style="11" customWidth="1"/>
    <col min="14606" max="14848" width="9.1796875" style="11"/>
    <col min="14849" max="14849" width="24.7265625" style="11" bestFit="1" customWidth="1"/>
    <col min="14850" max="14850" width="18.7265625" style="11" bestFit="1" customWidth="1"/>
    <col min="14851" max="14851" width="8.1796875" style="11" customWidth="1"/>
    <col min="14852" max="14853" width="8.26953125" style="11" customWidth="1"/>
    <col min="14854" max="14854" width="7.26953125" style="11" customWidth="1"/>
    <col min="14855" max="14855" width="17.1796875" style="11" customWidth="1"/>
    <col min="14856" max="14856" width="20.7265625" style="11" customWidth="1"/>
    <col min="14857" max="14857" width="20.81640625" style="11" customWidth="1"/>
    <col min="14858" max="14858" width="19.54296875" style="11" bestFit="1" customWidth="1"/>
    <col min="14859" max="14859" width="9.1796875" style="11"/>
    <col min="14860" max="14860" width="22.1796875" style="11" customWidth="1"/>
    <col min="14861" max="14861" width="13.26953125" style="11" customWidth="1"/>
    <col min="14862" max="15104" width="9.1796875" style="11"/>
    <col min="15105" max="15105" width="24.7265625" style="11" bestFit="1" customWidth="1"/>
    <col min="15106" max="15106" width="18.7265625" style="11" bestFit="1" customWidth="1"/>
    <col min="15107" max="15107" width="8.1796875" style="11" customWidth="1"/>
    <col min="15108" max="15109" width="8.26953125" style="11" customWidth="1"/>
    <col min="15110" max="15110" width="7.26953125" style="11" customWidth="1"/>
    <col min="15111" max="15111" width="17.1796875" style="11" customWidth="1"/>
    <col min="15112" max="15112" width="20.7265625" style="11" customWidth="1"/>
    <col min="15113" max="15113" width="20.81640625" style="11" customWidth="1"/>
    <col min="15114" max="15114" width="19.54296875" style="11" bestFit="1" customWidth="1"/>
    <col min="15115" max="15115" width="9.1796875" style="11"/>
    <col min="15116" max="15116" width="22.1796875" style="11" customWidth="1"/>
    <col min="15117" max="15117" width="13.26953125" style="11" customWidth="1"/>
    <col min="15118" max="15360" width="9.1796875" style="11"/>
    <col min="15361" max="15361" width="24.7265625" style="11" bestFit="1" customWidth="1"/>
    <col min="15362" max="15362" width="18.7265625" style="11" bestFit="1" customWidth="1"/>
    <col min="15363" max="15363" width="8.1796875" style="11" customWidth="1"/>
    <col min="15364" max="15365" width="8.26953125" style="11" customWidth="1"/>
    <col min="15366" max="15366" width="7.26953125" style="11" customWidth="1"/>
    <col min="15367" max="15367" width="17.1796875" style="11" customWidth="1"/>
    <col min="15368" max="15368" width="20.7265625" style="11" customWidth="1"/>
    <col min="15369" max="15369" width="20.81640625" style="11" customWidth="1"/>
    <col min="15370" max="15370" width="19.54296875" style="11" bestFit="1" customWidth="1"/>
    <col min="15371" max="15371" width="9.1796875" style="11"/>
    <col min="15372" max="15372" width="22.1796875" style="11" customWidth="1"/>
    <col min="15373" max="15373" width="13.26953125" style="11" customWidth="1"/>
    <col min="15374" max="15616" width="9.1796875" style="11"/>
    <col min="15617" max="15617" width="24.7265625" style="11" bestFit="1" customWidth="1"/>
    <col min="15618" max="15618" width="18.7265625" style="11" bestFit="1" customWidth="1"/>
    <col min="15619" max="15619" width="8.1796875" style="11" customWidth="1"/>
    <col min="15620" max="15621" width="8.26953125" style="11" customWidth="1"/>
    <col min="15622" max="15622" width="7.26953125" style="11" customWidth="1"/>
    <col min="15623" max="15623" width="17.1796875" style="11" customWidth="1"/>
    <col min="15624" max="15624" width="20.7265625" style="11" customWidth="1"/>
    <col min="15625" max="15625" width="20.81640625" style="11" customWidth="1"/>
    <col min="15626" max="15626" width="19.54296875" style="11" bestFit="1" customWidth="1"/>
    <col min="15627" max="15627" width="9.1796875" style="11"/>
    <col min="15628" max="15628" width="22.1796875" style="11" customWidth="1"/>
    <col min="15629" max="15629" width="13.26953125" style="11" customWidth="1"/>
    <col min="15630" max="15872" width="9.1796875" style="11"/>
    <col min="15873" max="15873" width="24.7265625" style="11" bestFit="1" customWidth="1"/>
    <col min="15874" max="15874" width="18.7265625" style="11" bestFit="1" customWidth="1"/>
    <col min="15875" max="15875" width="8.1796875" style="11" customWidth="1"/>
    <col min="15876" max="15877" width="8.26953125" style="11" customWidth="1"/>
    <col min="15878" max="15878" width="7.26953125" style="11" customWidth="1"/>
    <col min="15879" max="15879" width="17.1796875" style="11" customWidth="1"/>
    <col min="15880" max="15880" width="20.7265625" style="11" customWidth="1"/>
    <col min="15881" max="15881" width="20.81640625" style="11" customWidth="1"/>
    <col min="15882" max="15882" width="19.54296875" style="11" bestFit="1" customWidth="1"/>
    <col min="15883" max="15883" width="9.1796875" style="11"/>
    <col min="15884" max="15884" width="22.1796875" style="11" customWidth="1"/>
    <col min="15885" max="15885" width="13.26953125" style="11" customWidth="1"/>
    <col min="15886" max="16128" width="9.1796875" style="11"/>
    <col min="16129" max="16129" width="24.7265625" style="11" bestFit="1" customWidth="1"/>
    <col min="16130" max="16130" width="18.7265625" style="11" bestFit="1" customWidth="1"/>
    <col min="16131" max="16131" width="8.1796875" style="11" customWidth="1"/>
    <col min="16132" max="16133" width="8.26953125" style="11" customWidth="1"/>
    <col min="16134" max="16134" width="7.26953125" style="11" customWidth="1"/>
    <col min="16135" max="16135" width="17.1796875" style="11" customWidth="1"/>
    <col min="16136" max="16136" width="20.7265625" style="11" customWidth="1"/>
    <col min="16137" max="16137" width="20.81640625" style="11" customWidth="1"/>
    <col min="16138" max="16138" width="19.54296875" style="11" bestFit="1" customWidth="1"/>
    <col min="16139" max="16139" width="9.1796875" style="11"/>
    <col min="16140" max="16140" width="22.1796875" style="11" customWidth="1"/>
    <col min="16141" max="16141" width="13.26953125" style="11" customWidth="1"/>
    <col min="16142" max="16384" width="9.1796875" style="11"/>
  </cols>
  <sheetData>
    <row r="1" spans="1:14" s="5" customFormat="1" ht="57.75" customHeight="1">
      <c r="A1" s="1" t="s">
        <v>0</v>
      </c>
      <c r="B1" s="2" t="s">
        <v>1</v>
      </c>
      <c r="C1" s="2" t="s">
        <v>2</v>
      </c>
      <c r="D1" s="2" t="s">
        <v>3</v>
      </c>
      <c r="E1" s="2" t="s">
        <v>4</v>
      </c>
      <c r="F1" s="2" t="s">
        <v>5</v>
      </c>
      <c r="G1" s="2" t="s">
        <v>6</v>
      </c>
      <c r="H1" s="2" t="s">
        <v>703</v>
      </c>
      <c r="I1" s="2" t="s">
        <v>704</v>
      </c>
      <c r="J1" s="2" t="s">
        <v>286</v>
      </c>
      <c r="K1" s="2" t="s">
        <v>10</v>
      </c>
      <c r="L1" s="55" t="s">
        <v>706</v>
      </c>
      <c r="M1" s="4" t="s">
        <v>12</v>
      </c>
      <c r="N1" s="57" t="s">
        <v>287</v>
      </c>
    </row>
    <row r="2" spans="1:14" ht="20.5">
      <c r="A2" s="6" t="s">
        <v>1604</v>
      </c>
      <c r="B2" s="7" t="s">
        <v>14</v>
      </c>
      <c r="C2" s="7"/>
      <c r="D2" s="7">
        <v>1</v>
      </c>
      <c r="E2" s="7">
        <f>E8</f>
        <v>50</v>
      </c>
      <c r="F2" s="7">
        <f>E2</f>
        <v>50</v>
      </c>
      <c r="G2" s="58" t="s">
        <v>1455</v>
      </c>
      <c r="H2" s="9"/>
      <c r="I2" s="9"/>
      <c r="J2" s="7"/>
      <c r="K2" s="7"/>
      <c r="L2" s="59"/>
      <c r="M2" s="17" t="s">
        <v>290</v>
      </c>
      <c r="N2" s="61"/>
    </row>
    <row r="3" spans="1:14" ht="21">
      <c r="A3" s="12" t="s">
        <v>17</v>
      </c>
      <c r="B3" s="62" t="s">
        <v>18</v>
      </c>
      <c r="C3" s="14">
        <v>1</v>
      </c>
      <c r="D3" s="14">
        <v>1</v>
      </c>
      <c r="E3" s="14">
        <f t="shared" ref="E3:E8" si="0">D3+F3-1</f>
        <v>1</v>
      </c>
      <c r="F3" s="14">
        <v>1</v>
      </c>
      <c r="G3" s="16" t="s">
        <v>19</v>
      </c>
      <c r="H3" s="16"/>
      <c r="I3" s="16"/>
      <c r="J3" s="14"/>
      <c r="K3" s="14"/>
      <c r="L3" s="63"/>
      <c r="M3" s="17" t="s">
        <v>290</v>
      </c>
      <c r="N3" s="61"/>
    </row>
    <row r="4" spans="1:14" s="23" customFormat="1" ht="20.5">
      <c r="A4" s="64" t="s">
        <v>710</v>
      </c>
      <c r="B4" s="65" t="s">
        <v>711</v>
      </c>
      <c r="C4" s="14">
        <v>2</v>
      </c>
      <c r="D4" s="19">
        <f>E3+1</f>
        <v>2</v>
      </c>
      <c r="E4" s="19">
        <f t="shared" si="0"/>
        <v>16</v>
      </c>
      <c r="F4" s="19">
        <v>15</v>
      </c>
      <c r="G4" s="20" t="s">
        <v>1456</v>
      </c>
      <c r="H4" s="66"/>
      <c r="I4" s="66"/>
      <c r="J4" s="19"/>
      <c r="K4" s="19"/>
      <c r="L4" s="19"/>
      <c r="M4" s="21"/>
      <c r="N4" s="22"/>
    </row>
    <row r="5" spans="1:14" s="23" customFormat="1" ht="12.5">
      <c r="A5" s="64" t="s">
        <v>713</v>
      </c>
      <c r="B5" s="65" t="s">
        <v>714</v>
      </c>
      <c r="C5" s="14">
        <v>3</v>
      </c>
      <c r="D5" s="19">
        <f>E4+1</f>
        <v>17</v>
      </c>
      <c r="E5" s="19">
        <f t="shared" si="0"/>
        <v>26</v>
      </c>
      <c r="F5" s="19">
        <v>10</v>
      </c>
      <c r="G5" s="20" t="s">
        <v>715</v>
      </c>
      <c r="H5" s="66"/>
      <c r="I5" s="66"/>
      <c r="J5" s="19"/>
      <c r="K5" s="19"/>
      <c r="L5" s="19"/>
      <c r="M5" s="21"/>
      <c r="N5" s="22"/>
    </row>
    <row r="6" spans="1:14" ht="12.5">
      <c r="A6" s="12" t="s">
        <v>215</v>
      </c>
      <c r="B6" s="62" t="s">
        <v>216</v>
      </c>
      <c r="C6" s="14">
        <v>4</v>
      </c>
      <c r="D6" s="19">
        <f>E5+1</f>
        <v>27</v>
      </c>
      <c r="E6" s="19">
        <f t="shared" si="0"/>
        <v>34</v>
      </c>
      <c r="F6" s="14">
        <v>8</v>
      </c>
      <c r="G6" s="67" t="s">
        <v>716</v>
      </c>
      <c r="H6" s="26"/>
      <c r="I6" s="26"/>
      <c r="J6" s="14"/>
      <c r="K6" s="14"/>
      <c r="L6" s="63"/>
      <c r="M6" s="17" t="s">
        <v>290</v>
      </c>
      <c r="N6" s="61"/>
    </row>
    <row r="7" spans="1:14" ht="12.5">
      <c r="A7" s="12" t="s">
        <v>1605</v>
      </c>
      <c r="B7" s="62" t="s">
        <v>1606</v>
      </c>
      <c r="C7" s="14">
        <v>5</v>
      </c>
      <c r="D7" s="19">
        <f>E6+1</f>
        <v>35</v>
      </c>
      <c r="E7" s="19">
        <f t="shared" si="0"/>
        <v>49</v>
      </c>
      <c r="F7" s="14">
        <v>15</v>
      </c>
      <c r="G7" s="26" t="s">
        <v>1607</v>
      </c>
      <c r="H7" s="26"/>
      <c r="I7" s="26"/>
      <c r="J7" s="14"/>
      <c r="K7" s="14"/>
      <c r="L7" s="63"/>
      <c r="M7" s="17" t="s">
        <v>290</v>
      </c>
      <c r="N7" s="61"/>
    </row>
    <row r="8" spans="1:14">
      <c r="A8" s="80" t="s">
        <v>719</v>
      </c>
      <c r="B8" s="14" t="s">
        <v>294</v>
      </c>
      <c r="C8" s="14">
        <v>6</v>
      </c>
      <c r="D8" s="19">
        <f>E7+1</f>
        <v>50</v>
      </c>
      <c r="E8" s="19">
        <f t="shared" si="0"/>
        <v>50</v>
      </c>
      <c r="F8" s="14">
        <v>1</v>
      </c>
      <c r="G8" s="20" t="s">
        <v>1457</v>
      </c>
      <c r="H8" s="16"/>
      <c r="I8" s="16"/>
      <c r="J8" s="14"/>
      <c r="K8" s="14"/>
      <c r="L8" s="63"/>
      <c r="M8" s="17" t="s">
        <v>290</v>
      </c>
      <c r="N8" s="61"/>
    </row>
    <row r="9" spans="1:14" ht="10.5">
      <c r="A9" s="6" t="s">
        <v>1608</v>
      </c>
      <c r="B9" s="7" t="s">
        <v>14</v>
      </c>
      <c r="C9" s="27"/>
      <c r="D9" s="7">
        <v>1</v>
      </c>
      <c r="E9" s="7">
        <f>E52</f>
        <v>391</v>
      </c>
      <c r="F9" s="7">
        <f>E9</f>
        <v>391</v>
      </c>
      <c r="G9" s="29"/>
      <c r="H9" s="29"/>
      <c r="I9" s="29"/>
      <c r="J9" s="7"/>
      <c r="K9" s="7"/>
      <c r="L9" s="59"/>
      <c r="M9" s="17" t="s">
        <v>290</v>
      </c>
      <c r="N9" s="61"/>
    </row>
    <row r="10" spans="1:14" ht="21">
      <c r="A10" s="30" t="s">
        <v>723</v>
      </c>
      <c r="B10" s="62" t="s">
        <v>18</v>
      </c>
      <c r="C10" s="14">
        <v>7</v>
      </c>
      <c r="D10" s="31">
        <v>1</v>
      </c>
      <c r="E10" s="14">
        <f>D10+F10-1</f>
        <v>1</v>
      </c>
      <c r="F10" s="31">
        <v>1</v>
      </c>
      <c r="G10" s="16" t="s">
        <v>38</v>
      </c>
      <c r="H10" s="16" t="s">
        <v>297</v>
      </c>
      <c r="I10" s="16"/>
      <c r="J10" s="31"/>
      <c r="K10" s="31"/>
      <c r="L10" s="68"/>
      <c r="M10" s="17" t="s">
        <v>724</v>
      </c>
      <c r="N10" s="61"/>
    </row>
    <row r="11" spans="1:14" ht="15.75" customHeight="1">
      <c r="A11" s="645" t="s">
        <v>1609</v>
      </c>
      <c r="B11" s="70" t="s">
        <v>1535</v>
      </c>
      <c r="C11" s="14">
        <v>8</v>
      </c>
      <c r="D11" s="14">
        <f>E10+1</f>
        <v>2</v>
      </c>
      <c r="E11" s="14">
        <f>D11+F11-1</f>
        <v>15</v>
      </c>
      <c r="F11" s="14">
        <v>14</v>
      </c>
      <c r="G11" s="15" t="s">
        <v>301</v>
      </c>
      <c r="H11" s="16" t="s">
        <v>297</v>
      </c>
      <c r="I11" s="16" t="s">
        <v>1610</v>
      </c>
      <c r="J11" s="71" t="s">
        <v>1611</v>
      </c>
      <c r="K11" s="14" t="s">
        <v>1612</v>
      </c>
      <c r="L11" s="36" t="s">
        <v>1613</v>
      </c>
      <c r="M11" s="17" t="s">
        <v>290</v>
      </c>
      <c r="N11" s="61" t="s">
        <v>1614</v>
      </c>
    </row>
    <row r="12" spans="1:14" ht="14.25" customHeight="1">
      <c r="A12" s="33" t="s">
        <v>307</v>
      </c>
      <c r="B12" s="70" t="s">
        <v>1111</v>
      </c>
      <c r="C12" s="14">
        <v>9</v>
      </c>
      <c r="D12" s="14">
        <f>E11+1</f>
        <v>16</v>
      </c>
      <c r="E12" s="14">
        <f>D12+F12-1</f>
        <v>18</v>
      </c>
      <c r="F12" s="14">
        <v>3</v>
      </c>
      <c r="G12" s="73" t="s">
        <v>1469</v>
      </c>
      <c r="H12" s="16" t="s">
        <v>297</v>
      </c>
      <c r="I12" s="16" t="s">
        <v>1615</v>
      </c>
      <c r="J12" s="33" t="s">
        <v>1616</v>
      </c>
      <c r="K12" s="14" t="s">
        <v>1612</v>
      </c>
      <c r="L12" s="36" t="s">
        <v>1617</v>
      </c>
      <c r="M12" s="17" t="s">
        <v>290</v>
      </c>
      <c r="N12" s="61" t="s">
        <v>1551</v>
      </c>
    </row>
    <row r="13" spans="1:14" ht="14.25" customHeight="1">
      <c r="A13" s="645" t="s">
        <v>224</v>
      </c>
      <c r="B13" s="70" t="s">
        <v>1618</v>
      </c>
      <c r="C13" s="14">
        <v>10</v>
      </c>
      <c r="D13" s="14">
        <f t="shared" ref="D13:D52" si="1">E12+1</f>
        <v>19</v>
      </c>
      <c r="E13" s="14">
        <f t="shared" ref="E13:E52" si="2">D13+F13-1</f>
        <v>21</v>
      </c>
      <c r="F13" s="14">
        <v>3</v>
      </c>
      <c r="G13" s="15" t="s">
        <v>1619</v>
      </c>
      <c r="H13" s="16" t="s">
        <v>297</v>
      </c>
      <c r="I13" s="16" t="s">
        <v>1615</v>
      </c>
      <c r="J13" s="33" t="s">
        <v>1620</v>
      </c>
      <c r="K13" s="14" t="s">
        <v>1612</v>
      </c>
      <c r="L13" s="36" t="s">
        <v>1621</v>
      </c>
      <c r="M13" s="17" t="s">
        <v>290</v>
      </c>
      <c r="N13" s="61" t="s">
        <v>1614</v>
      </c>
    </row>
    <row r="14" spans="1:14" ht="14.25" customHeight="1">
      <c r="A14" s="33" t="s">
        <v>1622</v>
      </c>
      <c r="B14" s="70" t="s">
        <v>1623</v>
      </c>
      <c r="C14" s="14">
        <v>11</v>
      </c>
      <c r="D14" s="14">
        <f t="shared" si="1"/>
        <v>22</v>
      </c>
      <c r="E14" s="14">
        <f t="shared" si="2"/>
        <v>37</v>
      </c>
      <c r="F14" s="14">
        <v>16</v>
      </c>
      <c r="G14" s="73"/>
      <c r="H14" s="16" t="s">
        <v>297</v>
      </c>
      <c r="I14" s="16" t="s">
        <v>1615</v>
      </c>
      <c r="J14" s="33" t="s">
        <v>1624</v>
      </c>
      <c r="K14" s="14" t="s">
        <v>1612</v>
      </c>
      <c r="L14" s="36" t="s">
        <v>1625</v>
      </c>
      <c r="M14" s="17" t="s">
        <v>290</v>
      </c>
      <c r="N14" s="61" t="s">
        <v>1614</v>
      </c>
    </row>
    <row r="15" spans="1:14" ht="14.25" customHeight="1">
      <c r="A15" s="33" t="s">
        <v>314</v>
      </c>
      <c r="B15" s="70" t="s">
        <v>1626</v>
      </c>
      <c r="C15" s="14">
        <v>12</v>
      </c>
      <c r="D15" s="14">
        <f t="shared" si="1"/>
        <v>38</v>
      </c>
      <c r="E15" s="14">
        <f t="shared" si="2"/>
        <v>40</v>
      </c>
      <c r="F15" s="14">
        <v>3</v>
      </c>
      <c r="G15" s="73" t="s">
        <v>1469</v>
      </c>
      <c r="H15" s="16" t="s">
        <v>297</v>
      </c>
      <c r="I15" s="16" t="s">
        <v>1615</v>
      </c>
      <c r="J15" s="33" t="s">
        <v>1627</v>
      </c>
      <c r="K15" s="14" t="s">
        <v>1612</v>
      </c>
      <c r="L15" s="36" t="s">
        <v>1628</v>
      </c>
      <c r="M15" s="17" t="s">
        <v>290</v>
      </c>
      <c r="N15" s="61" t="s">
        <v>1551</v>
      </c>
    </row>
    <row r="16" spans="1:14" ht="14.25" customHeight="1">
      <c r="A16" s="33" t="s">
        <v>318</v>
      </c>
      <c r="B16" s="70" t="s">
        <v>1629</v>
      </c>
      <c r="C16" s="14">
        <v>13</v>
      </c>
      <c r="D16" s="14">
        <f t="shared" si="1"/>
        <v>41</v>
      </c>
      <c r="E16" s="14">
        <f t="shared" si="2"/>
        <v>41</v>
      </c>
      <c r="F16" s="14">
        <v>1</v>
      </c>
      <c r="G16" s="74"/>
      <c r="H16" s="16" t="s">
        <v>297</v>
      </c>
      <c r="I16" s="16" t="s">
        <v>1615</v>
      </c>
      <c r="J16" s="33" t="s">
        <v>1630</v>
      </c>
      <c r="K16" s="14" t="s">
        <v>1612</v>
      </c>
      <c r="L16" s="36" t="s">
        <v>1631</v>
      </c>
      <c r="M16" s="17" t="s">
        <v>290</v>
      </c>
      <c r="N16" s="61" t="s">
        <v>1551</v>
      </c>
    </row>
    <row r="17" spans="1:14" ht="10.5">
      <c r="A17" s="33" t="s">
        <v>326</v>
      </c>
      <c r="B17" s="70" t="s">
        <v>1632</v>
      </c>
      <c r="C17" s="14">
        <v>14</v>
      </c>
      <c r="D17" s="14">
        <f t="shared" si="1"/>
        <v>42</v>
      </c>
      <c r="E17" s="14">
        <f t="shared" si="2"/>
        <v>43</v>
      </c>
      <c r="F17" s="14">
        <v>2</v>
      </c>
      <c r="G17" s="74"/>
      <c r="H17" s="16" t="s">
        <v>297</v>
      </c>
      <c r="I17" s="16" t="s">
        <v>1633</v>
      </c>
      <c r="J17" s="75" t="s">
        <v>1634</v>
      </c>
      <c r="K17" s="14" t="s">
        <v>1612</v>
      </c>
      <c r="L17" s="36" t="s">
        <v>1635</v>
      </c>
      <c r="M17" s="17" t="s">
        <v>290</v>
      </c>
      <c r="N17" s="61" t="s">
        <v>1614</v>
      </c>
    </row>
    <row r="18" spans="1:14" ht="11.5">
      <c r="A18" s="33" t="s">
        <v>322</v>
      </c>
      <c r="B18" s="70" t="s">
        <v>1002</v>
      </c>
      <c r="C18" s="14">
        <v>15</v>
      </c>
      <c r="D18" s="14">
        <f t="shared" si="1"/>
        <v>44</v>
      </c>
      <c r="E18" s="14">
        <f t="shared" si="2"/>
        <v>51</v>
      </c>
      <c r="F18" s="14">
        <v>8</v>
      </c>
      <c r="G18" s="75"/>
      <c r="H18" s="16" t="s">
        <v>297</v>
      </c>
      <c r="I18" s="16" t="s">
        <v>1636</v>
      </c>
      <c r="J18" s="76" t="s">
        <v>1637</v>
      </c>
      <c r="K18" s="14" t="s">
        <v>1612</v>
      </c>
      <c r="L18" s="36" t="s">
        <v>1638</v>
      </c>
      <c r="M18" s="17" t="s">
        <v>290</v>
      </c>
      <c r="N18" s="61" t="s">
        <v>1551</v>
      </c>
    </row>
    <row r="19" spans="1:14" ht="14.25" customHeight="1">
      <c r="A19" s="646" t="s">
        <v>1639</v>
      </c>
      <c r="B19" s="70" t="s">
        <v>1640</v>
      </c>
      <c r="C19" s="14">
        <v>16</v>
      </c>
      <c r="D19" s="14">
        <f t="shared" si="1"/>
        <v>52</v>
      </c>
      <c r="E19" s="14">
        <f t="shared" si="2"/>
        <v>65</v>
      </c>
      <c r="F19" s="14">
        <v>14</v>
      </c>
      <c r="G19" s="74"/>
      <c r="H19" s="16" t="s">
        <v>297</v>
      </c>
      <c r="I19" s="16" t="s">
        <v>1610</v>
      </c>
      <c r="J19" s="33" t="s">
        <v>1641</v>
      </c>
      <c r="K19" s="14" t="s">
        <v>1612</v>
      </c>
      <c r="L19" s="36" t="s">
        <v>1642</v>
      </c>
      <c r="M19" s="17" t="s">
        <v>290</v>
      </c>
      <c r="N19" s="61" t="s">
        <v>1551</v>
      </c>
    </row>
    <row r="20" spans="1:14" ht="40">
      <c r="A20" s="33" t="s">
        <v>1643</v>
      </c>
      <c r="B20" s="70" t="s">
        <v>1632</v>
      </c>
      <c r="C20" s="14">
        <v>17</v>
      </c>
      <c r="D20" s="14">
        <f t="shared" si="1"/>
        <v>66</v>
      </c>
      <c r="E20" s="14">
        <f t="shared" si="2"/>
        <v>67</v>
      </c>
      <c r="F20" s="14">
        <v>2</v>
      </c>
      <c r="G20" s="16" t="s">
        <v>1644</v>
      </c>
      <c r="H20" s="16" t="s">
        <v>297</v>
      </c>
      <c r="I20" s="16" t="s">
        <v>1610</v>
      </c>
      <c r="J20" s="33" t="s">
        <v>1645</v>
      </c>
      <c r="K20" s="14" t="s">
        <v>1612</v>
      </c>
      <c r="L20" s="36" t="s">
        <v>1646</v>
      </c>
      <c r="M20" s="17" t="s">
        <v>290</v>
      </c>
      <c r="N20" s="61" t="s">
        <v>1614</v>
      </c>
    </row>
    <row r="21" spans="1:14" ht="11.5">
      <c r="A21" s="646" t="s">
        <v>1647</v>
      </c>
      <c r="B21" s="70" t="s">
        <v>1640</v>
      </c>
      <c r="C21" s="14">
        <v>18</v>
      </c>
      <c r="D21" s="14">
        <f t="shared" si="1"/>
        <v>68</v>
      </c>
      <c r="E21" s="14">
        <f t="shared" si="2"/>
        <v>81</v>
      </c>
      <c r="F21" s="14">
        <v>14</v>
      </c>
      <c r="G21" s="16"/>
      <c r="H21" s="16" t="s">
        <v>297</v>
      </c>
      <c r="I21" s="16" t="s">
        <v>1610</v>
      </c>
      <c r="J21" s="76" t="s">
        <v>1648</v>
      </c>
      <c r="K21" s="14" t="s">
        <v>1612</v>
      </c>
      <c r="L21" s="36" t="s">
        <v>1649</v>
      </c>
      <c r="M21" s="17" t="s">
        <v>290</v>
      </c>
      <c r="N21" s="61" t="s">
        <v>1551</v>
      </c>
    </row>
    <row r="22" spans="1:14" ht="30">
      <c r="A22" s="646" t="s">
        <v>1650</v>
      </c>
      <c r="B22" s="70" t="s">
        <v>1632</v>
      </c>
      <c r="C22" s="14">
        <v>19</v>
      </c>
      <c r="D22" s="14">
        <f t="shared" si="1"/>
        <v>82</v>
      </c>
      <c r="E22" s="14">
        <f t="shared" si="2"/>
        <v>83</v>
      </c>
      <c r="F22" s="14">
        <v>2</v>
      </c>
      <c r="G22" s="16" t="s">
        <v>1651</v>
      </c>
      <c r="H22" s="16" t="s">
        <v>297</v>
      </c>
      <c r="I22" s="16" t="s">
        <v>1633</v>
      </c>
      <c r="J22" s="33" t="s">
        <v>1652</v>
      </c>
      <c r="K22" s="14" t="s">
        <v>1612</v>
      </c>
      <c r="L22" s="36" t="s">
        <v>1653</v>
      </c>
      <c r="M22" s="17" t="s">
        <v>290</v>
      </c>
      <c r="N22" s="61" t="s">
        <v>1551</v>
      </c>
    </row>
    <row r="23" spans="1:14" ht="20">
      <c r="A23" s="646" t="s">
        <v>347</v>
      </c>
      <c r="B23" s="70" t="s">
        <v>1640</v>
      </c>
      <c r="C23" s="14">
        <v>20</v>
      </c>
      <c r="D23" s="14">
        <f t="shared" si="1"/>
        <v>84</v>
      </c>
      <c r="E23" s="14">
        <f t="shared" si="2"/>
        <v>97</v>
      </c>
      <c r="F23" s="14">
        <v>14</v>
      </c>
      <c r="G23" s="74"/>
      <c r="H23" s="16" t="s">
        <v>297</v>
      </c>
      <c r="I23" s="16" t="s">
        <v>1610</v>
      </c>
      <c r="J23" s="75" t="s">
        <v>1654</v>
      </c>
      <c r="K23" s="14" t="s">
        <v>1612</v>
      </c>
      <c r="L23" s="36" t="s">
        <v>1655</v>
      </c>
      <c r="M23" s="17" t="s">
        <v>290</v>
      </c>
      <c r="N23" s="61" t="s">
        <v>1551</v>
      </c>
    </row>
    <row r="24" spans="1:14" ht="14.25" customHeight="1">
      <c r="A24" s="33" t="s">
        <v>1656</v>
      </c>
      <c r="B24" s="70" t="s">
        <v>1657</v>
      </c>
      <c r="C24" s="14">
        <v>21</v>
      </c>
      <c r="D24" s="14">
        <f t="shared" si="1"/>
        <v>98</v>
      </c>
      <c r="E24" s="14">
        <f t="shared" si="2"/>
        <v>110</v>
      </c>
      <c r="F24" s="14">
        <v>13</v>
      </c>
      <c r="G24" s="74"/>
      <c r="H24" s="16" t="s">
        <v>297</v>
      </c>
      <c r="I24" s="16" t="s">
        <v>1633</v>
      </c>
      <c r="J24" s="33" t="s">
        <v>1658</v>
      </c>
      <c r="K24" s="14" t="s">
        <v>1612</v>
      </c>
      <c r="L24" s="36" t="s">
        <v>1659</v>
      </c>
      <c r="M24" s="17" t="s">
        <v>290</v>
      </c>
      <c r="N24" s="61" t="s">
        <v>1551</v>
      </c>
    </row>
    <row r="25" spans="1:14" ht="14.25" customHeight="1">
      <c r="A25" s="646" t="s">
        <v>1660</v>
      </c>
      <c r="B25" s="70" t="s">
        <v>1661</v>
      </c>
      <c r="C25" s="14">
        <v>22</v>
      </c>
      <c r="D25" s="14">
        <f t="shared" si="1"/>
        <v>111</v>
      </c>
      <c r="E25" s="14">
        <f t="shared" si="2"/>
        <v>118</v>
      </c>
      <c r="F25" s="14">
        <v>8</v>
      </c>
      <c r="G25" s="77" t="s">
        <v>1662</v>
      </c>
      <c r="H25" s="16" t="s">
        <v>297</v>
      </c>
      <c r="I25" s="16" t="s">
        <v>1633</v>
      </c>
      <c r="J25" s="33" t="s">
        <v>1663</v>
      </c>
      <c r="K25" s="14" t="s">
        <v>1612</v>
      </c>
      <c r="L25" s="36" t="s">
        <v>1664</v>
      </c>
      <c r="M25" s="17" t="s">
        <v>290</v>
      </c>
      <c r="N25" s="61" t="s">
        <v>1614</v>
      </c>
    </row>
    <row r="26" spans="1:14" ht="10.5">
      <c r="A26" s="646" t="s">
        <v>1665</v>
      </c>
      <c r="B26" s="70" t="s">
        <v>1661</v>
      </c>
      <c r="C26" s="14">
        <v>23</v>
      </c>
      <c r="D26" s="14">
        <f t="shared" si="1"/>
        <v>119</v>
      </c>
      <c r="E26" s="14">
        <f t="shared" si="2"/>
        <v>126</v>
      </c>
      <c r="F26" s="14">
        <v>8</v>
      </c>
      <c r="G26" s="77" t="s">
        <v>1662</v>
      </c>
      <c r="H26" s="16" t="s">
        <v>297</v>
      </c>
      <c r="I26" s="16" t="s">
        <v>1610</v>
      </c>
      <c r="J26" s="33" t="s">
        <v>1666</v>
      </c>
      <c r="K26" s="14" t="s">
        <v>1612</v>
      </c>
      <c r="L26" s="36" t="s">
        <v>1667</v>
      </c>
      <c r="M26" s="17" t="s">
        <v>290</v>
      </c>
      <c r="N26" s="61" t="s">
        <v>1614</v>
      </c>
    </row>
    <row r="27" spans="1:14" ht="14.25" customHeight="1">
      <c r="A27" s="33" t="s">
        <v>1668</v>
      </c>
      <c r="B27" s="70" t="s">
        <v>1640</v>
      </c>
      <c r="C27" s="14">
        <v>24</v>
      </c>
      <c r="D27" s="14">
        <f t="shared" si="1"/>
        <v>127</v>
      </c>
      <c r="E27" s="14">
        <f t="shared" si="2"/>
        <v>140</v>
      </c>
      <c r="F27" s="14">
        <v>14</v>
      </c>
      <c r="G27" s="74"/>
      <c r="H27" s="16" t="s">
        <v>297</v>
      </c>
      <c r="I27" s="16" t="s">
        <v>1610</v>
      </c>
      <c r="J27" s="33" t="s">
        <v>1669</v>
      </c>
      <c r="K27" s="14" t="s">
        <v>1612</v>
      </c>
      <c r="L27" s="36" t="s">
        <v>1670</v>
      </c>
      <c r="M27" s="17" t="s">
        <v>290</v>
      </c>
      <c r="N27" s="61" t="s">
        <v>1551</v>
      </c>
    </row>
    <row r="28" spans="1:14" ht="14.25" customHeight="1">
      <c r="A28" s="646" t="s">
        <v>483</v>
      </c>
      <c r="B28" s="70" t="s">
        <v>1671</v>
      </c>
      <c r="C28" s="14">
        <v>25</v>
      </c>
      <c r="D28" s="14">
        <f t="shared" si="1"/>
        <v>141</v>
      </c>
      <c r="E28" s="14">
        <f t="shared" si="2"/>
        <v>141</v>
      </c>
      <c r="F28" s="14">
        <v>1</v>
      </c>
      <c r="G28" s="16" t="s">
        <v>1672</v>
      </c>
      <c r="H28" s="16" t="s">
        <v>297</v>
      </c>
      <c r="I28" s="16" t="s">
        <v>1610</v>
      </c>
      <c r="J28" s="33" t="s">
        <v>1673</v>
      </c>
      <c r="K28" s="14" t="s">
        <v>1612</v>
      </c>
      <c r="L28" s="36" t="s">
        <v>1674</v>
      </c>
      <c r="M28" s="17" t="s">
        <v>290</v>
      </c>
      <c r="N28" s="61" t="s">
        <v>1614</v>
      </c>
    </row>
    <row r="29" spans="1:14" ht="52.5">
      <c r="A29" s="33" t="s">
        <v>1675</v>
      </c>
      <c r="B29" s="70" t="s">
        <v>1671</v>
      </c>
      <c r="C29" s="14">
        <v>26</v>
      </c>
      <c r="D29" s="14">
        <f t="shared" si="1"/>
        <v>142</v>
      </c>
      <c r="E29" s="14">
        <f t="shared" si="2"/>
        <v>142</v>
      </c>
      <c r="F29" s="14">
        <v>1</v>
      </c>
      <c r="G29" s="74" t="s">
        <v>1676</v>
      </c>
      <c r="H29" s="16" t="s">
        <v>297</v>
      </c>
      <c r="I29" s="16" t="s">
        <v>1610</v>
      </c>
      <c r="J29" s="33"/>
      <c r="K29" s="14" t="s">
        <v>1612</v>
      </c>
      <c r="L29" s="36" t="s">
        <v>1677</v>
      </c>
      <c r="M29" s="17" t="s">
        <v>290</v>
      </c>
      <c r="N29" s="61" t="s">
        <v>1614</v>
      </c>
    </row>
    <row r="30" spans="1:14" ht="14.25" customHeight="1">
      <c r="A30" s="33" t="s">
        <v>417</v>
      </c>
      <c r="B30" s="70" t="s">
        <v>1632</v>
      </c>
      <c r="C30" s="14">
        <v>27</v>
      </c>
      <c r="D30" s="14">
        <f t="shared" si="1"/>
        <v>143</v>
      </c>
      <c r="E30" s="14">
        <f t="shared" si="2"/>
        <v>144</v>
      </c>
      <c r="F30" s="14">
        <v>2</v>
      </c>
      <c r="G30" s="74"/>
      <c r="H30" s="16" t="s">
        <v>297</v>
      </c>
      <c r="I30" s="16" t="s">
        <v>1610</v>
      </c>
      <c r="J30" s="33" t="s">
        <v>1678</v>
      </c>
      <c r="K30" s="14" t="s">
        <v>1612</v>
      </c>
      <c r="L30" s="36" t="s">
        <v>1679</v>
      </c>
      <c r="M30" s="17" t="s">
        <v>290</v>
      </c>
      <c r="N30" s="61" t="s">
        <v>1551</v>
      </c>
    </row>
    <row r="31" spans="1:14" ht="240">
      <c r="A31" s="646" t="s">
        <v>3112</v>
      </c>
      <c r="B31" s="70" t="s">
        <v>1548</v>
      </c>
      <c r="C31" s="14">
        <v>28</v>
      </c>
      <c r="D31" s="14">
        <f t="shared" si="1"/>
        <v>145</v>
      </c>
      <c r="E31" s="14">
        <f t="shared" si="2"/>
        <v>170</v>
      </c>
      <c r="F31" s="14">
        <v>26</v>
      </c>
      <c r="G31" s="78" t="s">
        <v>1680</v>
      </c>
      <c r="H31" s="16" t="s">
        <v>1549</v>
      </c>
      <c r="I31" s="16" t="s">
        <v>1610</v>
      </c>
      <c r="J31" s="33"/>
      <c r="K31" s="14" t="s">
        <v>1612</v>
      </c>
      <c r="L31" s="33" t="s">
        <v>1681</v>
      </c>
      <c r="M31" s="17" t="s">
        <v>290</v>
      </c>
      <c r="N31" s="61" t="s">
        <v>1551</v>
      </c>
    </row>
    <row r="32" spans="1:14" ht="20.5">
      <c r="A32" s="648" t="s">
        <v>1682</v>
      </c>
      <c r="B32" s="70" t="s">
        <v>1640</v>
      </c>
      <c r="C32" s="14">
        <v>29</v>
      </c>
      <c r="D32" s="14">
        <f t="shared" si="1"/>
        <v>171</v>
      </c>
      <c r="E32" s="14">
        <f t="shared" si="2"/>
        <v>184</v>
      </c>
      <c r="F32" s="14">
        <v>14</v>
      </c>
      <c r="G32" s="74" t="s">
        <v>1683</v>
      </c>
      <c r="H32" s="16" t="s">
        <v>297</v>
      </c>
      <c r="I32" s="16" t="s">
        <v>1684</v>
      </c>
      <c r="J32" s="75" t="s">
        <v>1685</v>
      </c>
      <c r="K32" s="14" t="s">
        <v>1612</v>
      </c>
      <c r="L32" s="36" t="s">
        <v>1686</v>
      </c>
      <c r="M32" s="17" t="s">
        <v>290</v>
      </c>
      <c r="N32" s="61" t="s">
        <v>1551</v>
      </c>
    </row>
    <row r="33" spans="1:14" ht="20.5">
      <c r="A33" s="648" t="s">
        <v>1687</v>
      </c>
      <c r="B33" s="70" t="s">
        <v>1640</v>
      </c>
      <c r="C33" s="14">
        <v>30</v>
      </c>
      <c r="D33" s="14">
        <f t="shared" si="1"/>
        <v>185</v>
      </c>
      <c r="E33" s="14">
        <f t="shared" si="2"/>
        <v>198</v>
      </c>
      <c r="F33" s="14">
        <v>14</v>
      </c>
      <c r="G33" s="74" t="s">
        <v>1683</v>
      </c>
      <c r="H33" s="16" t="s">
        <v>297</v>
      </c>
      <c r="I33" s="16" t="s">
        <v>1684</v>
      </c>
      <c r="J33" s="75" t="s">
        <v>1688</v>
      </c>
      <c r="K33" s="14" t="s">
        <v>1612</v>
      </c>
      <c r="L33" s="36" t="s">
        <v>1689</v>
      </c>
      <c r="M33" s="17" t="s">
        <v>290</v>
      </c>
      <c r="N33" s="61" t="s">
        <v>1551</v>
      </c>
    </row>
    <row r="34" spans="1:14" ht="20.5">
      <c r="A34" s="648" t="s">
        <v>1690</v>
      </c>
      <c r="B34" s="70" t="s">
        <v>1640</v>
      </c>
      <c r="C34" s="14">
        <v>31</v>
      </c>
      <c r="D34" s="14">
        <f t="shared" si="1"/>
        <v>199</v>
      </c>
      <c r="E34" s="14">
        <f t="shared" si="2"/>
        <v>212</v>
      </c>
      <c r="F34" s="14">
        <v>14</v>
      </c>
      <c r="G34" s="74" t="s">
        <v>1683</v>
      </c>
      <c r="H34" s="16" t="s">
        <v>297</v>
      </c>
      <c r="I34" s="16" t="s">
        <v>1684</v>
      </c>
      <c r="J34" s="75" t="s">
        <v>1691</v>
      </c>
      <c r="K34" s="14" t="s">
        <v>1612</v>
      </c>
      <c r="L34" s="36" t="s">
        <v>1692</v>
      </c>
      <c r="M34" s="17" t="s">
        <v>290</v>
      </c>
      <c r="N34" s="61" t="s">
        <v>1551</v>
      </c>
    </row>
    <row r="35" spans="1:14" ht="20.5">
      <c r="A35" s="33" t="s">
        <v>1693</v>
      </c>
      <c r="B35" s="70" t="s">
        <v>1640</v>
      </c>
      <c r="C35" s="14">
        <v>32</v>
      </c>
      <c r="D35" s="14">
        <f t="shared" si="1"/>
        <v>213</v>
      </c>
      <c r="E35" s="14">
        <f t="shared" si="2"/>
        <v>226</v>
      </c>
      <c r="F35" s="14">
        <v>14</v>
      </c>
      <c r="G35" s="74" t="s">
        <v>1683</v>
      </c>
      <c r="H35" s="16" t="s">
        <v>297</v>
      </c>
      <c r="I35" s="16" t="s">
        <v>1684</v>
      </c>
      <c r="J35" s="75" t="s">
        <v>1694</v>
      </c>
      <c r="K35" s="14" t="s">
        <v>1612</v>
      </c>
      <c r="L35" s="36" t="s">
        <v>1695</v>
      </c>
      <c r="M35" s="17" t="s">
        <v>290</v>
      </c>
      <c r="N35" s="61" t="s">
        <v>1551</v>
      </c>
    </row>
    <row r="36" spans="1:14" ht="30">
      <c r="A36" s="33" t="s">
        <v>1696</v>
      </c>
      <c r="B36" s="70" t="s">
        <v>1640</v>
      </c>
      <c r="C36" s="14">
        <v>33</v>
      </c>
      <c r="D36" s="14">
        <f t="shared" si="1"/>
        <v>227</v>
      </c>
      <c r="E36" s="14">
        <f t="shared" si="2"/>
        <v>240</v>
      </c>
      <c r="F36" s="14">
        <v>14</v>
      </c>
      <c r="G36" s="74" t="s">
        <v>1683</v>
      </c>
      <c r="H36" s="16" t="s">
        <v>297</v>
      </c>
      <c r="I36" s="16" t="s">
        <v>1684</v>
      </c>
      <c r="J36" s="75" t="s">
        <v>1697</v>
      </c>
      <c r="K36" s="14" t="s">
        <v>1612</v>
      </c>
      <c r="L36" s="36" t="s">
        <v>1698</v>
      </c>
      <c r="M36" s="17" t="s">
        <v>290</v>
      </c>
      <c r="N36" s="61" t="s">
        <v>1551</v>
      </c>
    </row>
    <row r="37" spans="1:14" ht="30">
      <c r="A37" s="33" t="s">
        <v>1699</v>
      </c>
      <c r="B37" s="70" t="s">
        <v>1640</v>
      </c>
      <c r="C37" s="14">
        <v>34</v>
      </c>
      <c r="D37" s="14">
        <f t="shared" si="1"/>
        <v>241</v>
      </c>
      <c r="E37" s="14">
        <f t="shared" si="2"/>
        <v>254</v>
      </c>
      <c r="F37" s="14">
        <v>14</v>
      </c>
      <c r="G37" s="74" t="s">
        <v>1683</v>
      </c>
      <c r="H37" s="16" t="s">
        <v>297</v>
      </c>
      <c r="I37" s="16" t="s">
        <v>1684</v>
      </c>
      <c r="J37" s="75" t="s">
        <v>1700</v>
      </c>
      <c r="K37" s="14" t="s">
        <v>1612</v>
      </c>
      <c r="L37" s="36" t="s">
        <v>1701</v>
      </c>
      <c r="M37" s="17" t="s">
        <v>290</v>
      </c>
      <c r="N37" s="61" t="s">
        <v>1551</v>
      </c>
    </row>
    <row r="38" spans="1:14" ht="30">
      <c r="A38" s="33" t="s">
        <v>1702</v>
      </c>
      <c r="B38" s="70" t="s">
        <v>1640</v>
      </c>
      <c r="C38" s="14">
        <v>35</v>
      </c>
      <c r="D38" s="14">
        <f t="shared" si="1"/>
        <v>255</v>
      </c>
      <c r="E38" s="14">
        <f t="shared" si="2"/>
        <v>268</v>
      </c>
      <c r="F38" s="14">
        <v>14</v>
      </c>
      <c r="G38" s="74" t="s">
        <v>1683</v>
      </c>
      <c r="H38" s="16" t="s">
        <v>297</v>
      </c>
      <c r="I38" s="16" t="s">
        <v>1684</v>
      </c>
      <c r="J38" s="75" t="s">
        <v>1703</v>
      </c>
      <c r="K38" s="14" t="s">
        <v>1612</v>
      </c>
      <c r="L38" s="36" t="s">
        <v>1704</v>
      </c>
      <c r="M38" s="17" t="s">
        <v>290</v>
      </c>
      <c r="N38" s="61" t="s">
        <v>1551</v>
      </c>
    </row>
    <row r="39" spans="1:14" ht="30">
      <c r="A39" s="33" t="s">
        <v>1705</v>
      </c>
      <c r="B39" s="70" t="s">
        <v>1640</v>
      </c>
      <c r="C39" s="14">
        <v>36</v>
      </c>
      <c r="D39" s="14">
        <f t="shared" si="1"/>
        <v>269</v>
      </c>
      <c r="E39" s="14">
        <f t="shared" si="2"/>
        <v>282</v>
      </c>
      <c r="F39" s="14">
        <v>14</v>
      </c>
      <c r="G39" s="74" t="s">
        <v>1683</v>
      </c>
      <c r="H39" s="16" t="s">
        <v>297</v>
      </c>
      <c r="I39" s="16" t="s">
        <v>1684</v>
      </c>
      <c r="J39" s="75" t="s">
        <v>1706</v>
      </c>
      <c r="K39" s="14" t="s">
        <v>1612</v>
      </c>
      <c r="L39" s="36" t="s">
        <v>1707</v>
      </c>
      <c r="M39" s="17" t="s">
        <v>290</v>
      </c>
      <c r="N39" s="61" t="s">
        <v>1551</v>
      </c>
    </row>
    <row r="40" spans="1:14" ht="72">
      <c r="A40" s="33" t="s">
        <v>1708</v>
      </c>
      <c r="B40" s="70" t="s">
        <v>1709</v>
      </c>
      <c r="C40" s="14">
        <v>37</v>
      </c>
      <c r="D40" s="14">
        <f t="shared" si="1"/>
        <v>283</v>
      </c>
      <c r="E40" s="14">
        <f t="shared" si="2"/>
        <v>294</v>
      </c>
      <c r="F40" s="14">
        <v>12</v>
      </c>
      <c r="G40" s="398" t="s">
        <v>1710</v>
      </c>
      <c r="H40" s="16" t="s">
        <v>297</v>
      </c>
      <c r="I40" s="16" t="s">
        <v>1711</v>
      </c>
      <c r="J40" s="33"/>
      <c r="K40" s="14" t="s">
        <v>1612</v>
      </c>
      <c r="L40" s="36" t="s">
        <v>1712</v>
      </c>
      <c r="M40" s="17" t="s">
        <v>290</v>
      </c>
      <c r="N40" s="61" t="s">
        <v>1551</v>
      </c>
    </row>
    <row r="41" spans="1:14" ht="14.25" customHeight="1">
      <c r="A41" s="33" t="s">
        <v>1713</v>
      </c>
      <c r="B41" s="70" t="s">
        <v>1714</v>
      </c>
      <c r="C41" s="14">
        <v>38</v>
      </c>
      <c r="D41" s="14">
        <f t="shared" si="1"/>
        <v>295</v>
      </c>
      <c r="E41" s="14">
        <f t="shared" si="2"/>
        <v>299</v>
      </c>
      <c r="F41" s="14">
        <v>5</v>
      </c>
      <c r="G41" s="74"/>
      <c r="H41" s="16" t="s">
        <v>297</v>
      </c>
      <c r="I41" s="16" t="s">
        <v>1610</v>
      </c>
      <c r="J41" s="33" t="s">
        <v>1715</v>
      </c>
      <c r="K41" s="14" t="s">
        <v>1612</v>
      </c>
      <c r="L41" s="36" t="s">
        <v>1716</v>
      </c>
      <c r="M41" s="17" t="s">
        <v>290</v>
      </c>
      <c r="N41" s="61" t="s">
        <v>1551</v>
      </c>
    </row>
    <row r="42" spans="1:14" ht="20">
      <c r="A42" s="75" t="s">
        <v>1717</v>
      </c>
      <c r="B42" s="70" t="s">
        <v>1714</v>
      </c>
      <c r="C42" s="14">
        <v>39</v>
      </c>
      <c r="D42" s="14">
        <f t="shared" si="1"/>
        <v>300</v>
      </c>
      <c r="E42" s="14">
        <f t="shared" si="2"/>
        <v>304</v>
      </c>
      <c r="F42" s="14">
        <v>5</v>
      </c>
      <c r="G42" s="74"/>
      <c r="H42" s="16" t="s">
        <v>297</v>
      </c>
      <c r="I42" s="16" t="s">
        <v>1610</v>
      </c>
      <c r="J42" s="33" t="s">
        <v>1718</v>
      </c>
      <c r="K42" s="14" t="s">
        <v>1612</v>
      </c>
      <c r="L42" s="36" t="s">
        <v>1719</v>
      </c>
      <c r="M42" s="17" t="s">
        <v>290</v>
      </c>
      <c r="N42" s="61" t="s">
        <v>1551</v>
      </c>
    </row>
    <row r="43" spans="1:14" ht="14.25" customHeight="1">
      <c r="A43" s="33" t="s">
        <v>1720</v>
      </c>
      <c r="B43" s="70" t="s">
        <v>1601</v>
      </c>
      <c r="C43" s="14">
        <v>40</v>
      </c>
      <c r="D43" s="14">
        <f t="shared" si="1"/>
        <v>305</v>
      </c>
      <c r="E43" s="14">
        <f t="shared" si="2"/>
        <v>307</v>
      </c>
      <c r="F43" s="14">
        <v>3</v>
      </c>
      <c r="G43" s="73" t="s">
        <v>1469</v>
      </c>
      <c r="H43" s="16" t="s">
        <v>297</v>
      </c>
      <c r="I43" s="16" t="s">
        <v>1610</v>
      </c>
      <c r="J43" s="33" t="s">
        <v>1721</v>
      </c>
      <c r="K43" s="14" t="s">
        <v>1612</v>
      </c>
      <c r="L43" s="36" t="s">
        <v>1722</v>
      </c>
      <c r="M43" s="17" t="s">
        <v>290</v>
      </c>
      <c r="N43" s="61" t="s">
        <v>1551</v>
      </c>
    </row>
    <row r="44" spans="1:14" ht="10.5">
      <c r="A44" s="33" t="s">
        <v>1643</v>
      </c>
      <c r="B44" s="70" t="s">
        <v>1723</v>
      </c>
      <c r="C44" s="14">
        <v>41</v>
      </c>
      <c r="D44" s="14">
        <f t="shared" si="1"/>
        <v>308</v>
      </c>
      <c r="E44" s="14">
        <f t="shared" si="2"/>
        <v>312</v>
      </c>
      <c r="F44" s="14">
        <v>5</v>
      </c>
      <c r="G44" s="74"/>
      <c r="H44" s="16" t="s">
        <v>297</v>
      </c>
      <c r="I44" s="16" t="s">
        <v>1633</v>
      </c>
      <c r="J44" s="33" t="s">
        <v>1724</v>
      </c>
      <c r="K44" s="14" t="s">
        <v>1612</v>
      </c>
      <c r="L44" s="36" t="s">
        <v>1725</v>
      </c>
      <c r="M44" s="17" t="s">
        <v>290</v>
      </c>
      <c r="N44" s="61" t="s">
        <v>1551</v>
      </c>
    </row>
    <row r="45" spans="1:14" ht="42">
      <c r="A45" s="33" t="s">
        <v>1726</v>
      </c>
      <c r="B45" s="70" t="s">
        <v>1727</v>
      </c>
      <c r="C45" s="14">
        <v>42</v>
      </c>
      <c r="D45" s="14">
        <f t="shared" si="1"/>
        <v>313</v>
      </c>
      <c r="E45" s="14">
        <f t="shared" si="2"/>
        <v>326</v>
      </c>
      <c r="F45" s="14">
        <v>14</v>
      </c>
      <c r="G45" s="74" t="s">
        <v>1728</v>
      </c>
      <c r="H45" s="16" t="s">
        <v>297</v>
      </c>
      <c r="I45" s="16" t="s">
        <v>1729</v>
      </c>
      <c r="J45" s="75" t="s">
        <v>1730</v>
      </c>
      <c r="K45" s="14" t="s">
        <v>1612</v>
      </c>
      <c r="L45" s="36" t="s">
        <v>1731</v>
      </c>
      <c r="M45" s="17" t="s">
        <v>290</v>
      </c>
      <c r="N45" s="61" t="s">
        <v>1551</v>
      </c>
    </row>
    <row r="46" spans="1:14" ht="21">
      <c r="A46" s="646" t="s">
        <v>457</v>
      </c>
      <c r="B46" s="70" t="s">
        <v>1671</v>
      </c>
      <c r="C46" s="14">
        <v>43</v>
      </c>
      <c r="D46" s="14">
        <f t="shared" si="1"/>
        <v>327</v>
      </c>
      <c r="E46" s="14">
        <f t="shared" si="2"/>
        <v>327</v>
      </c>
      <c r="F46" s="14">
        <v>1</v>
      </c>
      <c r="G46" s="74" t="s">
        <v>1732</v>
      </c>
      <c r="H46" s="16" t="s">
        <v>297</v>
      </c>
      <c r="I46" s="16" t="s">
        <v>1610</v>
      </c>
      <c r="J46" s="33" t="s">
        <v>1733</v>
      </c>
      <c r="K46" s="14" t="s">
        <v>1612</v>
      </c>
      <c r="L46" s="36" t="s">
        <v>1734</v>
      </c>
      <c r="M46" s="17" t="s">
        <v>290</v>
      </c>
      <c r="N46" s="61" t="s">
        <v>1614</v>
      </c>
    </row>
    <row r="47" spans="1:14" ht="14.25" customHeight="1">
      <c r="A47" s="646" t="s">
        <v>483</v>
      </c>
      <c r="B47" s="70" t="s">
        <v>1671</v>
      </c>
      <c r="C47" s="14">
        <v>44</v>
      </c>
      <c r="D47" s="14">
        <f t="shared" si="1"/>
        <v>328</v>
      </c>
      <c r="E47" s="14">
        <f t="shared" si="2"/>
        <v>328</v>
      </c>
      <c r="F47" s="14">
        <v>1</v>
      </c>
      <c r="G47" s="74"/>
      <c r="H47" s="16" t="s">
        <v>297</v>
      </c>
      <c r="I47" s="16" t="s">
        <v>1610</v>
      </c>
      <c r="J47" s="33" t="s">
        <v>1735</v>
      </c>
      <c r="K47" s="14" t="s">
        <v>1612</v>
      </c>
      <c r="L47" s="36" t="s">
        <v>1736</v>
      </c>
      <c r="M47" s="17" t="s">
        <v>290</v>
      </c>
      <c r="N47" s="61" t="s">
        <v>1551</v>
      </c>
    </row>
    <row r="48" spans="1:14" ht="31.5">
      <c r="A48" s="646" t="s">
        <v>1737</v>
      </c>
      <c r="B48" s="70" t="s">
        <v>1661</v>
      </c>
      <c r="C48" s="14">
        <v>45</v>
      </c>
      <c r="D48" s="14">
        <f t="shared" si="1"/>
        <v>329</v>
      </c>
      <c r="E48" s="14">
        <f t="shared" si="2"/>
        <v>336</v>
      </c>
      <c r="F48" s="14">
        <v>8</v>
      </c>
      <c r="G48" s="77" t="s">
        <v>1738</v>
      </c>
      <c r="H48" s="16" t="s">
        <v>297</v>
      </c>
      <c r="I48" s="16" t="s">
        <v>1610</v>
      </c>
      <c r="J48" s="33" t="s">
        <v>1739</v>
      </c>
      <c r="K48" s="14" t="s">
        <v>1612</v>
      </c>
      <c r="L48" s="36" t="s">
        <v>1740</v>
      </c>
      <c r="M48" s="17" t="s">
        <v>290</v>
      </c>
      <c r="N48" s="61" t="s">
        <v>1551</v>
      </c>
    </row>
    <row r="49" spans="1:14">
      <c r="A49" s="647" t="s">
        <v>862</v>
      </c>
      <c r="B49" s="70" t="s">
        <v>1008</v>
      </c>
      <c r="C49" s="14">
        <v>46</v>
      </c>
      <c r="D49" s="14">
        <f t="shared" si="1"/>
        <v>337</v>
      </c>
      <c r="E49" s="14">
        <f t="shared" si="2"/>
        <v>347</v>
      </c>
      <c r="F49" s="14">
        <v>11</v>
      </c>
      <c r="G49" s="16"/>
      <c r="H49" s="16" t="s">
        <v>1587</v>
      </c>
      <c r="I49" s="16" t="s">
        <v>1615</v>
      </c>
      <c r="J49" s="33" t="s">
        <v>1741</v>
      </c>
      <c r="K49" s="14" t="s">
        <v>1742</v>
      </c>
      <c r="L49" s="36"/>
      <c r="M49" s="17" t="s">
        <v>724</v>
      </c>
      <c r="N49" s="61" t="s">
        <v>1551</v>
      </c>
    </row>
    <row r="50" spans="1:14">
      <c r="A50" s="647" t="s">
        <v>3113</v>
      </c>
      <c r="B50" s="70" t="s">
        <v>1591</v>
      </c>
      <c r="C50" s="14">
        <v>47</v>
      </c>
      <c r="D50" s="14">
        <f t="shared" si="1"/>
        <v>348</v>
      </c>
      <c r="E50" s="14">
        <f t="shared" si="2"/>
        <v>387</v>
      </c>
      <c r="F50" s="14">
        <v>40</v>
      </c>
      <c r="G50" s="16"/>
      <c r="H50" s="16" t="s">
        <v>1549</v>
      </c>
      <c r="I50" s="16" t="s">
        <v>1592</v>
      </c>
      <c r="J50" s="33" t="s">
        <v>1593</v>
      </c>
      <c r="K50" s="14" t="s">
        <v>1743</v>
      </c>
      <c r="L50" s="36">
        <v>2387</v>
      </c>
      <c r="M50" s="17" t="s">
        <v>724</v>
      </c>
      <c r="N50" s="61"/>
    </row>
    <row r="51" spans="1:14">
      <c r="A51" s="79" t="s">
        <v>1600</v>
      </c>
      <c r="B51" s="70" t="s">
        <v>1601</v>
      </c>
      <c r="C51" s="14">
        <v>63</v>
      </c>
      <c r="D51" s="14">
        <f t="shared" si="1"/>
        <v>388</v>
      </c>
      <c r="E51" s="14">
        <f t="shared" si="2"/>
        <v>390</v>
      </c>
      <c r="F51" s="14">
        <v>3</v>
      </c>
      <c r="G51" s="16"/>
      <c r="H51" s="16" t="s">
        <v>1549</v>
      </c>
      <c r="I51" s="16" t="s">
        <v>1615</v>
      </c>
      <c r="J51" s="33" t="s">
        <v>1744</v>
      </c>
      <c r="K51" s="14"/>
      <c r="L51" s="36"/>
      <c r="M51" s="17" t="s">
        <v>724</v>
      </c>
      <c r="N51" s="61"/>
    </row>
    <row r="52" spans="1:14" s="23" customFormat="1">
      <c r="A52" s="80" t="s">
        <v>719</v>
      </c>
      <c r="B52" s="19" t="s">
        <v>720</v>
      </c>
      <c r="C52" s="14">
        <v>48</v>
      </c>
      <c r="D52" s="14">
        <f t="shared" si="1"/>
        <v>391</v>
      </c>
      <c r="E52" s="14">
        <f t="shared" si="2"/>
        <v>391</v>
      </c>
      <c r="F52" s="19">
        <v>1</v>
      </c>
      <c r="G52" s="20" t="s">
        <v>1457</v>
      </c>
      <c r="H52" s="66"/>
      <c r="I52" s="66"/>
      <c r="J52" s="19"/>
      <c r="K52" s="19"/>
      <c r="L52" s="19"/>
      <c r="M52" s="21"/>
      <c r="N52" s="22"/>
    </row>
    <row r="53" spans="1:14" ht="31.5">
      <c r="A53" s="6" t="s">
        <v>1745</v>
      </c>
      <c r="B53" s="7" t="s">
        <v>14</v>
      </c>
      <c r="C53" s="27">
        <v>49</v>
      </c>
      <c r="D53" s="7">
        <v>1</v>
      </c>
      <c r="E53" s="27">
        <f>E56</f>
        <v>11</v>
      </c>
      <c r="F53" s="27">
        <f>E53</f>
        <v>11</v>
      </c>
      <c r="G53" s="29"/>
      <c r="H53" s="29"/>
      <c r="I53" s="29"/>
      <c r="J53" s="29"/>
      <c r="K53" s="29" t="s">
        <v>204</v>
      </c>
      <c r="L53" s="29"/>
      <c r="M53" s="17" t="s">
        <v>290</v>
      </c>
      <c r="N53" s="61"/>
    </row>
    <row r="54" spans="1:14" ht="21">
      <c r="A54" s="30" t="s">
        <v>723</v>
      </c>
      <c r="B54" s="62" t="s">
        <v>18</v>
      </c>
      <c r="C54" s="14">
        <v>50</v>
      </c>
      <c r="D54" s="14">
        <v>1</v>
      </c>
      <c r="E54" s="14">
        <v>1</v>
      </c>
      <c r="F54" s="14">
        <v>1</v>
      </c>
      <c r="G54" s="16" t="s">
        <v>205</v>
      </c>
      <c r="H54" s="16"/>
      <c r="I54" s="16"/>
      <c r="J54" s="14"/>
      <c r="K54" s="14"/>
      <c r="L54" s="63"/>
      <c r="M54" s="17" t="s">
        <v>290</v>
      </c>
      <c r="N54" s="61"/>
    </row>
    <row r="55" spans="1:14" ht="20.5">
      <c r="A55" s="42" t="s">
        <v>206</v>
      </c>
      <c r="B55" s="62" t="s">
        <v>207</v>
      </c>
      <c r="C55" s="14">
        <v>51</v>
      </c>
      <c r="D55" s="14">
        <v>2</v>
      </c>
      <c r="E55" s="14">
        <f>D55+F55-1</f>
        <v>10</v>
      </c>
      <c r="F55" s="14">
        <v>9</v>
      </c>
      <c r="G55" s="15" t="s">
        <v>208</v>
      </c>
      <c r="H55" s="16"/>
      <c r="I55" s="16"/>
      <c r="J55" s="14"/>
      <c r="K55" s="14"/>
      <c r="L55" s="63"/>
      <c r="M55" s="17" t="s">
        <v>290</v>
      </c>
      <c r="N55" s="61"/>
    </row>
    <row r="56" spans="1:14" ht="13" thickBot="1">
      <c r="A56" s="80" t="s">
        <v>719</v>
      </c>
      <c r="B56" s="82" t="s">
        <v>1070</v>
      </c>
      <c r="C56" s="52">
        <v>52</v>
      </c>
      <c r="D56" s="52">
        <v>11</v>
      </c>
      <c r="E56" s="52">
        <f>D56+F56-1</f>
        <v>11</v>
      </c>
      <c r="F56" s="52">
        <v>1</v>
      </c>
      <c r="G56" s="83" t="s">
        <v>1457</v>
      </c>
      <c r="H56" s="54"/>
      <c r="I56" s="54"/>
      <c r="J56" s="52"/>
      <c r="K56" s="52"/>
      <c r="L56" s="84"/>
      <c r="M56" s="399" t="s">
        <v>290</v>
      </c>
      <c r="N56" s="400"/>
    </row>
    <row r="57" spans="1:14">
      <c r="M57" s="47"/>
    </row>
    <row r="58" spans="1:14">
      <c r="M58" s="47"/>
    </row>
    <row r="59" spans="1:14">
      <c r="M59" s="47"/>
    </row>
    <row r="60" spans="1:14">
      <c r="M60" s="47"/>
    </row>
    <row r="61" spans="1:14">
      <c r="M61" s="47"/>
    </row>
    <row r="62" spans="1:14">
      <c r="M62" s="47"/>
    </row>
    <row r="63" spans="1:14">
      <c r="M63" s="47"/>
    </row>
    <row r="64" spans="1:14">
      <c r="M64" s="47"/>
    </row>
    <row r="65" spans="13:13">
      <c r="M65" s="47"/>
    </row>
    <row r="66" spans="13:13">
      <c r="M66" s="47"/>
    </row>
    <row r="67" spans="13:13">
      <c r="M67" s="47"/>
    </row>
    <row r="68" spans="13:13">
      <c r="M68" s="47"/>
    </row>
    <row r="69" spans="13:13">
      <c r="M69" s="47"/>
    </row>
    <row r="70" spans="13:13">
      <c r="M70" s="47"/>
    </row>
    <row r="71" spans="13:13">
      <c r="M71" s="47"/>
    </row>
    <row r="72" spans="13:13">
      <c r="M72" s="47"/>
    </row>
    <row r="73" spans="13:13">
      <c r="M73" s="47"/>
    </row>
    <row r="74" spans="13:13">
      <c r="M74" s="47"/>
    </row>
    <row r="75" spans="13:13">
      <c r="M75" s="47"/>
    </row>
    <row r="76" spans="13:13">
      <c r="M76" s="47"/>
    </row>
    <row r="77" spans="13:13">
      <c r="M77" s="47"/>
    </row>
    <row r="78" spans="13:13">
      <c r="M78" s="47"/>
    </row>
    <row r="79" spans="13:13">
      <c r="M79" s="47"/>
    </row>
    <row r="80" spans="13:13">
      <c r="M80" s="47"/>
    </row>
    <row r="81" spans="13:13">
      <c r="M81" s="47"/>
    </row>
    <row r="82" spans="13:13">
      <c r="M82" s="47"/>
    </row>
    <row r="83" spans="13:13">
      <c r="M83" s="47"/>
    </row>
    <row r="84" spans="13:13">
      <c r="M84" s="47"/>
    </row>
    <row r="85" spans="13:13">
      <c r="M85" s="47"/>
    </row>
    <row r="86" spans="13:13">
      <c r="M86" s="47"/>
    </row>
    <row r="87" spans="13:13">
      <c r="M87" s="47"/>
    </row>
    <row r="88" spans="13:13">
      <c r="M88" s="47"/>
    </row>
    <row r="89" spans="13:13">
      <c r="M89" s="47"/>
    </row>
    <row r="90" spans="13:13">
      <c r="M90" s="47"/>
    </row>
    <row r="91" spans="13:13">
      <c r="M91" s="47"/>
    </row>
    <row r="92" spans="13:13">
      <c r="M92" s="47"/>
    </row>
    <row r="93" spans="13:13">
      <c r="M93" s="47"/>
    </row>
    <row r="94" spans="13:13">
      <c r="M94" s="47"/>
    </row>
    <row r="95" spans="13:13">
      <c r="M95" s="47"/>
    </row>
    <row r="96" spans="13:13">
      <c r="M96" s="47"/>
    </row>
    <row r="97" spans="13:13">
      <c r="M97" s="47"/>
    </row>
    <row r="98" spans="13:13">
      <c r="M98" s="47"/>
    </row>
    <row r="99" spans="13:13">
      <c r="M99" s="47"/>
    </row>
    <row r="100" spans="13:13">
      <c r="M100" s="47"/>
    </row>
    <row r="101" spans="13:13">
      <c r="M101" s="47"/>
    </row>
    <row r="102" spans="13:13">
      <c r="M102" s="47"/>
    </row>
    <row r="103" spans="13:13">
      <c r="M103" s="47"/>
    </row>
    <row r="104" spans="13:13">
      <c r="M104" s="47"/>
    </row>
    <row r="105" spans="13:13">
      <c r="M105" s="47"/>
    </row>
    <row r="106" spans="13:13">
      <c r="M106" s="47"/>
    </row>
    <row r="107" spans="13:13">
      <c r="M107" s="47"/>
    </row>
    <row r="108" spans="13:13">
      <c r="M108" s="47"/>
    </row>
    <row r="109" spans="13:13">
      <c r="M109" s="47"/>
    </row>
    <row r="110" spans="13:13">
      <c r="M110" s="47"/>
    </row>
    <row r="111" spans="13:13">
      <c r="M111" s="47"/>
    </row>
    <row r="112" spans="13:13">
      <c r="M112" s="47"/>
    </row>
    <row r="113" spans="13:13">
      <c r="M113" s="47"/>
    </row>
    <row r="114" spans="13:13">
      <c r="M114" s="47"/>
    </row>
    <row r="115" spans="13:13">
      <c r="M115" s="47"/>
    </row>
    <row r="116" spans="13:13">
      <c r="M116" s="47"/>
    </row>
    <row r="117" spans="13:13">
      <c r="M117" s="47"/>
    </row>
    <row r="118" spans="13:13">
      <c r="M118" s="47"/>
    </row>
    <row r="119" spans="13:13">
      <c r="M119" s="47"/>
    </row>
    <row r="120" spans="13:13">
      <c r="M120" s="47"/>
    </row>
    <row r="121" spans="13:13">
      <c r="M121" s="47"/>
    </row>
    <row r="122" spans="13:13">
      <c r="M122" s="47"/>
    </row>
    <row r="123" spans="13:13">
      <c r="M123" s="47"/>
    </row>
    <row r="124" spans="13:13">
      <c r="M124" s="47"/>
    </row>
    <row r="125" spans="13:13">
      <c r="M125" s="47"/>
    </row>
    <row r="126" spans="13:13">
      <c r="M126" s="47"/>
    </row>
    <row r="127" spans="13:13">
      <c r="M127" s="47"/>
    </row>
    <row r="128" spans="13:13">
      <c r="M128" s="47"/>
    </row>
    <row r="129" spans="13:13">
      <c r="M129" s="47"/>
    </row>
    <row r="130" spans="13:13">
      <c r="M130" s="47"/>
    </row>
    <row r="131" spans="13:13">
      <c r="M131" s="47"/>
    </row>
    <row r="132" spans="13:13">
      <c r="M132" s="47"/>
    </row>
    <row r="133" spans="13:13">
      <c r="M133" s="47"/>
    </row>
    <row r="134" spans="13:13">
      <c r="M134" s="47"/>
    </row>
    <row r="135" spans="13:13">
      <c r="M135" s="47"/>
    </row>
    <row r="136" spans="13:13">
      <c r="M136" s="47"/>
    </row>
    <row r="137" spans="13:13">
      <c r="M137" s="47"/>
    </row>
  </sheetData>
  <autoFilter ref="A1:D56" xr:uid="{4E7F2D6C-0B61-4507-8614-3031235F0AFF}"/>
  <pageMargins left="0.75" right="0.75" top="1" bottom="1" header="0.5" footer="0.5"/>
  <pageSetup paperSize="9" orientation="portrait" horizontalDpi="300" verticalDpi="300" r:id="rId1"/>
  <headerFooter alignWithMargins="0">
    <oddHeader>&amp;L&amp;"Arial"&amp;9&amp;K0078D7 INTERNAL&amp;1#_x000D_</oddHead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2792E-96E3-4BBE-A282-69B256273151}">
  <sheetPr codeName="Sheet18">
    <tabColor rgb="FFFF0000"/>
  </sheetPr>
  <dimension ref="A1:O149"/>
  <sheetViews>
    <sheetView topLeftCell="A57" zoomScale="145" zoomScaleNormal="145" workbookViewId="0">
      <pane xSplit="3" topLeftCell="D1" activePane="topRight" state="frozen"/>
      <selection activeCell="G22" sqref="G22"/>
      <selection pane="topRight" activeCell="K62" sqref="K62"/>
    </sheetView>
  </sheetViews>
  <sheetFormatPr defaultRowHeight="10"/>
  <cols>
    <col min="1" max="1" width="24.81640625" style="367" customWidth="1"/>
    <col min="2" max="2" width="24.81640625" style="367" hidden="1" customWidth="1"/>
    <col min="3" max="3" width="18.7265625" style="368" bestFit="1" customWidth="1"/>
    <col min="4" max="4" width="8.1796875" style="368" bestFit="1" customWidth="1"/>
    <col min="5" max="6" width="8.26953125" style="368" bestFit="1" customWidth="1"/>
    <col min="7" max="7" width="7.26953125" style="368" bestFit="1" customWidth="1"/>
    <col min="8" max="8" width="26.1796875" style="369" bestFit="1" customWidth="1"/>
    <col min="9" max="9" width="20.7265625" style="369" bestFit="1" customWidth="1"/>
    <col min="10" max="10" width="21.7265625" style="369" customWidth="1"/>
    <col min="11" max="11" width="19.54296875" style="368" bestFit="1" customWidth="1"/>
    <col min="12" max="12" width="17" style="368" bestFit="1" customWidth="1"/>
    <col min="13" max="13" width="28.81640625" style="370" customWidth="1"/>
    <col min="14" max="14" width="13.26953125" style="128" customWidth="1"/>
    <col min="15" max="257" width="9.1796875" style="128"/>
    <col min="258" max="258" width="24.81640625" style="128" customWidth="1"/>
    <col min="259" max="259" width="18.7265625" style="128" bestFit="1" customWidth="1"/>
    <col min="260" max="260" width="8.1796875" style="128" bestFit="1" customWidth="1"/>
    <col min="261" max="262" width="8.26953125" style="128" bestFit="1" customWidth="1"/>
    <col min="263" max="263" width="7.26953125" style="128" bestFit="1" customWidth="1"/>
    <col min="264" max="264" width="26.1796875" style="128" bestFit="1" customWidth="1"/>
    <col min="265" max="265" width="20.7265625" style="128" bestFit="1" customWidth="1"/>
    <col min="266" max="266" width="21.7265625" style="128" customWidth="1"/>
    <col min="267" max="267" width="19.54296875" style="128" bestFit="1" customWidth="1"/>
    <col min="268" max="268" width="17" style="128" bestFit="1" customWidth="1"/>
    <col min="269" max="269" width="28.81640625" style="128" customWidth="1"/>
    <col min="270" max="270" width="13.26953125" style="128" customWidth="1"/>
    <col min="271" max="513" width="9.1796875" style="128"/>
    <col min="514" max="514" width="24.81640625" style="128" customWidth="1"/>
    <col min="515" max="515" width="18.7265625" style="128" bestFit="1" customWidth="1"/>
    <col min="516" max="516" width="8.1796875" style="128" bestFit="1" customWidth="1"/>
    <col min="517" max="518" width="8.26953125" style="128" bestFit="1" customWidth="1"/>
    <col min="519" max="519" width="7.26953125" style="128" bestFit="1" customWidth="1"/>
    <col min="520" max="520" width="26.1796875" style="128" bestFit="1" customWidth="1"/>
    <col min="521" max="521" width="20.7265625" style="128" bestFit="1" customWidth="1"/>
    <col min="522" max="522" width="21.7265625" style="128" customWidth="1"/>
    <col min="523" max="523" width="19.54296875" style="128" bestFit="1" customWidth="1"/>
    <col min="524" max="524" width="17" style="128" bestFit="1" customWidth="1"/>
    <col min="525" max="525" width="28.81640625" style="128" customWidth="1"/>
    <col min="526" max="526" width="13.26953125" style="128" customWidth="1"/>
    <col min="527" max="769" width="9.1796875" style="128"/>
    <col min="770" max="770" width="24.81640625" style="128" customWidth="1"/>
    <col min="771" max="771" width="18.7265625" style="128" bestFit="1" customWidth="1"/>
    <col min="772" max="772" width="8.1796875" style="128" bestFit="1" customWidth="1"/>
    <col min="773" max="774" width="8.26953125" style="128" bestFit="1" customWidth="1"/>
    <col min="775" max="775" width="7.26953125" style="128" bestFit="1" customWidth="1"/>
    <col min="776" max="776" width="26.1796875" style="128" bestFit="1" customWidth="1"/>
    <col min="777" max="777" width="20.7265625" style="128" bestFit="1" customWidth="1"/>
    <col min="778" max="778" width="21.7265625" style="128" customWidth="1"/>
    <col min="779" max="779" width="19.54296875" style="128" bestFit="1" customWidth="1"/>
    <col min="780" max="780" width="17" style="128" bestFit="1" customWidth="1"/>
    <col min="781" max="781" width="28.81640625" style="128" customWidth="1"/>
    <col min="782" max="782" width="13.26953125" style="128" customWidth="1"/>
    <col min="783" max="1025" width="9.1796875" style="128"/>
    <col min="1026" max="1026" width="24.81640625" style="128" customWidth="1"/>
    <col min="1027" max="1027" width="18.7265625" style="128" bestFit="1" customWidth="1"/>
    <col min="1028" max="1028" width="8.1796875" style="128" bestFit="1" customWidth="1"/>
    <col min="1029" max="1030" width="8.26953125" style="128" bestFit="1" customWidth="1"/>
    <col min="1031" max="1031" width="7.26953125" style="128" bestFit="1" customWidth="1"/>
    <col min="1032" max="1032" width="26.1796875" style="128" bestFit="1" customWidth="1"/>
    <col min="1033" max="1033" width="20.7265625" style="128" bestFit="1" customWidth="1"/>
    <col min="1034" max="1034" width="21.7265625" style="128" customWidth="1"/>
    <col min="1035" max="1035" width="19.54296875" style="128" bestFit="1" customWidth="1"/>
    <col min="1036" max="1036" width="17" style="128" bestFit="1" customWidth="1"/>
    <col min="1037" max="1037" width="28.81640625" style="128" customWidth="1"/>
    <col min="1038" max="1038" width="13.26953125" style="128" customWidth="1"/>
    <col min="1039" max="1281" width="9.1796875" style="128"/>
    <col min="1282" max="1282" width="24.81640625" style="128" customWidth="1"/>
    <col min="1283" max="1283" width="18.7265625" style="128" bestFit="1" customWidth="1"/>
    <col min="1284" max="1284" width="8.1796875" style="128" bestFit="1" customWidth="1"/>
    <col min="1285" max="1286" width="8.26953125" style="128" bestFit="1" customWidth="1"/>
    <col min="1287" max="1287" width="7.26953125" style="128" bestFit="1" customWidth="1"/>
    <col min="1288" max="1288" width="26.1796875" style="128" bestFit="1" customWidth="1"/>
    <col min="1289" max="1289" width="20.7265625" style="128" bestFit="1" customWidth="1"/>
    <col min="1290" max="1290" width="21.7265625" style="128" customWidth="1"/>
    <col min="1291" max="1291" width="19.54296875" style="128" bestFit="1" customWidth="1"/>
    <col min="1292" max="1292" width="17" style="128" bestFit="1" customWidth="1"/>
    <col min="1293" max="1293" width="28.81640625" style="128" customWidth="1"/>
    <col min="1294" max="1294" width="13.26953125" style="128" customWidth="1"/>
    <col min="1295" max="1537" width="9.1796875" style="128"/>
    <col min="1538" max="1538" width="24.81640625" style="128" customWidth="1"/>
    <col min="1539" max="1539" width="18.7265625" style="128" bestFit="1" customWidth="1"/>
    <col min="1540" max="1540" width="8.1796875" style="128" bestFit="1" customWidth="1"/>
    <col min="1541" max="1542" width="8.26953125" style="128" bestFit="1" customWidth="1"/>
    <col min="1543" max="1543" width="7.26953125" style="128" bestFit="1" customWidth="1"/>
    <col min="1544" max="1544" width="26.1796875" style="128" bestFit="1" customWidth="1"/>
    <col min="1545" max="1545" width="20.7265625" style="128" bestFit="1" customWidth="1"/>
    <col min="1546" max="1546" width="21.7265625" style="128" customWidth="1"/>
    <col min="1547" max="1547" width="19.54296875" style="128" bestFit="1" customWidth="1"/>
    <col min="1548" max="1548" width="17" style="128" bestFit="1" customWidth="1"/>
    <col min="1549" max="1549" width="28.81640625" style="128" customWidth="1"/>
    <col min="1550" max="1550" width="13.26953125" style="128" customWidth="1"/>
    <col min="1551" max="1793" width="9.1796875" style="128"/>
    <col min="1794" max="1794" width="24.81640625" style="128" customWidth="1"/>
    <col min="1795" max="1795" width="18.7265625" style="128" bestFit="1" customWidth="1"/>
    <col min="1796" max="1796" width="8.1796875" style="128" bestFit="1" customWidth="1"/>
    <col min="1797" max="1798" width="8.26953125" style="128" bestFit="1" customWidth="1"/>
    <col min="1799" max="1799" width="7.26953125" style="128" bestFit="1" customWidth="1"/>
    <col min="1800" max="1800" width="26.1796875" style="128" bestFit="1" customWidth="1"/>
    <col min="1801" max="1801" width="20.7265625" style="128" bestFit="1" customWidth="1"/>
    <col min="1802" max="1802" width="21.7265625" style="128" customWidth="1"/>
    <col min="1803" max="1803" width="19.54296875" style="128" bestFit="1" customWidth="1"/>
    <col min="1804" max="1804" width="17" style="128" bestFit="1" customWidth="1"/>
    <col min="1805" max="1805" width="28.81640625" style="128" customWidth="1"/>
    <col min="1806" max="1806" width="13.26953125" style="128" customWidth="1"/>
    <col min="1807" max="2049" width="9.1796875" style="128"/>
    <col min="2050" max="2050" width="24.81640625" style="128" customWidth="1"/>
    <col min="2051" max="2051" width="18.7265625" style="128" bestFit="1" customWidth="1"/>
    <col min="2052" max="2052" width="8.1796875" style="128" bestFit="1" customWidth="1"/>
    <col min="2053" max="2054" width="8.26953125" style="128" bestFit="1" customWidth="1"/>
    <col min="2055" max="2055" width="7.26953125" style="128" bestFit="1" customWidth="1"/>
    <col min="2056" max="2056" width="26.1796875" style="128" bestFit="1" customWidth="1"/>
    <col min="2057" max="2057" width="20.7265625" style="128" bestFit="1" customWidth="1"/>
    <col min="2058" max="2058" width="21.7265625" style="128" customWidth="1"/>
    <col min="2059" max="2059" width="19.54296875" style="128" bestFit="1" customWidth="1"/>
    <col min="2060" max="2060" width="17" style="128" bestFit="1" customWidth="1"/>
    <col min="2061" max="2061" width="28.81640625" style="128" customWidth="1"/>
    <col min="2062" max="2062" width="13.26953125" style="128" customWidth="1"/>
    <col min="2063" max="2305" width="9.1796875" style="128"/>
    <col min="2306" max="2306" width="24.81640625" style="128" customWidth="1"/>
    <col min="2307" max="2307" width="18.7265625" style="128" bestFit="1" customWidth="1"/>
    <col min="2308" max="2308" width="8.1796875" style="128" bestFit="1" customWidth="1"/>
    <col min="2309" max="2310" width="8.26953125" style="128" bestFit="1" customWidth="1"/>
    <col min="2311" max="2311" width="7.26953125" style="128" bestFit="1" customWidth="1"/>
    <col min="2312" max="2312" width="26.1796875" style="128" bestFit="1" customWidth="1"/>
    <col min="2313" max="2313" width="20.7265625" style="128" bestFit="1" customWidth="1"/>
    <col min="2314" max="2314" width="21.7265625" style="128" customWidth="1"/>
    <col min="2315" max="2315" width="19.54296875" style="128" bestFit="1" customWidth="1"/>
    <col min="2316" max="2316" width="17" style="128" bestFit="1" customWidth="1"/>
    <col min="2317" max="2317" width="28.81640625" style="128" customWidth="1"/>
    <col min="2318" max="2318" width="13.26953125" style="128" customWidth="1"/>
    <col min="2319" max="2561" width="9.1796875" style="128"/>
    <col min="2562" max="2562" width="24.81640625" style="128" customWidth="1"/>
    <col min="2563" max="2563" width="18.7265625" style="128" bestFit="1" customWidth="1"/>
    <col min="2564" max="2564" width="8.1796875" style="128" bestFit="1" customWidth="1"/>
    <col min="2565" max="2566" width="8.26953125" style="128" bestFit="1" customWidth="1"/>
    <col min="2567" max="2567" width="7.26953125" style="128" bestFit="1" customWidth="1"/>
    <col min="2568" max="2568" width="26.1796875" style="128" bestFit="1" customWidth="1"/>
    <col min="2569" max="2569" width="20.7265625" style="128" bestFit="1" customWidth="1"/>
    <col min="2570" max="2570" width="21.7265625" style="128" customWidth="1"/>
    <col min="2571" max="2571" width="19.54296875" style="128" bestFit="1" customWidth="1"/>
    <col min="2572" max="2572" width="17" style="128" bestFit="1" customWidth="1"/>
    <col min="2573" max="2573" width="28.81640625" style="128" customWidth="1"/>
    <col min="2574" max="2574" width="13.26953125" style="128" customWidth="1"/>
    <col min="2575" max="2817" width="9.1796875" style="128"/>
    <col min="2818" max="2818" width="24.81640625" style="128" customWidth="1"/>
    <col min="2819" max="2819" width="18.7265625" style="128" bestFit="1" customWidth="1"/>
    <col min="2820" max="2820" width="8.1796875" style="128" bestFit="1" customWidth="1"/>
    <col min="2821" max="2822" width="8.26953125" style="128" bestFit="1" customWidth="1"/>
    <col min="2823" max="2823" width="7.26953125" style="128" bestFit="1" customWidth="1"/>
    <col min="2824" max="2824" width="26.1796875" style="128" bestFit="1" customWidth="1"/>
    <col min="2825" max="2825" width="20.7265625" style="128" bestFit="1" customWidth="1"/>
    <col min="2826" max="2826" width="21.7265625" style="128" customWidth="1"/>
    <col min="2827" max="2827" width="19.54296875" style="128" bestFit="1" customWidth="1"/>
    <col min="2828" max="2828" width="17" style="128" bestFit="1" customWidth="1"/>
    <col min="2829" max="2829" width="28.81640625" style="128" customWidth="1"/>
    <col min="2830" max="2830" width="13.26953125" style="128" customWidth="1"/>
    <col min="2831" max="3073" width="9.1796875" style="128"/>
    <col min="3074" max="3074" width="24.81640625" style="128" customWidth="1"/>
    <col min="3075" max="3075" width="18.7265625" style="128" bestFit="1" customWidth="1"/>
    <col min="3076" max="3076" width="8.1796875" style="128" bestFit="1" customWidth="1"/>
    <col min="3077" max="3078" width="8.26953125" style="128" bestFit="1" customWidth="1"/>
    <col min="3079" max="3079" width="7.26953125" style="128" bestFit="1" customWidth="1"/>
    <col min="3080" max="3080" width="26.1796875" style="128" bestFit="1" customWidth="1"/>
    <col min="3081" max="3081" width="20.7265625" style="128" bestFit="1" customWidth="1"/>
    <col min="3082" max="3082" width="21.7265625" style="128" customWidth="1"/>
    <col min="3083" max="3083" width="19.54296875" style="128" bestFit="1" customWidth="1"/>
    <col min="3084" max="3084" width="17" style="128" bestFit="1" customWidth="1"/>
    <col min="3085" max="3085" width="28.81640625" style="128" customWidth="1"/>
    <col min="3086" max="3086" width="13.26953125" style="128" customWidth="1"/>
    <col min="3087" max="3329" width="9.1796875" style="128"/>
    <col min="3330" max="3330" width="24.81640625" style="128" customWidth="1"/>
    <col min="3331" max="3331" width="18.7265625" style="128" bestFit="1" customWidth="1"/>
    <col min="3332" max="3332" width="8.1796875" style="128" bestFit="1" customWidth="1"/>
    <col min="3333" max="3334" width="8.26953125" style="128" bestFit="1" customWidth="1"/>
    <col min="3335" max="3335" width="7.26953125" style="128" bestFit="1" customWidth="1"/>
    <col min="3336" max="3336" width="26.1796875" style="128" bestFit="1" customWidth="1"/>
    <col min="3337" max="3337" width="20.7265625" style="128" bestFit="1" customWidth="1"/>
    <col min="3338" max="3338" width="21.7265625" style="128" customWidth="1"/>
    <col min="3339" max="3339" width="19.54296875" style="128" bestFit="1" customWidth="1"/>
    <col min="3340" max="3340" width="17" style="128" bestFit="1" customWidth="1"/>
    <col min="3341" max="3341" width="28.81640625" style="128" customWidth="1"/>
    <col min="3342" max="3342" width="13.26953125" style="128" customWidth="1"/>
    <col min="3343" max="3585" width="9.1796875" style="128"/>
    <col min="3586" max="3586" width="24.81640625" style="128" customWidth="1"/>
    <col min="3587" max="3587" width="18.7265625" style="128" bestFit="1" customWidth="1"/>
    <col min="3588" max="3588" width="8.1796875" style="128" bestFit="1" customWidth="1"/>
    <col min="3589" max="3590" width="8.26953125" style="128" bestFit="1" customWidth="1"/>
    <col min="3591" max="3591" width="7.26953125" style="128" bestFit="1" customWidth="1"/>
    <col min="3592" max="3592" width="26.1796875" style="128" bestFit="1" customWidth="1"/>
    <col min="3593" max="3593" width="20.7265625" style="128" bestFit="1" customWidth="1"/>
    <col min="3594" max="3594" width="21.7265625" style="128" customWidth="1"/>
    <col min="3595" max="3595" width="19.54296875" style="128" bestFit="1" customWidth="1"/>
    <col min="3596" max="3596" width="17" style="128" bestFit="1" customWidth="1"/>
    <col min="3597" max="3597" width="28.81640625" style="128" customWidth="1"/>
    <col min="3598" max="3598" width="13.26953125" style="128" customWidth="1"/>
    <col min="3599" max="3841" width="9.1796875" style="128"/>
    <col min="3842" max="3842" width="24.81640625" style="128" customWidth="1"/>
    <col min="3843" max="3843" width="18.7265625" style="128" bestFit="1" customWidth="1"/>
    <col min="3844" max="3844" width="8.1796875" style="128" bestFit="1" customWidth="1"/>
    <col min="3845" max="3846" width="8.26953125" style="128" bestFit="1" customWidth="1"/>
    <col min="3847" max="3847" width="7.26953125" style="128" bestFit="1" customWidth="1"/>
    <col min="3848" max="3848" width="26.1796875" style="128" bestFit="1" customWidth="1"/>
    <col min="3849" max="3849" width="20.7265625" style="128" bestFit="1" customWidth="1"/>
    <col min="3850" max="3850" width="21.7265625" style="128" customWidth="1"/>
    <col min="3851" max="3851" width="19.54296875" style="128" bestFit="1" customWidth="1"/>
    <col min="3852" max="3852" width="17" style="128" bestFit="1" customWidth="1"/>
    <col min="3853" max="3853" width="28.81640625" style="128" customWidth="1"/>
    <col min="3854" max="3854" width="13.26953125" style="128" customWidth="1"/>
    <col min="3855" max="4097" width="9.1796875" style="128"/>
    <col min="4098" max="4098" width="24.81640625" style="128" customWidth="1"/>
    <col min="4099" max="4099" width="18.7265625" style="128" bestFit="1" customWidth="1"/>
    <col min="4100" max="4100" width="8.1796875" style="128" bestFit="1" customWidth="1"/>
    <col min="4101" max="4102" width="8.26953125" style="128" bestFit="1" customWidth="1"/>
    <col min="4103" max="4103" width="7.26953125" style="128" bestFit="1" customWidth="1"/>
    <col min="4104" max="4104" width="26.1796875" style="128" bestFit="1" customWidth="1"/>
    <col min="4105" max="4105" width="20.7265625" style="128" bestFit="1" customWidth="1"/>
    <col min="4106" max="4106" width="21.7265625" style="128" customWidth="1"/>
    <col min="4107" max="4107" width="19.54296875" style="128" bestFit="1" customWidth="1"/>
    <col min="4108" max="4108" width="17" style="128" bestFit="1" customWidth="1"/>
    <col min="4109" max="4109" width="28.81640625" style="128" customWidth="1"/>
    <col min="4110" max="4110" width="13.26953125" style="128" customWidth="1"/>
    <col min="4111" max="4353" width="9.1796875" style="128"/>
    <col min="4354" max="4354" width="24.81640625" style="128" customWidth="1"/>
    <col min="4355" max="4355" width="18.7265625" style="128" bestFit="1" customWidth="1"/>
    <col min="4356" max="4356" width="8.1796875" style="128" bestFit="1" customWidth="1"/>
    <col min="4357" max="4358" width="8.26953125" style="128" bestFit="1" customWidth="1"/>
    <col min="4359" max="4359" width="7.26953125" style="128" bestFit="1" customWidth="1"/>
    <col min="4360" max="4360" width="26.1796875" style="128" bestFit="1" customWidth="1"/>
    <col min="4361" max="4361" width="20.7265625" style="128" bestFit="1" customWidth="1"/>
    <col min="4362" max="4362" width="21.7265625" style="128" customWidth="1"/>
    <col min="4363" max="4363" width="19.54296875" style="128" bestFit="1" customWidth="1"/>
    <col min="4364" max="4364" width="17" style="128" bestFit="1" customWidth="1"/>
    <col min="4365" max="4365" width="28.81640625" style="128" customWidth="1"/>
    <col min="4366" max="4366" width="13.26953125" style="128" customWidth="1"/>
    <col min="4367" max="4609" width="9.1796875" style="128"/>
    <col min="4610" max="4610" width="24.81640625" style="128" customWidth="1"/>
    <col min="4611" max="4611" width="18.7265625" style="128" bestFit="1" customWidth="1"/>
    <col min="4612" max="4612" width="8.1796875" style="128" bestFit="1" customWidth="1"/>
    <col min="4613" max="4614" width="8.26953125" style="128" bestFit="1" customWidth="1"/>
    <col min="4615" max="4615" width="7.26953125" style="128" bestFit="1" customWidth="1"/>
    <col min="4616" max="4616" width="26.1796875" style="128" bestFit="1" customWidth="1"/>
    <col min="4617" max="4617" width="20.7265625" style="128" bestFit="1" customWidth="1"/>
    <col min="4618" max="4618" width="21.7265625" style="128" customWidth="1"/>
    <col min="4619" max="4619" width="19.54296875" style="128" bestFit="1" customWidth="1"/>
    <col min="4620" max="4620" width="17" style="128" bestFit="1" customWidth="1"/>
    <col min="4621" max="4621" width="28.81640625" style="128" customWidth="1"/>
    <col min="4622" max="4622" width="13.26953125" style="128" customWidth="1"/>
    <col min="4623" max="4865" width="9.1796875" style="128"/>
    <col min="4866" max="4866" width="24.81640625" style="128" customWidth="1"/>
    <col min="4867" max="4867" width="18.7265625" style="128" bestFit="1" customWidth="1"/>
    <col min="4868" max="4868" width="8.1796875" style="128" bestFit="1" customWidth="1"/>
    <col min="4869" max="4870" width="8.26953125" style="128" bestFit="1" customWidth="1"/>
    <col min="4871" max="4871" width="7.26953125" style="128" bestFit="1" customWidth="1"/>
    <col min="4872" max="4872" width="26.1796875" style="128" bestFit="1" customWidth="1"/>
    <col min="4873" max="4873" width="20.7265625" style="128" bestFit="1" customWidth="1"/>
    <col min="4874" max="4874" width="21.7265625" style="128" customWidth="1"/>
    <col min="4875" max="4875" width="19.54296875" style="128" bestFit="1" customWidth="1"/>
    <col min="4876" max="4876" width="17" style="128" bestFit="1" customWidth="1"/>
    <col min="4877" max="4877" width="28.81640625" style="128" customWidth="1"/>
    <col min="4878" max="4878" width="13.26953125" style="128" customWidth="1"/>
    <col min="4879" max="5121" width="9.1796875" style="128"/>
    <col min="5122" max="5122" width="24.81640625" style="128" customWidth="1"/>
    <col min="5123" max="5123" width="18.7265625" style="128" bestFit="1" customWidth="1"/>
    <col min="5124" max="5124" width="8.1796875" style="128" bestFit="1" customWidth="1"/>
    <col min="5125" max="5126" width="8.26953125" style="128" bestFit="1" customWidth="1"/>
    <col min="5127" max="5127" width="7.26953125" style="128" bestFit="1" customWidth="1"/>
    <col min="5128" max="5128" width="26.1796875" style="128" bestFit="1" customWidth="1"/>
    <col min="5129" max="5129" width="20.7265625" style="128" bestFit="1" customWidth="1"/>
    <col min="5130" max="5130" width="21.7265625" style="128" customWidth="1"/>
    <col min="5131" max="5131" width="19.54296875" style="128" bestFit="1" customWidth="1"/>
    <col min="5132" max="5132" width="17" style="128" bestFit="1" customWidth="1"/>
    <col min="5133" max="5133" width="28.81640625" style="128" customWidth="1"/>
    <col min="5134" max="5134" width="13.26953125" style="128" customWidth="1"/>
    <col min="5135" max="5377" width="9.1796875" style="128"/>
    <col min="5378" max="5378" width="24.81640625" style="128" customWidth="1"/>
    <col min="5379" max="5379" width="18.7265625" style="128" bestFit="1" customWidth="1"/>
    <col min="5380" max="5380" width="8.1796875" style="128" bestFit="1" customWidth="1"/>
    <col min="5381" max="5382" width="8.26953125" style="128" bestFit="1" customWidth="1"/>
    <col min="5383" max="5383" width="7.26953125" style="128" bestFit="1" customWidth="1"/>
    <col min="5384" max="5384" width="26.1796875" style="128" bestFit="1" customWidth="1"/>
    <col min="5385" max="5385" width="20.7265625" style="128" bestFit="1" customWidth="1"/>
    <col min="5386" max="5386" width="21.7265625" style="128" customWidth="1"/>
    <col min="5387" max="5387" width="19.54296875" style="128" bestFit="1" customWidth="1"/>
    <col min="5388" max="5388" width="17" style="128" bestFit="1" customWidth="1"/>
    <col min="5389" max="5389" width="28.81640625" style="128" customWidth="1"/>
    <col min="5390" max="5390" width="13.26953125" style="128" customWidth="1"/>
    <col min="5391" max="5633" width="9.1796875" style="128"/>
    <col min="5634" max="5634" width="24.81640625" style="128" customWidth="1"/>
    <col min="5635" max="5635" width="18.7265625" style="128" bestFit="1" customWidth="1"/>
    <col min="5636" max="5636" width="8.1796875" style="128" bestFit="1" customWidth="1"/>
    <col min="5637" max="5638" width="8.26953125" style="128" bestFit="1" customWidth="1"/>
    <col min="5639" max="5639" width="7.26953125" style="128" bestFit="1" customWidth="1"/>
    <col min="5640" max="5640" width="26.1796875" style="128" bestFit="1" customWidth="1"/>
    <col min="5641" max="5641" width="20.7265625" style="128" bestFit="1" customWidth="1"/>
    <col min="5642" max="5642" width="21.7265625" style="128" customWidth="1"/>
    <col min="5643" max="5643" width="19.54296875" style="128" bestFit="1" customWidth="1"/>
    <col min="5644" max="5644" width="17" style="128" bestFit="1" customWidth="1"/>
    <col min="5645" max="5645" width="28.81640625" style="128" customWidth="1"/>
    <col min="5646" max="5646" width="13.26953125" style="128" customWidth="1"/>
    <col min="5647" max="5889" width="9.1796875" style="128"/>
    <col min="5890" max="5890" width="24.81640625" style="128" customWidth="1"/>
    <col min="5891" max="5891" width="18.7265625" style="128" bestFit="1" customWidth="1"/>
    <col min="5892" max="5892" width="8.1796875" style="128" bestFit="1" customWidth="1"/>
    <col min="5893" max="5894" width="8.26953125" style="128" bestFit="1" customWidth="1"/>
    <col min="5895" max="5895" width="7.26953125" style="128" bestFit="1" customWidth="1"/>
    <col min="5896" max="5896" width="26.1796875" style="128" bestFit="1" customWidth="1"/>
    <col min="5897" max="5897" width="20.7265625" style="128" bestFit="1" customWidth="1"/>
    <col min="5898" max="5898" width="21.7265625" style="128" customWidth="1"/>
    <col min="5899" max="5899" width="19.54296875" style="128" bestFit="1" customWidth="1"/>
    <col min="5900" max="5900" width="17" style="128" bestFit="1" customWidth="1"/>
    <col min="5901" max="5901" width="28.81640625" style="128" customWidth="1"/>
    <col min="5902" max="5902" width="13.26953125" style="128" customWidth="1"/>
    <col min="5903" max="6145" width="9.1796875" style="128"/>
    <col min="6146" max="6146" width="24.81640625" style="128" customWidth="1"/>
    <col min="6147" max="6147" width="18.7265625" style="128" bestFit="1" customWidth="1"/>
    <col min="6148" max="6148" width="8.1796875" style="128" bestFit="1" customWidth="1"/>
    <col min="6149" max="6150" width="8.26953125" style="128" bestFit="1" customWidth="1"/>
    <col min="6151" max="6151" width="7.26953125" style="128" bestFit="1" customWidth="1"/>
    <col min="6152" max="6152" width="26.1796875" style="128" bestFit="1" customWidth="1"/>
    <col min="6153" max="6153" width="20.7265625" style="128" bestFit="1" customWidth="1"/>
    <col min="6154" max="6154" width="21.7265625" style="128" customWidth="1"/>
    <col min="6155" max="6155" width="19.54296875" style="128" bestFit="1" customWidth="1"/>
    <col min="6156" max="6156" width="17" style="128" bestFit="1" customWidth="1"/>
    <col min="6157" max="6157" width="28.81640625" style="128" customWidth="1"/>
    <col min="6158" max="6158" width="13.26953125" style="128" customWidth="1"/>
    <col min="6159" max="6401" width="9.1796875" style="128"/>
    <col min="6402" max="6402" width="24.81640625" style="128" customWidth="1"/>
    <col min="6403" max="6403" width="18.7265625" style="128" bestFit="1" customWidth="1"/>
    <col min="6404" max="6404" width="8.1796875" style="128" bestFit="1" customWidth="1"/>
    <col min="6405" max="6406" width="8.26953125" style="128" bestFit="1" customWidth="1"/>
    <col min="6407" max="6407" width="7.26953125" style="128" bestFit="1" customWidth="1"/>
    <col min="6408" max="6408" width="26.1796875" style="128" bestFit="1" customWidth="1"/>
    <col min="6409" max="6409" width="20.7265625" style="128" bestFit="1" customWidth="1"/>
    <col min="6410" max="6410" width="21.7265625" style="128" customWidth="1"/>
    <col min="6411" max="6411" width="19.54296875" style="128" bestFit="1" customWidth="1"/>
    <col min="6412" max="6412" width="17" style="128" bestFit="1" customWidth="1"/>
    <col min="6413" max="6413" width="28.81640625" style="128" customWidth="1"/>
    <col min="6414" max="6414" width="13.26953125" style="128" customWidth="1"/>
    <col min="6415" max="6657" width="9.1796875" style="128"/>
    <col min="6658" max="6658" width="24.81640625" style="128" customWidth="1"/>
    <col min="6659" max="6659" width="18.7265625" style="128" bestFit="1" customWidth="1"/>
    <col min="6660" max="6660" width="8.1796875" style="128" bestFit="1" customWidth="1"/>
    <col min="6661" max="6662" width="8.26953125" style="128" bestFit="1" customWidth="1"/>
    <col min="6663" max="6663" width="7.26953125" style="128" bestFit="1" customWidth="1"/>
    <col min="6664" max="6664" width="26.1796875" style="128" bestFit="1" customWidth="1"/>
    <col min="6665" max="6665" width="20.7265625" style="128" bestFit="1" customWidth="1"/>
    <col min="6666" max="6666" width="21.7265625" style="128" customWidth="1"/>
    <col min="6667" max="6667" width="19.54296875" style="128" bestFit="1" customWidth="1"/>
    <col min="6668" max="6668" width="17" style="128" bestFit="1" customWidth="1"/>
    <col min="6669" max="6669" width="28.81640625" style="128" customWidth="1"/>
    <col min="6670" max="6670" width="13.26953125" style="128" customWidth="1"/>
    <col min="6671" max="6913" width="9.1796875" style="128"/>
    <col min="6914" max="6914" width="24.81640625" style="128" customWidth="1"/>
    <col min="6915" max="6915" width="18.7265625" style="128" bestFit="1" customWidth="1"/>
    <col min="6916" max="6916" width="8.1796875" style="128" bestFit="1" customWidth="1"/>
    <col min="6917" max="6918" width="8.26953125" style="128" bestFit="1" customWidth="1"/>
    <col min="6919" max="6919" width="7.26953125" style="128" bestFit="1" customWidth="1"/>
    <col min="6920" max="6920" width="26.1796875" style="128" bestFit="1" customWidth="1"/>
    <col min="6921" max="6921" width="20.7265625" style="128" bestFit="1" customWidth="1"/>
    <col min="6922" max="6922" width="21.7265625" style="128" customWidth="1"/>
    <col min="6923" max="6923" width="19.54296875" style="128" bestFit="1" customWidth="1"/>
    <col min="6924" max="6924" width="17" style="128" bestFit="1" customWidth="1"/>
    <col min="6925" max="6925" width="28.81640625" style="128" customWidth="1"/>
    <col min="6926" max="6926" width="13.26953125" style="128" customWidth="1"/>
    <col min="6927" max="7169" width="9.1796875" style="128"/>
    <col min="7170" max="7170" width="24.81640625" style="128" customWidth="1"/>
    <col min="7171" max="7171" width="18.7265625" style="128" bestFit="1" customWidth="1"/>
    <col min="7172" max="7172" width="8.1796875" style="128" bestFit="1" customWidth="1"/>
    <col min="7173" max="7174" width="8.26953125" style="128" bestFit="1" customWidth="1"/>
    <col min="7175" max="7175" width="7.26953125" style="128" bestFit="1" customWidth="1"/>
    <col min="7176" max="7176" width="26.1796875" style="128" bestFit="1" customWidth="1"/>
    <col min="7177" max="7177" width="20.7265625" style="128" bestFit="1" customWidth="1"/>
    <col min="7178" max="7178" width="21.7265625" style="128" customWidth="1"/>
    <col min="7179" max="7179" width="19.54296875" style="128" bestFit="1" customWidth="1"/>
    <col min="7180" max="7180" width="17" style="128" bestFit="1" customWidth="1"/>
    <col min="7181" max="7181" width="28.81640625" style="128" customWidth="1"/>
    <col min="7182" max="7182" width="13.26953125" style="128" customWidth="1"/>
    <col min="7183" max="7425" width="9.1796875" style="128"/>
    <col min="7426" max="7426" width="24.81640625" style="128" customWidth="1"/>
    <col min="7427" max="7427" width="18.7265625" style="128" bestFit="1" customWidth="1"/>
    <col min="7428" max="7428" width="8.1796875" style="128" bestFit="1" customWidth="1"/>
    <col min="7429" max="7430" width="8.26953125" style="128" bestFit="1" customWidth="1"/>
    <col min="7431" max="7431" width="7.26953125" style="128" bestFit="1" customWidth="1"/>
    <col min="7432" max="7432" width="26.1796875" style="128" bestFit="1" customWidth="1"/>
    <col min="7433" max="7433" width="20.7265625" style="128" bestFit="1" customWidth="1"/>
    <col min="7434" max="7434" width="21.7265625" style="128" customWidth="1"/>
    <col min="7435" max="7435" width="19.54296875" style="128" bestFit="1" customWidth="1"/>
    <col min="7436" max="7436" width="17" style="128" bestFit="1" customWidth="1"/>
    <col min="7437" max="7437" width="28.81640625" style="128" customWidth="1"/>
    <col min="7438" max="7438" width="13.26953125" style="128" customWidth="1"/>
    <col min="7439" max="7681" width="9.1796875" style="128"/>
    <col min="7682" max="7682" width="24.81640625" style="128" customWidth="1"/>
    <col min="7683" max="7683" width="18.7265625" style="128" bestFit="1" customWidth="1"/>
    <col min="7684" max="7684" width="8.1796875" style="128" bestFit="1" customWidth="1"/>
    <col min="7685" max="7686" width="8.26953125" style="128" bestFit="1" customWidth="1"/>
    <col min="7687" max="7687" width="7.26953125" style="128" bestFit="1" customWidth="1"/>
    <col min="7688" max="7688" width="26.1796875" style="128" bestFit="1" customWidth="1"/>
    <col min="7689" max="7689" width="20.7265625" style="128" bestFit="1" customWidth="1"/>
    <col min="7690" max="7690" width="21.7265625" style="128" customWidth="1"/>
    <col min="7691" max="7691" width="19.54296875" style="128" bestFit="1" customWidth="1"/>
    <col min="7692" max="7692" width="17" style="128" bestFit="1" customWidth="1"/>
    <col min="7693" max="7693" width="28.81640625" style="128" customWidth="1"/>
    <col min="7694" max="7694" width="13.26953125" style="128" customWidth="1"/>
    <col min="7695" max="7937" width="9.1796875" style="128"/>
    <col min="7938" max="7938" width="24.81640625" style="128" customWidth="1"/>
    <col min="7939" max="7939" width="18.7265625" style="128" bestFit="1" customWidth="1"/>
    <col min="7940" max="7940" width="8.1796875" style="128" bestFit="1" customWidth="1"/>
    <col min="7941" max="7942" width="8.26953125" style="128" bestFit="1" customWidth="1"/>
    <col min="7943" max="7943" width="7.26953125" style="128" bestFit="1" customWidth="1"/>
    <col min="7944" max="7944" width="26.1796875" style="128" bestFit="1" customWidth="1"/>
    <col min="7945" max="7945" width="20.7265625" style="128" bestFit="1" customWidth="1"/>
    <col min="7946" max="7946" width="21.7265625" style="128" customWidth="1"/>
    <col min="7947" max="7947" width="19.54296875" style="128" bestFit="1" customWidth="1"/>
    <col min="7948" max="7948" width="17" style="128" bestFit="1" customWidth="1"/>
    <col min="7949" max="7949" width="28.81640625" style="128" customWidth="1"/>
    <col min="7950" max="7950" width="13.26953125" style="128" customWidth="1"/>
    <col min="7951" max="8193" width="9.1796875" style="128"/>
    <col min="8194" max="8194" width="24.81640625" style="128" customWidth="1"/>
    <col min="8195" max="8195" width="18.7265625" style="128" bestFit="1" customWidth="1"/>
    <col min="8196" max="8196" width="8.1796875" style="128" bestFit="1" customWidth="1"/>
    <col min="8197" max="8198" width="8.26953125" style="128" bestFit="1" customWidth="1"/>
    <col min="8199" max="8199" width="7.26953125" style="128" bestFit="1" customWidth="1"/>
    <col min="8200" max="8200" width="26.1796875" style="128" bestFit="1" customWidth="1"/>
    <col min="8201" max="8201" width="20.7265625" style="128" bestFit="1" customWidth="1"/>
    <col min="8202" max="8202" width="21.7265625" style="128" customWidth="1"/>
    <col min="8203" max="8203" width="19.54296875" style="128" bestFit="1" customWidth="1"/>
    <col min="8204" max="8204" width="17" style="128" bestFit="1" customWidth="1"/>
    <col min="8205" max="8205" width="28.81640625" style="128" customWidth="1"/>
    <col min="8206" max="8206" width="13.26953125" style="128" customWidth="1"/>
    <col min="8207" max="8449" width="9.1796875" style="128"/>
    <col min="8450" max="8450" width="24.81640625" style="128" customWidth="1"/>
    <col min="8451" max="8451" width="18.7265625" style="128" bestFit="1" customWidth="1"/>
    <col min="8452" max="8452" width="8.1796875" style="128" bestFit="1" customWidth="1"/>
    <col min="8453" max="8454" width="8.26953125" style="128" bestFit="1" customWidth="1"/>
    <col min="8455" max="8455" width="7.26953125" style="128" bestFit="1" customWidth="1"/>
    <col min="8456" max="8456" width="26.1796875" style="128" bestFit="1" customWidth="1"/>
    <col min="8457" max="8457" width="20.7265625" style="128" bestFit="1" customWidth="1"/>
    <col min="8458" max="8458" width="21.7265625" style="128" customWidth="1"/>
    <col min="8459" max="8459" width="19.54296875" style="128" bestFit="1" customWidth="1"/>
    <col min="8460" max="8460" width="17" style="128" bestFit="1" customWidth="1"/>
    <col min="8461" max="8461" width="28.81640625" style="128" customWidth="1"/>
    <col min="8462" max="8462" width="13.26953125" style="128" customWidth="1"/>
    <col min="8463" max="8705" width="9.1796875" style="128"/>
    <col min="8706" max="8706" width="24.81640625" style="128" customWidth="1"/>
    <col min="8707" max="8707" width="18.7265625" style="128" bestFit="1" customWidth="1"/>
    <col min="8708" max="8708" width="8.1796875" style="128" bestFit="1" customWidth="1"/>
    <col min="8709" max="8710" width="8.26953125" style="128" bestFit="1" customWidth="1"/>
    <col min="8711" max="8711" width="7.26953125" style="128" bestFit="1" customWidth="1"/>
    <col min="8712" max="8712" width="26.1796875" style="128" bestFit="1" customWidth="1"/>
    <col min="8713" max="8713" width="20.7265625" style="128" bestFit="1" customWidth="1"/>
    <col min="8714" max="8714" width="21.7265625" style="128" customWidth="1"/>
    <col min="8715" max="8715" width="19.54296875" style="128" bestFit="1" customWidth="1"/>
    <col min="8716" max="8716" width="17" style="128" bestFit="1" customWidth="1"/>
    <col min="8717" max="8717" width="28.81640625" style="128" customWidth="1"/>
    <col min="8718" max="8718" width="13.26953125" style="128" customWidth="1"/>
    <col min="8719" max="8961" width="9.1796875" style="128"/>
    <col min="8962" max="8962" width="24.81640625" style="128" customWidth="1"/>
    <col min="8963" max="8963" width="18.7265625" style="128" bestFit="1" customWidth="1"/>
    <col min="8964" max="8964" width="8.1796875" style="128" bestFit="1" customWidth="1"/>
    <col min="8965" max="8966" width="8.26953125" style="128" bestFit="1" customWidth="1"/>
    <col min="8967" max="8967" width="7.26953125" style="128" bestFit="1" customWidth="1"/>
    <col min="8968" max="8968" width="26.1796875" style="128" bestFit="1" customWidth="1"/>
    <col min="8969" max="8969" width="20.7265625" style="128" bestFit="1" customWidth="1"/>
    <col min="8970" max="8970" width="21.7265625" style="128" customWidth="1"/>
    <col min="8971" max="8971" width="19.54296875" style="128" bestFit="1" customWidth="1"/>
    <col min="8972" max="8972" width="17" style="128" bestFit="1" customWidth="1"/>
    <col min="8973" max="8973" width="28.81640625" style="128" customWidth="1"/>
    <col min="8974" max="8974" width="13.26953125" style="128" customWidth="1"/>
    <col min="8975" max="9217" width="9.1796875" style="128"/>
    <col min="9218" max="9218" width="24.81640625" style="128" customWidth="1"/>
    <col min="9219" max="9219" width="18.7265625" style="128" bestFit="1" customWidth="1"/>
    <col min="9220" max="9220" width="8.1796875" style="128" bestFit="1" customWidth="1"/>
    <col min="9221" max="9222" width="8.26953125" style="128" bestFit="1" customWidth="1"/>
    <col min="9223" max="9223" width="7.26953125" style="128" bestFit="1" customWidth="1"/>
    <col min="9224" max="9224" width="26.1796875" style="128" bestFit="1" customWidth="1"/>
    <col min="9225" max="9225" width="20.7265625" style="128" bestFit="1" customWidth="1"/>
    <col min="9226" max="9226" width="21.7265625" style="128" customWidth="1"/>
    <col min="9227" max="9227" width="19.54296875" style="128" bestFit="1" customWidth="1"/>
    <col min="9228" max="9228" width="17" style="128" bestFit="1" customWidth="1"/>
    <col min="9229" max="9229" width="28.81640625" style="128" customWidth="1"/>
    <col min="9230" max="9230" width="13.26953125" style="128" customWidth="1"/>
    <col min="9231" max="9473" width="9.1796875" style="128"/>
    <col min="9474" max="9474" width="24.81640625" style="128" customWidth="1"/>
    <col min="9475" max="9475" width="18.7265625" style="128" bestFit="1" customWidth="1"/>
    <col min="9476" max="9476" width="8.1796875" style="128" bestFit="1" customWidth="1"/>
    <col min="9477" max="9478" width="8.26953125" style="128" bestFit="1" customWidth="1"/>
    <col min="9479" max="9479" width="7.26953125" style="128" bestFit="1" customWidth="1"/>
    <col min="9480" max="9480" width="26.1796875" style="128" bestFit="1" customWidth="1"/>
    <col min="9481" max="9481" width="20.7265625" style="128" bestFit="1" customWidth="1"/>
    <col min="9482" max="9482" width="21.7265625" style="128" customWidth="1"/>
    <col min="9483" max="9483" width="19.54296875" style="128" bestFit="1" customWidth="1"/>
    <col min="9484" max="9484" width="17" style="128" bestFit="1" customWidth="1"/>
    <col min="9485" max="9485" width="28.81640625" style="128" customWidth="1"/>
    <col min="9486" max="9486" width="13.26953125" style="128" customWidth="1"/>
    <col min="9487" max="9729" width="9.1796875" style="128"/>
    <col min="9730" max="9730" width="24.81640625" style="128" customWidth="1"/>
    <col min="9731" max="9731" width="18.7265625" style="128" bestFit="1" customWidth="1"/>
    <col min="9732" max="9732" width="8.1796875" style="128" bestFit="1" customWidth="1"/>
    <col min="9733" max="9734" width="8.26953125" style="128" bestFit="1" customWidth="1"/>
    <col min="9735" max="9735" width="7.26953125" style="128" bestFit="1" customWidth="1"/>
    <col min="9736" max="9736" width="26.1796875" style="128" bestFit="1" customWidth="1"/>
    <col min="9737" max="9737" width="20.7265625" style="128" bestFit="1" customWidth="1"/>
    <col min="9738" max="9738" width="21.7265625" style="128" customWidth="1"/>
    <col min="9739" max="9739" width="19.54296875" style="128" bestFit="1" customWidth="1"/>
    <col min="9740" max="9740" width="17" style="128" bestFit="1" customWidth="1"/>
    <col min="9741" max="9741" width="28.81640625" style="128" customWidth="1"/>
    <col min="9742" max="9742" width="13.26953125" style="128" customWidth="1"/>
    <col min="9743" max="9985" width="9.1796875" style="128"/>
    <col min="9986" max="9986" width="24.81640625" style="128" customWidth="1"/>
    <col min="9987" max="9987" width="18.7265625" style="128" bestFit="1" customWidth="1"/>
    <col min="9988" max="9988" width="8.1796875" style="128" bestFit="1" customWidth="1"/>
    <col min="9989" max="9990" width="8.26953125" style="128" bestFit="1" customWidth="1"/>
    <col min="9991" max="9991" width="7.26953125" style="128" bestFit="1" customWidth="1"/>
    <col min="9992" max="9992" width="26.1796875" style="128" bestFit="1" customWidth="1"/>
    <col min="9993" max="9993" width="20.7265625" style="128" bestFit="1" customWidth="1"/>
    <col min="9994" max="9994" width="21.7265625" style="128" customWidth="1"/>
    <col min="9995" max="9995" width="19.54296875" style="128" bestFit="1" customWidth="1"/>
    <col min="9996" max="9996" width="17" style="128" bestFit="1" customWidth="1"/>
    <col min="9997" max="9997" width="28.81640625" style="128" customWidth="1"/>
    <col min="9998" max="9998" width="13.26953125" style="128" customWidth="1"/>
    <col min="9999" max="10241" width="9.1796875" style="128"/>
    <col min="10242" max="10242" width="24.81640625" style="128" customWidth="1"/>
    <col min="10243" max="10243" width="18.7265625" style="128" bestFit="1" customWidth="1"/>
    <col min="10244" max="10244" width="8.1796875" style="128" bestFit="1" customWidth="1"/>
    <col min="10245" max="10246" width="8.26953125" style="128" bestFit="1" customWidth="1"/>
    <col min="10247" max="10247" width="7.26953125" style="128" bestFit="1" customWidth="1"/>
    <col min="10248" max="10248" width="26.1796875" style="128" bestFit="1" customWidth="1"/>
    <col min="10249" max="10249" width="20.7265625" style="128" bestFit="1" customWidth="1"/>
    <col min="10250" max="10250" width="21.7265625" style="128" customWidth="1"/>
    <col min="10251" max="10251" width="19.54296875" style="128" bestFit="1" customWidth="1"/>
    <col min="10252" max="10252" width="17" style="128" bestFit="1" customWidth="1"/>
    <col min="10253" max="10253" width="28.81640625" style="128" customWidth="1"/>
    <col min="10254" max="10254" width="13.26953125" style="128" customWidth="1"/>
    <col min="10255" max="10497" width="9.1796875" style="128"/>
    <col min="10498" max="10498" width="24.81640625" style="128" customWidth="1"/>
    <col min="10499" max="10499" width="18.7265625" style="128" bestFit="1" customWidth="1"/>
    <col min="10500" max="10500" width="8.1796875" style="128" bestFit="1" customWidth="1"/>
    <col min="10501" max="10502" width="8.26953125" style="128" bestFit="1" customWidth="1"/>
    <col min="10503" max="10503" width="7.26953125" style="128" bestFit="1" customWidth="1"/>
    <col min="10504" max="10504" width="26.1796875" style="128" bestFit="1" customWidth="1"/>
    <col min="10505" max="10505" width="20.7265625" style="128" bestFit="1" customWidth="1"/>
    <col min="10506" max="10506" width="21.7265625" style="128" customWidth="1"/>
    <col min="10507" max="10507" width="19.54296875" style="128" bestFit="1" customWidth="1"/>
    <col min="10508" max="10508" width="17" style="128" bestFit="1" customWidth="1"/>
    <col min="10509" max="10509" width="28.81640625" style="128" customWidth="1"/>
    <col min="10510" max="10510" width="13.26953125" style="128" customWidth="1"/>
    <col min="10511" max="10753" width="9.1796875" style="128"/>
    <col min="10754" max="10754" width="24.81640625" style="128" customWidth="1"/>
    <col min="10755" max="10755" width="18.7265625" style="128" bestFit="1" customWidth="1"/>
    <col min="10756" max="10756" width="8.1796875" style="128" bestFit="1" customWidth="1"/>
    <col min="10757" max="10758" width="8.26953125" style="128" bestFit="1" customWidth="1"/>
    <col min="10759" max="10759" width="7.26953125" style="128" bestFit="1" customWidth="1"/>
    <col min="10760" max="10760" width="26.1796875" style="128" bestFit="1" customWidth="1"/>
    <col min="10761" max="10761" width="20.7265625" style="128" bestFit="1" customWidth="1"/>
    <col min="10762" max="10762" width="21.7265625" style="128" customWidth="1"/>
    <col min="10763" max="10763" width="19.54296875" style="128" bestFit="1" customWidth="1"/>
    <col min="10764" max="10764" width="17" style="128" bestFit="1" customWidth="1"/>
    <col min="10765" max="10765" width="28.81640625" style="128" customWidth="1"/>
    <col min="10766" max="10766" width="13.26953125" style="128" customWidth="1"/>
    <col min="10767" max="11009" width="9.1796875" style="128"/>
    <col min="11010" max="11010" width="24.81640625" style="128" customWidth="1"/>
    <col min="11011" max="11011" width="18.7265625" style="128" bestFit="1" customWidth="1"/>
    <col min="11012" max="11012" width="8.1796875" style="128" bestFit="1" customWidth="1"/>
    <col min="11013" max="11014" width="8.26953125" style="128" bestFit="1" customWidth="1"/>
    <col min="11015" max="11015" width="7.26953125" style="128" bestFit="1" customWidth="1"/>
    <col min="11016" max="11016" width="26.1796875" style="128" bestFit="1" customWidth="1"/>
    <col min="11017" max="11017" width="20.7265625" style="128" bestFit="1" customWidth="1"/>
    <col min="11018" max="11018" width="21.7265625" style="128" customWidth="1"/>
    <col min="11019" max="11019" width="19.54296875" style="128" bestFit="1" customWidth="1"/>
    <col min="11020" max="11020" width="17" style="128" bestFit="1" customWidth="1"/>
    <col min="11021" max="11021" width="28.81640625" style="128" customWidth="1"/>
    <col min="11022" max="11022" width="13.26953125" style="128" customWidth="1"/>
    <col min="11023" max="11265" width="9.1796875" style="128"/>
    <col min="11266" max="11266" width="24.81640625" style="128" customWidth="1"/>
    <col min="11267" max="11267" width="18.7265625" style="128" bestFit="1" customWidth="1"/>
    <col min="11268" max="11268" width="8.1796875" style="128" bestFit="1" customWidth="1"/>
    <col min="11269" max="11270" width="8.26953125" style="128" bestFit="1" customWidth="1"/>
    <col min="11271" max="11271" width="7.26953125" style="128" bestFit="1" customWidth="1"/>
    <col min="11272" max="11272" width="26.1796875" style="128" bestFit="1" customWidth="1"/>
    <col min="11273" max="11273" width="20.7265625" style="128" bestFit="1" customWidth="1"/>
    <col min="11274" max="11274" width="21.7265625" style="128" customWidth="1"/>
    <col min="11275" max="11275" width="19.54296875" style="128" bestFit="1" customWidth="1"/>
    <col min="11276" max="11276" width="17" style="128" bestFit="1" customWidth="1"/>
    <col min="11277" max="11277" width="28.81640625" style="128" customWidth="1"/>
    <col min="11278" max="11278" width="13.26953125" style="128" customWidth="1"/>
    <col min="11279" max="11521" width="9.1796875" style="128"/>
    <col min="11522" max="11522" width="24.81640625" style="128" customWidth="1"/>
    <col min="11523" max="11523" width="18.7265625" style="128" bestFit="1" customWidth="1"/>
    <col min="11524" max="11524" width="8.1796875" style="128" bestFit="1" customWidth="1"/>
    <col min="11525" max="11526" width="8.26953125" style="128" bestFit="1" customWidth="1"/>
    <col min="11527" max="11527" width="7.26953125" style="128" bestFit="1" customWidth="1"/>
    <col min="11528" max="11528" width="26.1796875" style="128" bestFit="1" customWidth="1"/>
    <col min="11529" max="11529" width="20.7265625" style="128" bestFit="1" customWidth="1"/>
    <col min="11530" max="11530" width="21.7265625" style="128" customWidth="1"/>
    <col min="11531" max="11531" width="19.54296875" style="128" bestFit="1" customWidth="1"/>
    <col min="11532" max="11532" width="17" style="128" bestFit="1" customWidth="1"/>
    <col min="11533" max="11533" width="28.81640625" style="128" customWidth="1"/>
    <col min="11534" max="11534" width="13.26953125" style="128" customWidth="1"/>
    <col min="11535" max="11777" width="9.1796875" style="128"/>
    <col min="11778" max="11778" width="24.81640625" style="128" customWidth="1"/>
    <col min="11779" max="11779" width="18.7265625" style="128" bestFit="1" customWidth="1"/>
    <col min="11780" max="11780" width="8.1796875" style="128" bestFit="1" customWidth="1"/>
    <col min="11781" max="11782" width="8.26953125" style="128" bestFit="1" customWidth="1"/>
    <col min="11783" max="11783" width="7.26953125" style="128" bestFit="1" customWidth="1"/>
    <col min="11784" max="11784" width="26.1796875" style="128" bestFit="1" customWidth="1"/>
    <col min="11785" max="11785" width="20.7265625" style="128" bestFit="1" customWidth="1"/>
    <col min="11786" max="11786" width="21.7265625" style="128" customWidth="1"/>
    <col min="11787" max="11787" width="19.54296875" style="128" bestFit="1" customWidth="1"/>
    <col min="11788" max="11788" width="17" style="128" bestFit="1" customWidth="1"/>
    <col min="11789" max="11789" width="28.81640625" style="128" customWidth="1"/>
    <col min="11790" max="11790" width="13.26953125" style="128" customWidth="1"/>
    <col min="11791" max="12033" width="9.1796875" style="128"/>
    <col min="12034" max="12034" width="24.81640625" style="128" customWidth="1"/>
    <col min="12035" max="12035" width="18.7265625" style="128" bestFit="1" customWidth="1"/>
    <col min="12036" max="12036" width="8.1796875" style="128" bestFit="1" customWidth="1"/>
    <col min="12037" max="12038" width="8.26953125" style="128" bestFit="1" customWidth="1"/>
    <col min="12039" max="12039" width="7.26953125" style="128" bestFit="1" customWidth="1"/>
    <col min="12040" max="12040" width="26.1796875" style="128" bestFit="1" customWidth="1"/>
    <col min="12041" max="12041" width="20.7265625" style="128" bestFit="1" customWidth="1"/>
    <col min="12042" max="12042" width="21.7265625" style="128" customWidth="1"/>
    <col min="12043" max="12043" width="19.54296875" style="128" bestFit="1" customWidth="1"/>
    <col min="12044" max="12044" width="17" style="128" bestFit="1" customWidth="1"/>
    <col min="12045" max="12045" width="28.81640625" style="128" customWidth="1"/>
    <col min="12046" max="12046" width="13.26953125" style="128" customWidth="1"/>
    <col min="12047" max="12289" width="9.1796875" style="128"/>
    <col min="12290" max="12290" width="24.81640625" style="128" customWidth="1"/>
    <col min="12291" max="12291" width="18.7265625" style="128" bestFit="1" customWidth="1"/>
    <col min="12292" max="12292" width="8.1796875" style="128" bestFit="1" customWidth="1"/>
    <col min="12293" max="12294" width="8.26953125" style="128" bestFit="1" customWidth="1"/>
    <col min="12295" max="12295" width="7.26953125" style="128" bestFit="1" customWidth="1"/>
    <col min="12296" max="12296" width="26.1796875" style="128" bestFit="1" customWidth="1"/>
    <col min="12297" max="12297" width="20.7265625" style="128" bestFit="1" customWidth="1"/>
    <col min="12298" max="12298" width="21.7265625" style="128" customWidth="1"/>
    <col min="12299" max="12299" width="19.54296875" style="128" bestFit="1" customWidth="1"/>
    <col min="12300" max="12300" width="17" style="128" bestFit="1" customWidth="1"/>
    <col min="12301" max="12301" width="28.81640625" style="128" customWidth="1"/>
    <col min="12302" max="12302" width="13.26953125" style="128" customWidth="1"/>
    <col min="12303" max="12545" width="9.1796875" style="128"/>
    <col min="12546" max="12546" width="24.81640625" style="128" customWidth="1"/>
    <col min="12547" max="12547" width="18.7265625" style="128" bestFit="1" customWidth="1"/>
    <col min="12548" max="12548" width="8.1796875" style="128" bestFit="1" customWidth="1"/>
    <col min="12549" max="12550" width="8.26953125" style="128" bestFit="1" customWidth="1"/>
    <col min="12551" max="12551" width="7.26953125" style="128" bestFit="1" customWidth="1"/>
    <col min="12552" max="12552" width="26.1796875" style="128" bestFit="1" customWidth="1"/>
    <col min="12553" max="12553" width="20.7265625" style="128" bestFit="1" customWidth="1"/>
    <col min="12554" max="12554" width="21.7265625" style="128" customWidth="1"/>
    <col min="12555" max="12555" width="19.54296875" style="128" bestFit="1" customWidth="1"/>
    <col min="12556" max="12556" width="17" style="128" bestFit="1" customWidth="1"/>
    <col min="12557" max="12557" width="28.81640625" style="128" customWidth="1"/>
    <col min="12558" max="12558" width="13.26953125" style="128" customWidth="1"/>
    <col min="12559" max="12801" width="9.1796875" style="128"/>
    <col min="12802" max="12802" width="24.81640625" style="128" customWidth="1"/>
    <col min="12803" max="12803" width="18.7265625" style="128" bestFit="1" customWidth="1"/>
    <col min="12804" max="12804" width="8.1796875" style="128" bestFit="1" customWidth="1"/>
    <col min="12805" max="12806" width="8.26953125" style="128" bestFit="1" customWidth="1"/>
    <col min="12807" max="12807" width="7.26953125" style="128" bestFit="1" customWidth="1"/>
    <col min="12808" max="12808" width="26.1796875" style="128" bestFit="1" customWidth="1"/>
    <col min="12809" max="12809" width="20.7265625" style="128" bestFit="1" customWidth="1"/>
    <col min="12810" max="12810" width="21.7265625" style="128" customWidth="1"/>
    <col min="12811" max="12811" width="19.54296875" style="128" bestFit="1" customWidth="1"/>
    <col min="12812" max="12812" width="17" style="128" bestFit="1" customWidth="1"/>
    <col min="12813" max="12813" width="28.81640625" style="128" customWidth="1"/>
    <col min="12814" max="12814" width="13.26953125" style="128" customWidth="1"/>
    <col min="12815" max="13057" width="9.1796875" style="128"/>
    <col min="13058" max="13058" width="24.81640625" style="128" customWidth="1"/>
    <col min="13059" max="13059" width="18.7265625" style="128" bestFit="1" customWidth="1"/>
    <col min="13060" max="13060" width="8.1796875" style="128" bestFit="1" customWidth="1"/>
    <col min="13061" max="13062" width="8.26953125" style="128" bestFit="1" customWidth="1"/>
    <col min="13063" max="13063" width="7.26953125" style="128" bestFit="1" customWidth="1"/>
    <col min="13064" max="13064" width="26.1796875" style="128" bestFit="1" customWidth="1"/>
    <col min="13065" max="13065" width="20.7265625" style="128" bestFit="1" customWidth="1"/>
    <col min="13066" max="13066" width="21.7265625" style="128" customWidth="1"/>
    <col min="13067" max="13067" width="19.54296875" style="128" bestFit="1" customWidth="1"/>
    <col min="13068" max="13068" width="17" style="128" bestFit="1" customWidth="1"/>
    <col min="13069" max="13069" width="28.81640625" style="128" customWidth="1"/>
    <col min="13070" max="13070" width="13.26953125" style="128" customWidth="1"/>
    <col min="13071" max="13313" width="9.1796875" style="128"/>
    <col min="13314" max="13314" width="24.81640625" style="128" customWidth="1"/>
    <col min="13315" max="13315" width="18.7265625" style="128" bestFit="1" customWidth="1"/>
    <col min="13316" max="13316" width="8.1796875" style="128" bestFit="1" customWidth="1"/>
    <col min="13317" max="13318" width="8.26953125" style="128" bestFit="1" customWidth="1"/>
    <col min="13319" max="13319" width="7.26953125" style="128" bestFit="1" customWidth="1"/>
    <col min="13320" max="13320" width="26.1796875" style="128" bestFit="1" customWidth="1"/>
    <col min="13321" max="13321" width="20.7265625" style="128" bestFit="1" customWidth="1"/>
    <col min="13322" max="13322" width="21.7265625" style="128" customWidth="1"/>
    <col min="13323" max="13323" width="19.54296875" style="128" bestFit="1" customWidth="1"/>
    <col min="13324" max="13324" width="17" style="128" bestFit="1" customWidth="1"/>
    <col min="13325" max="13325" width="28.81640625" style="128" customWidth="1"/>
    <col min="13326" max="13326" width="13.26953125" style="128" customWidth="1"/>
    <col min="13327" max="13569" width="9.1796875" style="128"/>
    <col min="13570" max="13570" width="24.81640625" style="128" customWidth="1"/>
    <col min="13571" max="13571" width="18.7265625" style="128" bestFit="1" customWidth="1"/>
    <col min="13572" max="13572" width="8.1796875" style="128" bestFit="1" customWidth="1"/>
    <col min="13573" max="13574" width="8.26953125" style="128" bestFit="1" customWidth="1"/>
    <col min="13575" max="13575" width="7.26953125" style="128" bestFit="1" customWidth="1"/>
    <col min="13576" max="13576" width="26.1796875" style="128" bestFit="1" customWidth="1"/>
    <col min="13577" max="13577" width="20.7265625" style="128" bestFit="1" customWidth="1"/>
    <col min="13578" max="13578" width="21.7265625" style="128" customWidth="1"/>
    <col min="13579" max="13579" width="19.54296875" style="128" bestFit="1" customWidth="1"/>
    <col min="13580" max="13580" width="17" style="128" bestFit="1" customWidth="1"/>
    <col min="13581" max="13581" width="28.81640625" style="128" customWidth="1"/>
    <col min="13582" max="13582" width="13.26953125" style="128" customWidth="1"/>
    <col min="13583" max="13825" width="9.1796875" style="128"/>
    <col min="13826" max="13826" width="24.81640625" style="128" customWidth="1"/>
    <col min="13827" max="13827" width="18.7265625" style="128" bestFit="1" customWidth="1"/>
    <col min="13828" max="13828" width="8.1796875" style="128" bestFit="1" customWidth="1"/>
    <col min="13829" max="13830" width="8.26953125" style="128" bestFit="1" customWidth="1"/>
    <col min="13831" max="13831" width="7.26953125" style="128" bestFit="1" customWidth="1"/>
    <col min="13832" max="13832" width="26.1796875" style="128" bestFit="1" customWidth="1"/>
    <col min="13833" max="13833" width="20.7265625" style="128" bestFit="1" customWidth="1"/>
    <col min="13834" max="13834" width="21.7265625" style="128" customWidth="1"/>
    <col min="13835" max="13835" width="19.54296875" style="128" bestFit="1" customWidth="1"/>
    <col min="13836" max="13836" width="17" style="128" bestFit="1" customWidth="1"/>
    <col min="13837" max="13837" width="28.81640625" style="128" customWidth="1"/>
    <col min="13838" max="13838" width="13.26953125" style="128" customWidth="1"/>
    <col min="13839" max="14081" width="9.1796875" style="128"/>
    <col min="14082" max="14082" width="24.81640625" style="128" customWidth="1"/>
    <col min="14083" max="14083" width="18.7265625" style="128" bestFit="1" customWidth="1"/>
    <col min="14084" max="14084" width="8.1796875" style="128" bestFit="1" customWidth="1"/>
    <col min="14085" max="14086" width="8.26953125" style="128" bestFit="1" customWidth="1"/>
    <col min="14087" max="14087" width="7.26953125" style="128" bestFit="1" customWidth="1"/>
    <col min="14088" max="14088" width="26.1796875" style="128" bestFit="1" customWidth="1"/>
    <col min="14089" max="14089" width="20.7265625" style="128" bestFit="1" customWidth="1"/>
    <col min="14090" max="14090" width="21.7265625" style="128" customWidth="1"/>
    <col min="14091" max="14091" width="19.54296875" style="128" bestFit="1" customWidth="1"/>
    <col min="14092" max="14092" width="17" style="128" bestFit="1" customWidth="1"/>
    <col min="14093" max="14093" width="28.81640625" style="128" customWidth="1"/>
    <col min="14094" max="14094" width="13.26953125" style="128" customWidth="1"/>
    <col min="14095" max="14337" width="9.1796875" style="128"/>
    <col min="14338" max="14338" width="24.81640625" style="128" customWidth="1"/>
    <col min="14339" max="14339" width="18.7265625" style="128" bestFit="1" customWidth="1"/>
    <col min="14340" max="14340" width="8.1796875" style="128" bestFit="1" customWidth="1"/>
    <col min="14341" max="14342" width="8.26953125" style="128" bestFit="1" customWidth="1"/>
    <col min="14343" max="14343" width="7.26953125" style="128" bestFit="1" customWidth="1"/>
    <col min="14344" max="14344" width="26.1796875" style="128" bestFit="1" customWidth="1"/>
    <col min="14345" max="14345" width="20.7265625" style="128" bestFit="1" customWidth="1"/>
    <col min="14346" max="14346" width="21.7265625" style="128" customWidth="1"/>
    <col min="14347" max="14347" width="19.54296875" style="128" bestFit="1" customWidth="1"/>
    <col min="14348" max="14348" width="17" style="128" bestFit="1" customWidth="1"/>
    <col min="14349" max="14349" width="28.81640625" style="128" customWidth="1"/>
    <col min="14350" max="14350" width="13.26953125" style="128" customWidth="1"/>
    <col min="14351" max="14593" width="9.1796875" style="128"/>
    <col min="14594" max="14594" width="24.81640625" style="128" customWidth="1"/>
    <col min="14595" max="14595" width="18.7265625" style="128" bestFit="1" customWidth="1"/>
    <col min="14596" max="14596" width="8.1796875" style="128" bestFit="1" customWidth="1"/>
    <col min="14597" max="14598" width="8.26953125" style="128" bestFit="1" customWidth="1"/>
    <col min="14599" max="14599" width="7.26953125" style="128" bestFit="1" customWidth="1"/>
    <col min="14600" max="14600" width="26.1796875" style="128" bestFit="1" customWidth="1"/>
    <col min="14601" max="14601" width="20.7265625" style="128" bestFit="1" customWidth="1"/>
    <col min="14602" max="14602" width="21.7265625" style="128" customWidth="1"/>
    <col min="14603" max="14603" width="19.54296875" style="128" bestFit="1" customWidth="1"/>
    <col min="14604" max="14604" width="17" style="128" bestFit="1" customWidth="1"/>
    <col min="14605" max="14605" width="28.81640625" style="128" customWidth="1"/>
    <col min="14606" max="14606" width="13.26953125" style="128" customWidth="1"/>
    <col min="14607" max="14849" width="9.1796875" style="128"/>
    <col min="14850" max="14850" width="24.81640625" style="128" customWidth="1"/>
    <col min="14851" max="14851" width="18.7265625" style="128" bestFit="1" customWidth="1"/>
    <col min="14852" max="14852" width="8.1796875" style="128" bestFit="1" customWidth="1"/>
    <col min="14853" max="14854" width="8.26953125" style="128" bestFit="1" customWidth="1"/>
    <col min="14855" max="14855" width="7.26953125" style="128" bestFit="1" customWidth="1"/>
    <col min="14856" max="14856" width="26.1796875" style="128" bestFit="1" customWidth="1"/>
    <col min="14857" max="14857" width="20.7265625" style="128" bestFit="1" customWidth="1"/>
    <col min="14858" max="14858" width="21.7265625" style="128" customWidth="1"/>
    <col min="14859" max="14859" width="19.54296875" style="128" bestFit="1" customWidth="1"/>
    <col min="14860" max="14860" width="17" style="128" bestFit="1" customWidth="1"/>
    <col min="14861" max="14861" width="28.81640625" style="128" customWidth="1"/>
    <col min="14862" max="14862" width="13.26953125" style="128" customWidth="1"/>
    <col min="14863" max="15105" width="9.1796875" style="128"/>
    <col min="15106" max="15106" width="24.81640625" style="128" customWidth="1"/>
    <col min="15107" max="15107" width="18.7265625" style="128" bestFit="1" customWidth="1"/>
    <col min="15108" max="15108" width="8.1796875" style="128" bestFit="1" customWidth="1"/>
    <col min="15109" max="15110" width="8.26953125" style="128" bestFit="1" customWidth="1"/>
    <col min="15111" max="15111" width="7.26953125" style="128" bestFit="1" customWidth="1"/>
    <col min="15112" max="15112" width="26.1796875" style="128" bestFit="1" customWidth="1"/>
    <col min="15113" max="15113" width="20.7265625" style="128" bestFit="1" customWidth="1"/>
    <col min="15114" max="15114" width="21.7265625" style="128" customWidth="1"/>
    <col min="15115" max="15115" width="19.54296875" style="128" bestFit="1" customWidth="1"/>
    <col min="15116" max="15116" width="17" style="128" bestFit="1" customWidth="1"/>
    <col min="15117" max="15117" width="28.81640625" style="128" customWidth="1"/>
    <col min="15118" max="15118" width="13.26953125" style="128" customWidth="1"/>
    <col min="15119" max="15361" width="9.1796875" style="128"/>
    <col min="15362" max="15362" width="24.81640625" style="128" customWidth="1"/>
    <col min="15363" max="15363" width="18.7265625" style="128" bestFit="1" customWidth="1"/>
    <col min="15364" max="15364" width="8.1796875" style="128" bestFit="1" customWidth="1"/>
    <col min="15365" max="15366" width="8.26953125" style="128" bestFit="1" customWidth="1"/>
    <col min="15367" max="15367" width="7.26953125" style="128" bestFit="1" customWidth="1"/>
    <col min="15368" max="15368" width="26.1796875" style="128" bestFit="1" customWidth="1"/>
    <col min="15369" max="15369" width="20.7265625" style="128" bestFit="1" customWidth="1"/>
    <col min="15370" max="15370" width="21.7265625" style="128" customWidth="1"/>
    <col min="15371" max="15371" width="19.54296875" style="128" bestFit="1" customWidth="1"/>
    <col min="15372" max="15372" width="17" style="128" bestFit="1" customWidth="1"/>
    <col min="15373" max="15373" width="28.81640625" style="128" customWidth="1"/>
    <col min="15374" max="15374" width="13.26953125" style="128" customWidth="1"/>
    <col min="15375" max="15617" width="9.1796875" style="128"/>
    <col min="15618" max="15618" width="24.81640625" style="128" customWidth="1"/>
    <col min="15619" max="15619" width="18.7265625" style="128" bestFit="1" customWidth="1"/>
    <col min="15620" max="15620" width="8.1796875" style="128" bestFit="1" customWidth="1"/>
    <col min="15621" max="15622" width="8.26953125" style="128" bestFit="1" customWidth="1"/>
    <col min="15623" max="15623" width="7.26953125" style="128" bestFit="1" customWidth="1"/>
    <col min="15624" max="15624" width="26.1796875" style="128" bestFit="1" customWidth="1"/>
    <col min="15625" max="15625" width="20.7265625" style="128" bestFit="1" customWidth="1"/>
    <col min="15626" max="15626" width="21.7265625" style="128" customWidth="1"/>
    <col min="15627" max="15627" width="19.54296875" style="128" bestFit="1" customWidth="1"/>
    <col min="15628" max="15628" width="17" style="128" bestFit="1" customWidth="1"/>
    <col min="15629" max="15629" width="28.81640625" style="128" customWidth="1"/>
    <col min="15630" max="15630" width="13.26953125" style="128" customWidth="1"/>
    <col min="15631" max="15873" width="9.1796875" style="128"/>
    <col min="15874" max="15874" width="24.81640625" style="128" customWidth="1"/>
    <col min="15875" max="15875" width="18.7265625" style="128" bestFit="1" customWidth="1"/>
    <col min="15876" max="15876" width="8.1796875" style="128" bestFit="1" customWidth="1"/>
    <col min="15877" max="15878" width="8.26953125" style="128" bestFit="1" customWidth="1"/>
    <col min="15879" max="15879" width="7.26953125" style="128" bestFit="1" customWidth="1"/>
    <col min="15880" max="15880" width="26.1796875" style="128" bestFit="1" customWidth="1"/>
    <col min="15881" max="15881" width="20.7265625" style="128" bestFit="1" customWidth="1"/>
    <col min="15882" max="15882" width="21.7265625" style="128" customWidth="1"/>
    <col min="15883" max="15883" width="19.54296875" style="128" bestFit="1" customWidth="1"/>
    <col min="15884" max="15884" width="17" style="128" bestFit="1" customWidth="1"/>
    <col min="15885" max="15885" width="28.81640625" style="128" customWidth="1"/>
    <col min="15886" max="15886" width="13.26953125" style="128" customWidth="1"/>
    <col min="15887" max="16129" width="9.1796875" style="128"/>
    <col min="16130" max="16130" width="24.81640625" style="128" customWidth="1"/>
    <col min="16131" max="16131" width="18.7265625" style="128" bestFit="1" customWidth="1"/>
    <col min="16132" max="16132" width="8.1796875" style="128" bestFit="1" customWidth="1"/>
    <col min="16133" max="16134" width="8.26953125" style="128" bestFit="1" customWidth="1"/>
    <col min="16135" max="16135" width="7.26953125" style="128" bestFit="1" customWidth="1"/>
    <col min="16136" max="16136" width="26.1796875" style="128" bestFit="1" customWidth="1"/>
    <col min="16137" max="16137" width="20.7265625" style="128" bestFit="1" customWidth="1"/>
    <col min="16138" max="16138" width="21.7265625" style="128" customWidth="1"/>
    <col min="16139" max="16139" width="19.54296875" style="128" bestFit="1" customWidth="1"/>
    <col min="16140" max="16140" width="17" style="128" bestFit="1" customWidth="1"/>
    <col min="16141" max="16141" width="28.81640625" style="128" customWidth="1"/>
    <col min="16142" max="16142" width="13.26953125" style="128" customWidth="1"/>
    <col min="16143" max="16383" width="9.1796875" style="128"/>
    <col min="16384" max="16384" width="9.1796875" style="128" customWidth="1"/>
  </cols>
  <sheetData>
    <row r="1" spans="1:15" s="334" customFormat="1" ht="57.75" customHeight="1">
      <c r="A1" s="330" t="s">
        <v>0</v>
      </c>
      <c r="C1" s="331" t="s">
        <v>1</v>
      </c>
      <c r="D1" s="331" t="s">
        <v>2</v>
      </c>
      <c r="E1" s="331" t="s">
        <v>3</v>
      </c>
      <c r="F1" s="331" t="s">
        <v>4</v>
      </c>
      <c r="G1" s="331" t="s">
        <v>5</v>
      </c>
      <c r="H1" s="331" t="s">
        <v>6</v>
      </c>
      <c r="I1" s="331" t="s">
        <v>505</v>
      </c>
      <c r="J1" s="331" t="s">
        <v>506</v>
      </c>
      <c r="K1" s="331" t="s">
        <v>286</v>
      </c>
      <c r="L1" s="331" t="s">
        <v>10</v>
      </c>
      <c r="M1" s="332" t="s">
        <v>507</v>
      </c>
      <c r="N1" s="333" t="s">
        <v>12</v>
      </c>
      <c r="O1" s="4" t="s">
        <v>508</v>
      </c>
    </row>
    <row r="2" spans="1:15" ht="10.5">
      <c r="A2" s="335" t="s">
        <v>1153</v>
      </c>
      <c r="C2" s="336" t="s">
        <v>14</v>
      </c>
      <c r="D2" s="336"/>
      <c r="E2" s="336">
        <v>1</v>
      </c>
      <c r="F2" s="336">
        <f>F8</f>
        <v>50</v>
      </c>
      <c r="G2" s="336">
        <f>SUM(G3:G8)</f>
        <v>50</v>
      </c>
      <c r="H2" s="337"/>
      <c r="I2" s="337"/>
      <c r="J2" s="337"/>
      <c r="K2" s="336"/>
      <c r="L2" s="336"/>
      <c r="M2" s="338"/>
      <c r="N2" s="127" t="s">
        <v>511</v>
      </c>
    </row>
    <row r="3" spans="1:15" ht="21">
      <c r="A3" s="339" t="s">
        <v>17</v>
      </c>
      <c r="C3" s="131" t="s">
        <v>18</v>
      </c>
      <c r="D3" s="108">
        <v>1</v>
      </c>
      <c r="E3" s="108">
        <v>1</v>
      </c>
      <c r="F3" s="108">
        <f t="shared" ref="F3:F8" si="0">E3+G3-1</f>
        <v>1</v>
      </c>
      <c r="G3" s="108">
        <v>1</v>
      </c>
      <c r="H3" s="125" t="s">
        <v>19</v>
      </c>
      <c r="I3" s="125"/>
      <c r="J3" s="125"/>
      <c r="K3" s="108"/>
      <c r="L3" s="108"/>
      <c r="M3" s="340"/>
      <c r="N3" s="127" t="s">
        <v>511</v>
      </c>
    </row>
    <row r="4" spans="1:15" s="23" customFormat="1">
      <c r="A4" s="18" t="s">
        <v>513</v>
      </c>
      <c r="C4" s="18" t="s">
        <v>514</v>
      </c>
      <c r="D4" s="14">
        <v>2</v>
      </c>
      <c r="E4" s="19">
        <f>F3+1</f>
        <v>2</v>
      </c>
      <c r="F4" s="14">
        <f t="shared" si="0"/>
        <v>16</v>
      </c>
      <c r="G4" s="19">
        <v>15</v>
      </c>
      <c r="H4" s="18" t="s">
        <v>515</v>
      </c>
      <c r="I4" s="20"/>
      <c r="J4" s="20"/>
      <c r="K4" s="18"/>
      <c r="L4" s="19"/>
      <c r="M4" s="19"/>
      <c r="N4" s="21"/>
      <c r="O4" s="22"/>
    </row>
    <row r="5" spans="1:15" s="23" customFormat="1">
      <c r="A5" s="18" t="s">
        <v>516</v>
      </c>
      <c r="C5" s="18" t="s">
        <v>517</v>
      </c>
      <c r="D5" s="108">
        <v>3</v>
      </c>
      <c r="E5" s="19">
        <f>F4+1</f>
        <v>17</v>
      </c>
      <c r="F5" s="14">
        <f t="shared" si="0"/>
        <v>26</v>
      </c>
      <c r="G5" s="19">
        <v>10</v>
      </c>
      <c r="H5" s="18" t="s">
        <v>518</v>
      </c>
      <c r="I5" s="20"/>
      <c r="J5" s="20"/>
      <c r="K5" s="18"/>
      <c r="L5" s="19"/>
      <c r="M5" s="19"/>
      <c r="N5" s="21"/>
      <c r="O5" s="22"/>
    </row>
    <row r="6" spans="1:15" s="23" customFormat="1" ht="10.5">
      <c r="A6" s="18" t="s">
        <v>215</v>
      </c>
      <c r="C6" s="18" t="s">
        <v>216</v>
      </c>
      <c r="D6" s="14">
        <v>4</v>
      </c>
      <c r="E6" s="19">
        <f>F5+1</f>
        <v>27</v>
      </c>
      <c r="F6" s="14">
        <f t="shared" si="0"/>
        <v>34</v>
      </c>
      <c r="G6" s="19">
        <v>8</v>
      </c>
      <c r="H6" s="18" t="s">
        <v>519</v>
      </c>
      <c r="I6" s="24"/>
      <c r="J6" s="24"/>
      <c r="K6" s="18"/>
      <c r="L6" s="19"/>
      <c r="M6" s="19"/>
      <c r="N6" s="21"/>
      <c r="O6" s="22"/>
    </row>
    <row r="7" spans="1:15" ht="10.5">
      <c r="A7" s="18" t="s">
        <v>520</v>
      </c>
      <c r="C7" s="18" t="s">
        <v>514</v>
      </c>
      <c r="D7" s="108">
        <v>5</v>
      </c>
      <c r="E7" s="19">
        <f>F6+1</f>
        <v>35</v>
      </c>
      <c r="F7" s="14">
        <f t="shared" si="0"/>
        <v>49</v>
      </c>
      <c r="G7" s="108">
        <v>15</v>
      </c>
      <c r="H7" s="341" t="s">
        <v>1154</v>
      </c>
      <c r="I7" s="341"/>
      <c r="J7" s="341"/>
      <c r="K7" s="108"/>
      <c r="L7" s="108"/>
      <c r="M7" s="340"/>
      <c r="N7" s="127" t="s">
        <v>511</v>
      </c>
    </row>
    <row r="8" spans="1:15" s="23" customFormat="1">
      <c r="A8" s="18" t="s">
        <v>522</v>
      </c>
      <c r="C8" s="18" t="s">
        <v>18</v>
      </c>
      <c r="D8" s="14">
        <v>6</v>
      </c>
      <c r="E8" s="19">
        <f>F7+1</f>
        <v>50</v>
      </c>
      <c r="F8" s="14">
        <f t="shared" si="0"/>
        <v>50</v>
      </c>
      <c r="G8" s="19">
        <v>1</v>
      </c>
      <c r="H8" s="18" t="s">
        <v>523</v>
      </c>
      <c r="I8" s="20"/>
      <c r="J8" s="20"/>
      <c r="K8" s="18"/>
      <c r="L8" s="19"/>
      <c r="M8" s="19"/>
      <c r="N8" s="21"/>
      <c r="O8" s="22"/>
    </row>
    <row r="9" spans="1:15" ht="10.5">
      <c r="A9" s="335" t="s">
        <v>1155</v>
      </c>
      <c r="C9" s="336" t="s">
        <v>14</v>
      </c>
      <c r="D9" s="336"/>
      <c r="E9" s="336">
        <v>1</v>
      </c>
      <c r="F9" s="336">
        <f>F64</f>
        <v>422</v>
      </c>
      <c r="G9" s="336">
        <f>SUM(G10:G64)</f>
        <v>422</v>
      </c>
      <c r="H9" s="342"/>
      <c r="I9" s="342"/>
      <c r="J9" s="342"/>
      <c r="K9" s="336"/>
      <c r="L9" s="336"/>
      <c r="M9" s="338"/>
      <c r="N9" s="127" t="s">
        <v>511</v>
      </c>
    </row>
    <row r="10" spans="1:15" ht="21">
      <c r="A10" s="343" t="s">
        <v>17</v>
      </c>
      <c r="C10" s="131" t="s">
        <v>18</v>
      </c>
      <c r="D10" s="344">
        <v>7</v>
      </c>
      <c r="E10" s="344">
        <v>1</v>
      </c>
      <c r="F10" s="344">
        <f t="shared" ref="F10:F64" si="1">E10+G10-1</f>
        <v>1</v>
      </c>
      <c r="G10" s="344">
        <v>1</v>
      </c>
      <c r="H10" s="125" t="s">
        <v>38</v>
      </c>
      <c r="I10" s="125" t="s">
        <v>526</v>
      </c>
      <c r="J10" s="125"/>
      <c r="K10" s="344"/>
      <c r="L10" s="344"/>
      <c r="M10" s="345"/>
      <c r="N10" s="127" t="s">
        <v>511</v>
      </c>
    </row>
    <row r="11" spans="1:15" ht="12.5">
      <c r="A11" s="346" t="s">
        <v>1156</v>
      </c>
      <c r="C11" s="347" t="s">
        <v>691</v>
      </c>
      <c r="D11" s="344">
        <v>8</v>
      </c>
      <c r="E11" s="344">
        <f t="shared" ref="E11:E64" si="2">F10+1</f>
        <v>2</v>
      </c>
      <c r="F11" s="344">
        <f t="shared" si="1"/>
        <v>15</v>
      </c>
      <c r="G11" s="344">
        <v>14</v>
      </c>
      <c r="H11" s="348" t="s">
        <v>1157</v>
      </c>
      <c r="I11" s="125" t="s">
        <v>526</v>
      </c>
      <c r="J11" s="125" t="s">
        <v>1158</v>
      </c>
      <c r="K11" s="349" t="s">
        <v>1159</v>
      </c>
      <c r="L11" s="125" t="s">
        <v>1160</v>
      </c>
      <c r="M11" s="350" t="s">
        <v>1161</v>
      </c>
      <c r="N11" s="127" t="s">
        <v>511</v>
      </c>
      <c r="O11" s="128" t="s">
        <v>562</v>
      </c>
    </row>
    <row r="12" spans="1:15" ht="12.5">
      <c r="A12" s="129" t="s">
        <v>1162</v>
      </c>
      <c r="C12" s="131" t="s">
        <v>626</v>
      </c>
      <c r="D12" s="108">
        <v>9</v>
      </c>
      <c r="E12" s="108">
        <f t="shared" si="2"/>
        <v>16</v>
      </c>
      <c r="F12" s="108">
        <f t="shared" si="1"/>
        <v>18</v>
      </c>
      <c r="G12" s="108">
        <v>3</v>
      </c>
      <c r="H12" s="125" t="s">
        <v>1163</v>
      </c>
      <c r="I12" s="125" t="s">
        <v>526</v>
      </c>
      <c r="J12" s="125" t="s">
        <v>1158</v>
      </c>
      <c r="K12" s="351" t="s">
        <v>1164</v>
      </c>
      <c r="L12" s="125" t="s">
        <v>1160</v>
      </c>
      <c r="M12" s="126" t="s">
        <v>1165</v>
      </c>
      <c r="N12" s="127" t="s">
        <v>511</v>
      </c>
      <c r="O12" s="128" t="s">
        <v>562</v>
      </c>
    </row>
    <row r="13" spans="1:15" ht="12.5">
      <c r="A13" s="129" t="s">
        <v>1166</v>
      </c>
      <c r="C13" s="131" t="s">
        <v>536</v>
      </c>
      <c r="D13" s="108">
        <v>10</v>
      </c>
      <c r="E13" s="108">
        <f t="shared" si="2"/>
        <v>19</v>
      </c>
      <c r="F13" s="108">
        <f t="shared" si="1"/>
        <v>29</v>
      </c>
      <c r="G13" s="108">
        <v>11</v>
      </c>
      <c r="H13" s="125"/>
      <c r="I13" s="125" t="s">
        <v>526</v>
      </c>
      <c r="J13" s="125" t="s">
        <v>1158</v>
      </c>
      <c r="K13" s="351" t="s">
        <v>1167</v>
      </c>
      <c r="L13" s="125" t="s">
        <v>1168</v>
      </c>
      <c r="M13" s="126" t="s">
        <v>1169</v>
      </c>
      <c r="N13" s="127" t="s">
        <v>511</v>
      </c>
      <c r="O13" s="128" t="s">
        <v>562</v>
      </c>
    </row>
    <row r="14" spans="1:15" s="354" customFormat="1" ht="12.5">
      <c r="A14" s="119" t="s">
        <v>1170</v>
      </c>
      <c r="C14" s="120" t="s">
        <v>540</v>
      </c>
      <c r="D14" s="121">
        <v>11</v>
      </c>
      <c r="E14" s="121">
        <f t="shared" si="2"/>
        <v>30</v>
      </c>
      <c r="F14" s="121">
        <f t="shared" si="1"/>
        <v>59</v>
      </c>
      <c r="G14" s="121">
        <v>30</v>
      </c>
      <c r="H14" s="123"/>
      <c r="I14" s="123" t="s">
        <v>526</v>
      </c>
      <c r="J14" s="123" t="s">
        <v>844</v>
      </c>
      <c r="K14" s="124" t="s">
        <v>543</v>
      </c>
      <c r="L14" s="123" t="s">
        <v>544</v>
      </c>
      <c r="M14" s="352" t="s">
        <v>1171</v>
      </c>
      <c r="N14" s="353" t="s">
        <v>511</v>
      </c>
    </row>
    <row r="15" spans="1:15" ht="12.5">
      <c r="A15" s="534" t="s">
        <v>1172</v>
      </c>
      <c r="C15" s="131" t="s">
        <v>517</v>
      </c>
      <c r="D15" s="108">
        <v>12</v>
      </c>
      <c r="E15" s="108">
        <f t="shared" si="2"/>
        <v>60</v>
      </c>
      <c r="F15" s="108">
        <f t="shared" si="1"/>
        <v>69</v>
      </c>
      <c r="G15" s="108">
        <v>10</v>
      </c>
      <c r="H15" s="125"/>
      <c r="I15" s="125" t="s">
        <v>526</v>
      </c>
      <c r="J15" s="125" t="s">
        <v>1158</v>
      </c>
      <c r="K15" s="351" t="s">
        <v>1173</v>
      </c>
      <c r="L15" s="125" t="s">
        <v>1168</v>
      </c>
      <c r="M15" s="126" t="s">
        <v>1174</v>
      </c>
      <c r="N15" s="127" t="s">
        <v>511</v>
      </c>
      <c r="O15" s="128" t="s">
        <v>562</v>
      </c>
    </row>
    <row r="16" spans="1:15" ht="12.5">
      <c r="A16" s="129" t="s">
        <v>1175</v>
      </c>
      <c r="C16" s="131" t="s">
        <v>551</v>
      </c>
      <c r="D16" s="108">
        <v>13</v>
      </c>
      <c r="E16" s="108">
        <f t="shared" si="2"/>
        <v>70</v>
      </c>
      <c r="F16" s="108">
        <f t="shared" si="1"/>
        <v>72</v>
      </c>
      <c r="G16" s="108">
        <v>3</v>
      </c>
      <c r="H16" s="348" t="s">
        <v>552</v>
      </c>
      <c r="I16" s="125" t="s">
        <v>526</v>
      </c>
      <c r="J16" s="125" t="s">
        <v>1176</v>
      </c>
      <c r="K16" s="351" t="s">
        <v>480</v>
      </c>
      <c r="L16" s="125" t="s">
        <v>1177</v>
      </c>
      <c r="M16" s="126" t="s">
        <v>1178</v>
      </c>
      <c r="N16" s="127" t="s">
        <v>511</v>
      </c>
      <c r="O16" s="128" t="s">
        <v>534</v>
      </c>
    </row>
    <row r="17" spans="1:15" ht="13.5" customHeight="1">
      <c r="A17" s="129" t="s">
        <v>1179</v>
      </c>
      <c r="C17" s="131" t="s">
        <v>582</v>
      </c>
      <c r="D17" s="108">
        <v>15</v>
      </c>
      <c r="E17" s="108">
        <f t="shared" si="2"/>
        <v>73</v>
      </c>
      <c r="F17" s="108">
        <f t="shared" si="1"/>
        <v>82</v>
      </c>
      <c r="G17" s="108">
        <v>10</v>
      </c>
      <c r="H17" s="355"/>
      <c r="I17" s="125" t="s">
        <v>526</v>
      </c>
      <c r="J17" s="125" t="s">
        <v>1158</v>
      </c>
      <c r="K17" s="351" t="s">
        <v>1180</v>
      </c>
      <c r="L17" s="125" t="s">
        <v>1160</v>
      </c>
      <c r="M17" s="350" t="s">
        <v>1181</v>
      </c>
      <c r="N17" s="127" t="s">
        <v>511</v>
      </c>
      <c r="O17" s="128" t="s">
        <v>534</v>
      </c>
    </row>
    <row r="18" spans="1:15" ht="12.5">
      <c r="A18" s="534" t="s">
        <v>1182</v>
      </c>
      <c r="B18" s="535"/>
      <c r="C18" s="536" t="s">
        <v>1183</v>
      </c>
      <c r="D18" s="537">
        <v>16</v>
      </c>
      <c r="E18" s="537">
        <f t="shared" si="2"/>
        <v>83</v>
      </c>
      <c r="F18" s="537">
        <f t="shared" si="1"/>
        <v>96</v>
      </c>
      <c r="G18" s="537">
        <v>14</v>
      </c>
      <c r="H18" s="538"/>
      <c r="I18" s="125" t="s">
        <v>526</v>
      </c>
      <c r="J18" s="125" t="s">
        <v>1158</v>
      </c>
      <c r="K18" s="351" t="s">
        <v>1184</v>
      </c>
      <c r="L18" s="125" t="s">
        <v>1160</v>
      </c>
      <c r="M18" s="350" t="s">
        <v>1185</v>
      </c>
      <c r="N18" s="127" t="s">
        <v>511</v>
      </c>
      <c r="O18" s="128" t="s">
        <v>562</v>
      </c>
    </row>
    <row r="19" spans="1:15" s="638" customFormat="1" ht="15.75" customHeight="1">
      <c r="A19" s="629" t="s">
        <v>1186</v>
      </c>
      <c r="B19" s="630"/>
      <c r="C19" s="631" t="s">
        <v>1183</v>
      </c>
      <c r="D19" s="632">
        <v>17</v>
      </c>
      <c r="E19" s="632">
        <f t="shared" si="2"/>
        <v>97</v>
      </c>
      <c r="F19" s="632">
        <f t="shared" si="1"/>
        <v>110</v>
      </c>
      <c r="G19" s="632">
        <v>14</v>
      </c>
      <c r="H19" s="633"/>
      <c r="I19" s="634" t="s">
        <v>526</v>
      </c>
      <c r="J19" s="634" t="s">
        <v>1158</v>
      </c>
      <c r="K19" s="635" t="s">
        <v>1187</v>
      </c>
      <c r="L19" s="634" t="s">
        <v>1160</v>
      </c>
      <c r="M19" s="636" t="s">
        <v>1188</v>
      </c>
      <c r="N19" s="637" t="s">
        <v>511</v>
      </c>
      <c r="O19" s="638" t="s">
        <v>562</v>
      </c>
    </row>
    <row r="20" spans="1:15" ht="12.5">
      <c r="A20" s="534" t="s">
        <v>1189</v>
      </c>
      <c r="B20" s="535"/>
      <c r="C20" s="536" t="s">
        <v>1183</v>
      </c>
      <c r="D20" s="537">
        <v>18</v>
      </c>
      <c r="E20" s="537">
        <f t="shared" si="2"/>
        <v>111</v>
      </c>
      <c r="F20" s="537">
        <f t="shared" si="1"/>
        <v>124</v>
      </c>
      <c r="G20" s="537">
        <v>14</v>
      </c>
      <c r="H20" s="539" t="s">
        <v>1190</v>
      </c>
      <c r="I20" s="125" t="s">
        <v>526</v>
      </c>
      <c r="J20" s="125" t="s">
        <v>1158</v>
      </c>
      <c r="K20" s="351" t="s">
        <v>1191</v>
      </c>
      <c r="L20" s="125" t="s">
        <v>1160</v>
      </c>
      <c r="M20" s="350" t="s">
        <v>1192</v>
      </c>
      <c r="N20" s="127" t="s">
        <v>511</v>
      </c>
      <c r="O20" s="128" t="s">
        <v>562</v>
      </c>
    </row>
    <row r="21" spans="1:15" ht="42">
      <c r="A21" s="534" t="s">
        <v>1193</v>
      </c>
      <c r="B21" s="535"/>
      <c r="C21" s="536" t="s">
        <v>216</v>
      </c>
      <c r="D21" s="537" t="s">
        <v>216</v>
      </c>
      <c r="E21" s="537">
        <f t="shared" si="2"/>
        <v>125</v>
      </c>
      <c r="F21" s="537">
        <f t="shared" si="1"/>
        <v>132</v>
      </c>
      <c r="G21" s="537">
        <v>8</v>
      </c>
      <c r="H21" s="538" t="s">
        <v>1194</v>
      </c>
      <c r="I21" s="125" t="s">
        <v>526</v>
      </c>
      <c r="J21" s="125" t="s">
        <v>1158</v>
      </c>
      <c r="K21" s="351" t="s">
        <v>1195</v>
      </c>
      <c r="L21" s="125" t="s">
        <v>1160</v>
      </c>
      <c r="M21" s="350" t="s">
        <v>1196</v>
      </c>
      <c r="N21" s="127" t="s">
        <v>511</v>
      </c>
      <c r="O21" s="128" t="s">
        <v>562</v>
      </c>
    </row>
    <row r="22" spans="1:15" ht="11.5">
      <c r="A22" s="129" t="s">
        <v>1197</v>
      </c>
      <c r="D22" s="108">
        <v>20</v>
      </c>
      <c r="E22" s="108">
        <f t="shared" si="2"/>
        <v>133</v>
      </c>
      <c r="F22" s="108">
        <f t="shared" si="1"/>
        <v>140</v>
      </c>
      <c r="G22" s="108">
        <v>8</v>
      </c>
      <c r="H22" s="348"/>
      <c r="I22" s="125" t="s">
        <v>526</v>
      </c>
      <c r="J22" s="125" t="s">
        <v>1158</v>
      </c>
      <c r="K22" s="351" t="s">
        <v>1198</v>
      </c>
      <c r="L22" s="125" t="s">
        <v>1160</v>
      </c>
      <c r="M22" s="350" t="s">
        <v>1199</v>
      </c>
      <c r="N22" s="127" t="s">
        <v>511</v>
      </c>
      <c r="O22" s="128" t="s">
        <v>562</v>
      </c>
    </row>
    <row r="23" spans="1:15" ht="12.5">
      <c r="A23" s="129" t="s">
        <v>1200</v>
      </c>
      <c r="C23" s="131" t="s">
        <v>1201</v>
      </c>
      <c r="D23" s="108">
        <v>21</v>
      </c>
      <c r="E23" s="108">
        <f t="shared" si="2"/>
        <v>141</v>
      </c>
      <c r="F23" s="108">
        <f t="shared" si="1"/>
        <v>141</v>
      </c>
      <c r="G23" s="108">
        <v>1</v>
      </c>
      <c r="H23" s="348"/>
      <c r="I23" s="125" t="s">
        <v>526</v>
      </c>
      <c r="J23" s="125" t="s">
        <v>1158</v>
      </c>
      <c r="K23" s="351" t="s">
        <v>1200</v>
      </c>
      <c r="L23" s="125" t="s">
        <v>1160</v>
      </c>
      <c r="M23" s="350" t="s">
        <v>1199</v>
      </c>
      <c r="N23" s="127" t="s">
        <v>511</v>
      </c>
      <c r="O23" s="128" t="s">
        <v>562</v>
      </c>
    </row>
    <row r="24" spans="1:15" ht="21">
      <c r="A24" s="129" t="s">
        <v>1202</v>
      </c>
      <c r="C24" s="131" t="s">
        <v>1201</v>
      </c>
      <c r="D24" s="108">
        <v>22</v>
      </c>
      <c r="E24" s="108">
        <f t="shared" si="2"/>
        <v>142</v>
      </c>
      <c r="F24" s="108">
        <f t="shared" si="1"/>
        <v>142</v>
      </c>
      <c r="G24" s="108">
        <v>1</v>
      </c>
      <c r="H24" s="348" t="s">
        <v>1203</v>
      </c>
      <c r="I24" s="125" t="s">
        <v>526</v>
      </c>
      <c r="J24" s="125" t="s">
        <v>1204</v>
      </c>
      <c r="K24" s="351" t="s">
        <v>1202</v>
      </c>
      <c r="L24" s="125" t="s">
        <v>1160</v>
      </c>
      <c r="M24" s="350" t="s">
        <v>1205</v>
      </c>
      <c r="N24" s="127"/>
    </row>
    <row r="25" spans="1:15" ht="21">
      <c r="A25" s="534" t="s">
        <v>1206</v>
      </c>
      <c r="B25" s="535"/>
      <c r="C25" s="536" t="s">
        <v>18</v>
      </c>
      <c r="D25" s="537">
        <v>23</v>
      </c>
      <c r="E25" s="537">
        <f t="shared" si="2"/>
        <v>143</v>
      </c>
      <c r="F25" s="537">
        <f t="shared" si="1"/>
        <v>143</v>
      </c>
      <c r="G25" s="537">
        <v>1</v>
      </c>
      <c r="H25" s="538" t="s">
        <v>1207</v>
      </c>
      <c r="I25" s="125" t="s">
        <v>526</v>
      </c>
      <c r="J25" s="125" t="s">
        <v>1158</v>
      </c>
      <c r="K25" s="358" t="s">
        <v>1208</v>
      </c>
      <c r="L25" s="125" t="s">
        <v>1160</v>
      </c>
      <c r="M25" s="350" t="s">
        <v>1209</v>
      </c>
      <c r="N25" s="127" t="s">
        <v>511</v>
      </c>
      <c r="O25" s="128" t="s">
        <v>562</v>
      </c>
    </row>
    <row r="26" spans="1:15" ht="12.5">
      <c r="A26" s="534" t="s">
        <v>1210</v>
      </c>
      <c r="B26" s="535"/>
      <c r="C26" s="639" t="s">
        <v>216</v>
      </c>
      <c r="D26" s="537">
        <v>24</v>
      </c>
      <c r="E26" s="537">
        <f t="shared" si="2"/>
        <v>144</v>
      </c>
      <c r="F26" s="537">
        <f t="shared" si="1"/>
        <v>151</v>
      </c>
      <c r="G26" s="537">
        <v>8</v>
      </c>
      <c r="H26" s="640" t="s">
        <v>1211</v>
      </c>
      <c r="I26" s="125" t="s">
        <v>526</v>
      </c>
      <c r="J26" s="125" t="s">
        <v>1158</v>
      </c>
      <c r="K26" s="351" t="s">
        <v>1210</v>
      </c>
      <c r="L26" s="125" t="s">
        <v>1160</v>
      </c>
      <c r="M26" s="350" t="s">
        <v>1212</v>
      </c>
      <c r="N26" s="127" t="s">
        <v>511</v>
      </c>
      <c r="O26" s="128" t="s">
        <v>562</v>
      </c>
    </row>
    <row r="27" spans="1:15" ht="20.5">
      <c r="A27" s="629" t="s">
        <v>1213</v>
      </c>
      <c r="C27" s="356" t="s">
        <v>216</v>
      </c>
      <c r="D27" s="108">
        <v>25</v>
      </c>
      <c r="E27" s="108">
        <f t="shared" si="2"/>
        <v>152</v>
      </c>
      <c r="F27" s="108">
        <f t="shared" si="1"/>
        <v>159</v>
      </c>
      <c r="G27" s="108">
        <v>8</v>
      </c>
      <c r="H27" s="357" t="s">
        <v>1214</v>
      </c>
      <c r="I27" s="125" t="s">
        <v>526</v>
      </c>
      <c r="J27" s="125" t="s">
        <v>1158</v>
      </c>
      <c r="K27" s="351" t="s">
        <v>1215</v>
      </c>
      <c r="L27" s="125" t="s">
        <v>1160</v>
      </c>
      <c r="M27" s="350" t="s">
        <v>1216</v>
      </c>
      <c r="N27" s="127" t="s">
        <v>511</v>
      </c>
      <c r="O27" s="128" t="s">
        <v>562</v>
      </c>
    </row>
    <row r="28" spans="1:15" ht="12.5">
      <c r="A28" s="129" t="s">
        <v>1217</v>
      </c>
      <c r="C28" s="356" t="s">
        <v>1218</v>
      </c>
      <c r="D28" s="108">
        <v>26</v>
      </c>
      <c r="E28" s="108">
        <f t="shared" si="2"/>
        <v>160</v>
      </c>
      <c r="F28" s="108">
        <f t="shared" si="1"/>
        <v>171</v>
      </c>
      <c r="G28" s="108">
        <v>12</v>
      </c>
      <c r="H28" s="355"/>
      <c r="I28" s="125" t="s">
        <v>526</v>
      </c>
      <c r="J28" s="125" t="s">
        <v>1158</v>
      </c>
      <c r="K28" s="351" t="s">
        <v>1219</v>
      </c>
      <c r="L28" s="125" t="s">
        <v>1160</v>
      </c>
      <c r="M28" s="350" t="s">
        <v>1220</v>
      </c>
      <c r="N28" s="127" t="s">
        <v>511</v>
      </c>
      <c r="O28" s="128" t="s">
        <v>562</v>
      </c>
    </row>
    <row r="29" spans="1:15" ht="12.5">
      <c r="A29" s="534" t="s">
        <v>1221</v>
      </c>
      <c r="B29" s="535"/>
      <c r="C29" s="536" t="s">
        <v>1183</v>
      </c>
      <c r="D29" s="537">
        <v>27</v>
      </c>
      <c r="E29" s="537">
        <f t="shared" si="2"/>
        <v>172</v>
      </c>
      <c r="F29" s="537">
        <f t="shared" si="1"/>
        <v>185</v>
      </c>
      <c r="G29" s="537">
        <v>14</v>
      </c>
      <c r="H29" s="539" t="s">
        <v>1222</v>
      </c>
      <c r="I29" s="125" t="s">
        <v>526</v>
      </c>
      <c r="J29" s="125"/>
      <c r="K29" s="351"/>
      <c r="L29" s="125" t="s">
        <v>1160</v>
      </c>
      <c r="M29" s="350" t="s">
        <v>1223</v>
      </c>
      <c r="N29" s="127" t="s">
        <v>511</v>
      </c>
      <c r="O29" s="128" t="s">
        <v>562</v>
      </c>
    </row>
    <row r="30" spans="1:15" ht="12.5">
      <c r="A30" s="534" t="s">
        <v>1224</v>
      </c>
      <c r="B30" s="535"/>
      <c r="C30" s="536" t="s">
        <v>547</v>
      </c>
      <c r="D30" s="108">
        <v>28</v>
      </c>
      <c r="E30" s="108">
        <f t="shared" si="2"/>
        <v>186</v>
      </c>
      <c r="F30" s="108">
        <f t="shared" si="1"/>
        <v>187</v>
      </c>
      <c r="G30" s="108">
        <v>2</v>
      </c>
      <c r="H30" s="357" t="s">
        <v>1225</v>
      </c>
      <c r="I30" s="125" t="s">
        <v>526</v>
      </c>
      <c r="J30" s="125" t="s">
        <v>1158</v>
      </c>
      <c r="K30" s="351" t="s">
        <v>1226</v>
      </c>
      <c r="L30" s="125" t="s">
        <v>1160</v>
      </c>
      <c r="M30" s="350" t="s">
        <v>1227</v>
      </c>
      <c r="N30" s="127" t="s">
        <v>511</v>
      </c>
      <c r="O30" s="128" t="s">
        <v>562</v>
      </c>
    </row>
    <row r="31" spans="1:15" ht="12.5">
      <c r="A31" s="129" t="s">
        <v>1228</v>
      </c>
      <c r="C31" s="356" t="s">
        <v>1229</v>
      </c>
      <c r="D31" s="108">
        <v>29</v>
      </c>
      <c r="E31" s="108">
        <f t="shared" si="2"/>
        <v>188</v>
      </c>
      <c r="F31" s="108">
        <f t="shared" si="1"/>
        <v>191</v>
      </c>
      <c r="G31" s="108">
        <v>4</v>
      </c>
      <c r="H31" s="355"/>
      <c r="I31" s="125" t="s">
        <v>526</v>
      </c>
      <c r="J31" s="125" t="s">
        <v>1158</v>
      </c>
      <c r="K31" s="351" t="s">
        <v>1230</v>
      </c>
      <c r="L31" s="125" t="s">
        <v>1160</v>
      </c>
      <c r="M31" s="350" t="s">
        <v>1231</v>
      </c>
      <c r="N31" s="127"/>
      <c r="O31" s="128" t="s">
        <v>562</v>
      </c>
    </row>
    <row r="32" spans="1:15" ht="12.5">
      <c r="A32" s="534" t="s">
        <v>1232</v>
      </c>
      <c r="B32" s="535"/>
      <c r="C32" s="536" t="s">
        <v>1233</v>
      </c>
      <c r="D32" s="537">
        <v>30</v>
      </c>
      <c r="E32" s="537">
        <f t="shared" si="2"/>
        <v>192</v>
      </c>
      <c r="F32" s="537">
        <f t="shared" si="1"/>
        <v>200</v>
      </c>
      <c r="G32" s="537">
        <v>9</v>
      </c>
      <c r="H32" s="355"/>
      <c r="I32" s="125" t="s">
        <v>526</v>
      </c>
      <c r="J32" s="125" t="s">
        <v>1158</v>
      </c>
      <c r="K32" s="351" t="s">
        <v>1234</v>
      </c>
      <c r="L32" s="125" t="s">
        <v>1160</v>
      </c>
      <c r="M32" s="350" t="s">
        <v>1235</v>
      </c>
      <c r="N32" s="127" t="s">
        <v>511</v>
      </c>
      <c r="O32" s="128" t="s">
        <v>562</v>
      </c>
    </row>
    <row r="33" spans="1:15" ht="12.5">
      <c r="A33" s="129" t="s">
        <v>1236</v>
      </c>
      <c r="C33" s="356" t="s">
        <v>691</v>
      </c>
      <c r="D33" s="108">
        <v>31</v>
      </c>
      <c r="E33" s="108">
        <f t="shared" si="2"/>
        <v>201</v>
      </c>
      <c r="F33" s="108">
        <f t="shared" si="1"/>
        <v>214</v>
      </c>
      <c r="G33" s="108">
        <v>14</v>
      </c>
      <c r="H33" s="348"/>
      <c r="I33" s="125" t="s">
        <v>526</v>
      </c>
      <c r="J33" s="125" t="s">
        <v>1237</v>
      </c>
      <c r="K33" s="351" t="s">
        <v>1238</v>
      </c>
      <c r="L33" s="125" t="s">
        <v>1160</v>
      </c>
      <c r="M33" s="350" t="s">
        <v>1239</v>
      </c>
      <c r="N33" s="127" t="s">
        <v>511</v>
      </c>
      <c r="O33" s="128" t="s">
        <v>562</v>
      </c>
    </row>
    <row r="34" spans="1:15" ht="136.5">
      <c r="A34" s="129" t="s">
        <v>1240</v>
      </c>
      <c r="C34" s="356" t="s">
        <v>1201</v>
      </c>
      <c r="D34" s="108">
        <v>32</v>
      </c>
      <c r="E34" s="108">
        <f t="shared" si="2"/>
        <v>215</v>
      </c>
      <c r="F34" s="108">
        <f t="shared" si="1"/>
        <v>215</v>
      </c>
      <c r="G34" s="108">
        <v>1</v>
      </c>
      <c r="H34" s="359" t="s">
        <v>1241</v>
      </c>
      <c r="I34" s="125" t="s">
        <v>526</v>
      </c>
      <c r="J34" s="125" t="s">
        <v>1237</v>
      </c>
      <c r="K34" s="351" t="s">
        <v>1242</v>
      </c>
      <c r="L34" s="125" t="s">
        <v>1160</v>
      </c>
      <c r="M34" s="350" t="s">
        <v>1243</v>
      </c>
      <c r="N34" s="127" t="s">
        <v>511</v>
      </c>
      <c r="O34" s="128" t="s">
        <v>562</v>
      </c>
    </row>
    <row r="35" spans="1:15" ht="21">
      <c r="A35" s="534" t="s">
        <v>1244</v>
      </c>
      <c r="C35" s="356" t="s">
        <v>1201</v>
      </c>
      <c r="D35" s="108">
        <v>33</v>
      </c>
      <c r="E35" s="108">
        <f t="shared" si="2"/>
        <v>216</v>
      </c>
      <c r="F35" s="108">
        <f t="shared" si="1"/>
        <v>216</v>
      </c>
      <c r="G35" s="108">
        <v>1</v>
      </c>
      <c r="H35" s="348" t="s">
        <v>1245</v>
      </c>
      <c r="I35" s="125" t="s">
        <v>526</v>
      </c>
      <c r="J35" s="125" t="s">
        <v>1158</v>
      </c>
      <c r="K35" s="351" t="s">
        <v>1246</v>
      </c>
      <c r="L35" s="125" t="s">
        <v>1160</v>
      </c>
      <c r="M35" s="350" t="s">
        <v>1169</v>
      </c>
      <c r="N35" s="127" t="s">
        <v>511</v>
      </c>
      <c r="O35" s="128" t="s">
        <v>562</v>
      </c>
    </row>
    <row r="36" spans="1:15" ht="21">
      <c r="A36" s="360" t="s">
        <v>1247</v>
      </c>
      <c r="C36" s="356" t="s">
        <v>760</v>
      </c>
      <c r="D36" s="108">
        <v>34</v>
      </c>
      <c r="E36" s="108">
        <f t="shared" si="2"/>
        <v>217</v>
      </c>
      <c r="F36" s="108">
        <f t="shared" si="1"/>
        <v>218</v>
      </c>
      <c r="G36" s="108">
        <v>2</v>
      </c>
      <c r="H36" s="348" t="s">
        <v>1248</v>
      </c>
      <c r="I36" s="125" t="s">
        <v>526</v>
      </c>
      <c r="J36" s="125" t="s">
        <v>1158</v>
      </c>
      <c r="K36" s="351" t="s">
        <v>1249</v>
      </c>
      <c r="L36" s="125" t="s">
        <v>1160</v>
      </c>
      <c r="M36" s="350" t="s">
        <v>1250</v>
      </c>
      <c r="N36" s="127" t="s">
        <v>511</v>
      </c>
      <c r="O36" s="128" t="s">
        <v>534</v>
      </c>
    </row>
    <row r="37" spans="1:15" ht="12.5">
      <c r="A37" s="360" t="s">
        <v>1251</v>
      </c>
      <c r="B37" s="129" t="s">
        <v>1404</v>
      </c>
      <c r="C37" s="356" t="s">
        <v>1252</v>
      </c>
      <c r="D37" s="108">
        <v>35</v>
      </c>
      <c r="E37" s="108">
        <f t="shared" si="2"/>
        <v>219</v>
      </c>
      <c r="F37" s="108">
        <f t="shared" si="1"/>
        <v>228</v>
      </c>
      <c r="G37" s="108">
        <v>10</v>
      </c>
      <c r="H37" s="348"/>
      <c r="I37" s="125" t="s">
        <v>526</v>
      </c>
      <c r="J37" s="125" t="s">
        <v>1158</v>
      </c>
      <c r="K37" s="351" t="s">
        <v>1253</v>
      </c>
      <c r="L37" s="125" t="s">
        <v>1160</v>
      </c>
      <c r="M37" s="350" t="s">
        <v>1254</v>
      </c>
      <c r="N37" s="127" t="s">
        <v>511</v>
      </c>
      <c r="O37" s="128" t="s">
        <v>534</v>
      </c>
    </row>
    <row r="38" spans="1:15" ht="12.5">
      <c r="A38" s="360" t="s">
        <v>1255</v>
      </c>
      <c r="B38" s="129" t="s">
        <v>1406</v>
      </c>
      <c r="C38" s="356" t="s">
        <v>207</v>
      </c>
      <c r="D38" s="108">
        <v>36</v>
      </c>
      <c r="E38" s="108">
        <f t="shared" si="2"/>
        <v>229</v>
      </c>
      <c r="F38" s="108">
        <f t="shared" si="1"/>
        <v>237</v>
      </c>
      <c r="G38" s="108">
        <v>9</v>
      </c>
      <c r="H38" s="348"/>
      <c r="I38" s="125" t="s">
        <v>526</v>
      </c>
      <c r="J38" s="125" t="s">
        <v>1158</v>
      </c>
      <c r="K38" s="351" t="s">
        <v>1255</v>
      </c>
      <c r="L38" s="125" t="s">
        <v>1160</v>
      </c>
      <c r="M38" s="350" t="s">
        <v>1256</v>
      </c>
      <c r="N38" s="127" t="s">
        <v>511</v>
      </c>
    </row>
    <row r="39" spans="1:15" ht="31.5">
      <c r="A39" s="540" t="s">
        <v>1257</v>
      </c>
      <c r="B39" s="129" t="s">
        <v>1430</v>
      </c>
      <c r="C39" s="356" t="s">
        <v>528</v>
      </c>
      <c r="D39" s="108">
        <v>37</v>
      </c>
      <c r="E39" s="108">
        <f t="shared" si="2"/>
        <v>238</v>
      </c>
      <c r="F39" s="108">
        <f t="shared" si="1"/>
        <v>251</v>
      </c>
      <c r="G39" s="108">
        <v>14</v>
      </c>
      <c r="H39" s="348" t="s">
        <v>1258</v>
      </c>
      <c r="I39" s="125" t="s">
        <v>526</v>
      </c>
      <c r="J39" s="125" t="s">
        <v>1204</v>
      </c>
      <c r="K39" s="351" t="s">
        <v>1259</v>
      </c>
      <c r="L39" s="125" t="s">
        <v>1160</v>
      </c>
      <c r="M39" s="350" t="s">
        <v>1260</v>
      </c>
      <c r="N39" s="127" t="s">
        <v>511</v>
      </c>
      <c r="O39" s="128" t="s">
        <v>562</v>
      </c>
    </row>
    <row r="40" spans="1:15" ht="12.5">
      <c r="A40" s="360" t="s">
        <v>1261</v>
      </c>
      <c r="B40" s="129" t="s">
        <v>1432</v>
      </c>
      <c r="C40" s="356" t="s">
        <v>207</v>
      </c>
      <c r="D40" s="108">
        <v>38</v>
      </c>
      <c r="E40" s="108">
        <f t="shared" si="2"/>
        <v>252</v>
      </c>
      <c r="F40" s="108">
        <f t="shared" si="1"/>
        <v>260</v>
      </c>
      <c r="G40" s="108">
        <v>9</v>
      </c>
      <c r="H40" s="348"/>
      <c r="I40" s="125" t="s">
        <v>526</v>
      </c>
      <c r="J40" s="125" t="s">
        <v>1158</v>
      </c>
      <c r="K40" s="351" t="s">
        <v>1262</v>
      </c>
      <c r="L40" s="125" t="s">
        <v>1160</v>
      </c>
      <c r="M40" s="350" t="s">
        <v>1263</v>
      </c>
      <c r="N40" s="127" t="s">
        <v>511</v>
      </c>
      <c r="O40" s="128" t="s">
        <v>534</v>
      </c>
    </row>
    <row r="41" spans="1:15" ht="12.5">
      <c r="A41" s="360" t="s">
        <v>1264</v>
      </c>
      <c r="B41" s="129" t="s">
        <v>1434</v>
      </c>
      <c r="C41" s="356" t="s">
        <v>558</v>
      </c>
      <c r="D41" s="108">
        <v>39</v>
      </c>
      <c r="E41" s="108">
        <f t="shared" si="2"/>
        <v>261</v>
      </c>
      <c r="F41" s="108">
        <f t="shared" si="1"/>
        <v>261</v>
      </c>
      <c r="G41" s="108">
        <v>1</v>
      </c>
      <c r="H41" s="355" t="s">
        <v>1265</v>
      </c>
      <c r="I41" s="125" t="s">
        <v>526</v>
      </c>
      <c r="J41" s="125" t="s">
        <v>1266</v>
      </c>
      <c r="K41" s="351" t="s">
        <v>1267</v>
      </c>
      <c r="L41" s="125" t="s">
        <v>1160</v>
      </c>
      <c r="M41" s="350" t="s">
        <v>1268</v>
      </c>
      <c r="N41" s="127" t="s">
        <v>511</v>
      </c>
      <c r="O41" s="128" t="s">
        <v>534</v>
      </c>
    </row>
    <row r="42" spans="1:15" ht="12.5">
      <c r="A42" s="540" t="s">
        <v>1269</v>
      </c>
      <c r="B42" s="534" t="s">
        <v>1436</v>
      </c>
      <c r="C42" s="536" t="s">
        <v>1270</v>
      </c>
      <c r="D42" s="537">
        <v>40</v>
      </c>
      <c r="E42" s="537">
        <f t="shared" si="2"/>
        <v>262</v>
      </c>
      <c r="F42" s="537">
        <f t="shared" si="1"/>
        <v>264</v>
      </c>
      <c r="G42" s="537">
        <v>3</v>
      </c>
      <c r="H42" s="538"/>
      <c r="I42" s="125" t="s">
        <v>526</v>
      </c>
      <c r="J42" s="125" t="s">
        <v>1271</v>
      </c>
      <c r="K42" s="351" t="s">
        <v>1272</v>
      </c>
      <c r="L42" s="125" t="s">
        <v>1160</v>
      </c>
      <c r="M42" s="350" t="s">
        <v>1273</v>
      </c>
      <c r="N42" s="127" t="s">
        <v>511</v>
      </c>
      <c r="O42" s="128" t="s">
        <v>534</v>
      </c>
    </row>
    <row r="43" spans="1:15" ht="12.5">
      <c r="A43" s="540" t="s">
        <v>1274</v>
      </c>
      <c r="B43" s="534" t="s">
        <v>1439</v>
      </c>
      <c r="C43" s="536" t="s">
        <v>1270</v>
      </c>
      <c r="D43" s="537">
        <v>41</v>
      </c>
      <c r="E43" s="537">
        <f t="shared" si="2"/>
        <v>265</v>
      </c>
      <c r="F43" s="537">
        <f t="shared" si="1"/>
        <v>267</v>
      </c>
      <c r="G43" s="537">
        <v>3</v>
      </c>
      <c r="H43" s="538"/>
      <c r="I43" s="125" t="s">
        <v>526</v>
      </c>
      <c r="J43" s="125" t="s">
        <v>1271</v>
      </c>
      <c r="K43" s="351" t="s">
        <v>1275</v>
      </c>
      <c r="L43" s="125" t="s">
        <v>1160</v>
      </c>
      <c r="M43" s="350" t="s">
        <v>1276</v>
      </c>
      <c r="N43" s="127" t="s">
        <v>511</v>
      </c>
      <c r="O43" s="128" t="s">
        <v>534</v>
      </c>
    </row>
    <row r="44" spans="1:15" ht="12.5">
      <c r="A44" s="360" t="s">
        <v>1277</v>
      </c>
      <c r="C44" s="356" t="s">
        <v>1229</v>
      </c>
      <c r="D44" s="108">
        <v>42</v>
      </c>
      <c r="E44" s="108">
        <f t="shared" si="2"/>
        <v>268</v>
      </c>
      <c r="F44" s="108">
        <f t="shared" si="1"/>
        <v>271</v>
      </c>
      <c r="G44" s="108">
        <v>4</v>
      </c>
      <c r="H44" s="348"/>
      <c r="I44" s="125" t="s">
        <v>526</v>
      </c>
      <c r="J44" s="125" t="s">
        <v>1158</v>
      </c>
      <c r="K44" s="351" t="s">
        <v>1278</v>
      </c>
      <c r="L44" s="125" t="s">
        <v>1160</v>
      </c>
      <c r="M44" s="350" t="s">
        <v>1279</v>
      </c>
      <c r="N44" s="127" t="s">
        <v>511</v>
      </c>
      <c r="O44" s="128" t="s">
        <v>562</v>
      </c>
    </row>
    <row r="45" spans="1:15" ht="31.5">
      <c r="A45" s="360" t="s">
        <v>1280</v>
      </c>
      <c r="C45" s="356" t="s">
        <v>995</v>
      </c>
      <c r="D45" s="108">
        <v>43</v>
      </c>
      <c r="E45" s="108">
        <f t="shared" si="2"/>
        <v>272</v>
      </c>
      <c r="F45" s="108">
        <f t="shared" si="1"/>
        <v>276</v>
      </c>
      <c r="G45" s="108">
        <v>5</v>
      </c>
      <c r="H45" s="348" t="s">
        <v>1281</v>
      </c>
      <c r="I45" s="125" t="s">
        <v>526</v>
      </c>
      <c r="J45" s="125" t="s">
        <v>1282</v>
      </c>
      <c r="K45" s="351" t="s">
        <v>1283</v>
      </c>
      <c r="L45" s="125" t="s">
        <v>1160</v>
      </c>
      <c r="M45" s="350" t="s">
        <v>1284</v>
      </c>
      <c r="N45" s="127" t="s">
        <v>511</v>
      </c>
      <c r="O45" s="128" t="s">
        <v>534</v>
      </c>
    </row>
    <row r="46" spans="1:15" ht="12.5">
      <c r="A46" s="360" t="s">
        <v>1285</v>
      </c>
      <c r="B46" s="535"/>
      <c r="C46" s="536" t="s">
        <v>774</v>
      </c>
      <c r="D46" s="537">
        <v>44</v>
      </c>
      <c r="E46" s="537">
        <f t="shared" si="2"/>
        <v>277</v>
      </c>
      <c r="F46" s="537">
        <f t="shared" si="1"/>
        <v>282</v>
      </c>
      <c r="G46" s="537">
        <v>6</v>
      </c>
      <c r="H46" s="641"/>
      <c r="I46" s="125" t="s">
        <v>526</v>
      </c>
      <c r="J46" s="125" t="s">
        <v>1204</v>
      </c>
      <c r="K46" s="351" t="s">
        <v>1285</v>
      </c>
      <c r="L46" s="125" t="s">
        <v>1160</v>
      </c>
      <c r="M46" s="350" t="s">
        <v>1286</v>
      </c>
      <c r="N46" s="127" t="s">
        <v>511</v>
      </c>
      <c r="O46" s="128" t="s">
        <v>534</v>
      </c>
    </row>
    <row r="47" spans="1:15" ht="12.5">
      <c r="A47" s="360" t="s">
        <v>1287</v>
      </c>
      <c r="B47" s="389" t="s">
        <v>1447</v>
      </c>
      <c r="C47" s="356" t="s">
        <v>1288</v>
      </c>
      <c r="D47" s="108">
        <v>45</v>
      </c>
      <c r="E47" s="108">
        <f t="shared" si="2"/>
        <v>283</v>
      </c>
      <c r="F47" s="108">
        <f t="shared" si="1"/>
        <v>286</v>
      </c>
      <c r="G47" s="108">
        <v>4</v>
      </c>
      <c r="H47" s="351" t="s">
        <v>1289</v>
      </c>
      <c r="I47" s="125" t="s">
        <v>526</v>
      </c>
      <c r="J47" s="125" t="s">
        <v>1204</v>
      </c>
      <c r="K47" s="351" t="s">
        <v>1287</v>
      </c>
      <c r="L47" s="125" t="s">
        <v>1160</v>
      </c>
      <c r="M47" s="350" t="s">
        <v>1290</v>
      </c>
      <c r="N47" s="127" t="s">
        <v>511</v>
      </c>
      <c r="O47" s="128" t="s">
        <v>562</v>
      </c>
    </row>
    <row r="48" spans="1:15" ht="73.5">
      <c r="A48" s="360" t="s">
        <v>1291</v>
      </c>
      <c r="C48" s="356" t="s">
        <v>769</v>
      </c>
      <c r="D48" s="108">
        <v>46</v>
      </c>
      <c r="E48" s="108">
        <f t="shared" si="2"/>
        <v>287</v>
      </c>
      <c r="F48" s="108">
        <f t="shared" si="1"/>
        <v>290</v>
      </c>
      <c r="G48" s="108">
        <v>4</v>
      </c>
      <c r="H48" s="362" t="s">
        <v>1292</v>
      </c>
      <c r="I48" s="125" t="s">
        <v>526</v>
      </c>
      <c r="J48" s="125" t="s">
        <v>1158</v>
      </c>
      <c r="K48" s="351" t="s">
        <v>1293</v>
      </c>
      <c r="L48" s="125" t="s">
        <v>1160</v>
      </c>
      <c r="M48" s="350" t="s">
        <v>1294</v>
      </c>
      <c r="N48" s="127" t="s">
        <v>511</v>
      </c>
      <c r="O48" s="128" t="s">
        <v>534</v>
      </c>
    </row>
    <row r="49" spans="1:15" ht="12.5">
      <c r="A49" s="642" t="s">
        <v>1295</v>
      </c>
      <c r="B49" s="630"/>
      <c r="C49" s="631" t="s">
        <v>1218</v>
      </c>
      <c r="D49" s="632">
        <v>47</v>
      </c>
      <c r="E49" s="632">
        <f t="shared" si="2"/>
        <v>291</v>
      </c>
      <c r="F49" s="632">
        <f t="shared" si="1"/>
        <v>302</v>
      </c>
      <c r="G49" s="632">
        <v>12</v>
      </c>
      <c r="H49" s="361"/>
      <c r="I49" s="125" t="s">
        <v>526</v>
      </c>
      <c r="J49" s="125" t="s">
        <v>1204</v>
      </c>
      <c r="K49" s="351" t="s">
        <v>1295</v>
      </c>
      <c r="L49" s="125" t="s">
        <v>1160</v>
      </c>
      <c r="M49" s="350" t="s">
        <v>1296</v>
      </c>
      <c r="N49" s="127" t="s">
        <v>511</v>
      </c>
      <c r="O49" s="128" t="s">
        <v>562</v>
      </c>
    </row>
    <row r="50" spans="1:15" ht="12.5">
      <c r="A50" s="642" t="s">
        <v>1297</v>
      </c>
      <c r="B50" s="630"/>
      <c r="C50" s="631" t="s">
        <v>1218</v>
      </c>
      <c r="D50" s="632">
        <v>48</v>
      </c>
      <c r="E50" s="632">
        <f t="shared" si="2"/>
        <v>303</v>
      </c>
      <c r="F50" s="632">
        <f t="shared" si="1"/>
        <v>314</v>
      </c>
      <c r="G50" s="632">
        <v>12</v>
      </c>
      <c r="H50" s="361"/>
      <c r="I50" s="125" t="s">
        <v>526</v>
      </c>
      <c r="J50" s="125" t="s">
        <v>1204</v>
      </c>
      <c r="K50" s="351" t="s">
        <v>1297</v>
      </c>
      <c r="L50" s="125" t="s">
        <v>1160</v>
      </c>
      <c r="M50" s="350" t="s">
        <v>1298</v>
      </c>
      <c r="N50" s="127" t="s">
        <v>511</v>
      </c>
      <c r="O50" s="128" t="s">
        <v>562</v>
      </c>
    </row>
    <row r="51" spans="1:15" ht="12.5">
      <c r="A51" s="642" t="s">
        <v>1299</v>
      </c>
      <c r="B51" s="630"/>
      <c r="C51" s="631" t="s">
        <v>1300</v>
      </c>
      <c r="D51" s="632">
        <v>49</v>
      </c>
      <c r="E51" s="632">
        <f t="shared" si="2"/>
        <v>315</v>
      </c>
      <c r="F51" s="632">
        <f t="shared" si="1"/>
        <v>326</v>
      </c>
      <c r="G51" s="632">
        <v>12</v>
      </c>
      <c r="H51" s="361"/>
      <c r="I51" s="125" t="s">
        <v>526</v>
      </c>
      <c r="J51" s="125" t="s">
        <v>1204</v>
      </c>
      <c r="K51" s="351" t="s">
        <v>1299</v>
      </c>
      <c r="L51" s="125" t="s">
        <v>1160</v>
      </c>
      <c r="M51" s="350" t="s">
        <v>1301</v>
      </c>
      <c r="N51" s="127" t="s">
        <v>511</v>
      </c>
      <c r="O51" s="128" t="s">
        <v>562</v>
      </c>
    </row>
    <row r="52" spans="1:15" ht="12.5">
      <c r="A52" s="642" t="s">
        <v>1302</v>
      </c>
      <c r="B52" s="630"/>
      <c r="C52" s="631" t="s">
        <v>1300</v>
      </c>
      <c r="D52" s="632">
        <v>50</v>
      </c>
      <c r="E52" s="632">
        <f t="shared" si="2"/>
        <v>327</v>
      </c>
      <c r="F52" s="632">
        <f t="shared" si="1"/>
        <v>338</v>
      </c>
      <c r="G52" s="632">
        <v>12</v>
      </c>
      <c r="H52" s="361"/>
      <c r="I52" s="125" t="s">
        <v>526</v>
      </c>
      <c r="J52" s="125" t="s">
        <v>1204</v>
      </c>
      <c r="K52" s="351" t="s">
        <v>1302</v>
      </c>
      <c r="L52" s="125" t="s">
        <v>1160</v>
      </c>
      <c r="M52" s="350" t="s">
        <v>1303</v>
      </c>
      <c r="N52" s="127" t="s">
        <v>511</v>
      </c>
      <c r="O52" s="128" t="s">
        <v>562</v>
      </c>
    </row>
    <row r="53" spans="1:15" ht="12.5">
      <c r="A53" s="360" t="s">
        <v>1304</v>
      </c>
      <c r="C53" s="356" t="s">
        <v>1300</v>
      </c>
      <c r="D53" s="108">
        <v>51</v>
      </c>
      <c r="E53" s="108">
        <f t="shared" si="2"/>
        <v>339</v>
      </c>
      <c r="F53" s="108">
        <f t="shared" si="1"/>
        <v>350</v>
      </c>
      <c r="G53" s="108">
        <v>12</v>
      </c>
      <c r="H53" s="348"/>
      <c r="I53" s="125" t="s">
        <v>526</v>
      </c>
      <c r="J53" s="125" t="s">
        <v>1204</v>
      </c>
      <c r="K53" s="351" t="s">
        <v>1304</v>
      </c>
      <c r="L53" s="125" t="s">
        <v>1160</v>
      </c>
      <c r="M53" s="350" t="s">
        <v>1305</v>
      </c>
      <c r="N53" s="127" t="s">
        <v>511</v>
      </c>
      <c r="O53" s="128" t="s">
        <v>562</v>
      </c>
    </row>
    <row r="54" spans="1:15" ht="12.5">
      <c r="A54" s="360" t="s">
        <v>1306</v>
      </c>
      <c r="C54" s="356" t="s">
        <v>1300</v>
      </c>
      <c r="D54" s="108">
        <v>52</v>
      </c>
      <c r="E54" s="108">
        <f t="shared" si="2"/>
        <v>351</v>
      </c>
      <c r="F54" s="108">
        <f t="shared" si="1"/>
        <v>362</v>
      </c>
      <c r="G54" s="108">
        <v>12</v>
      </c>
      <c r="H54" s="348"/>
      <c r="I54" s="125" t="s">
        <v>526</v>
      </c>
      <c r="J54" s="125" t="s">
        <v>1204</v>
      </c>
      <c r="K54" s="351" t="s">
        <v>1306</v>
      </c>
      <c r="L54" s="125" t="s">
        <v>1160</v>
      </c>
      <c r="M54" s="350" t="s">
        <v>1307</v>
      </c>
      <c r="N54" s="127" t="s">
        <v>511</v>
      </c>
      <c r="O54" s="128" t="s">
        <v>562</v>
      </c>
    </row>
    <row r="55" spans="1:15" ht="21">
      <c r="A55" s="540" t="s">
        <v>1308</v>
      </c>
      <c r="B55" s="534" t="s">
        <v>1409</v>
      </c>
      <c r="C55" s="536" t="s">
        <v>1309</v>
      </c>
      <c r="D55" s="537">
        <v>53</v>
      </c>
      <c r="E55" s="537">
        <f t="shared" si="2"/>
        <v>363</v>
      </c>
      <c r="F55" s="537">
        <f t="shared" si="1"/>
        <v>363</v>
      </c>
      <c r="G55" s="537">
        <v>1</v>
      </c>
      <c r="H55" s="538" t="s">
        <v>1310</v>
      </c>
      <c r="I55" s="125" t="s">
        <v>526</v>
      </c>
      <c r="J55" s="125" t="s">
        <v>1311</v>
      </c>
      <c r="K55" s="351" t="s">
        <v>1312</v>
      </c>
      <c r="L55" s="125" t="s">
        <v>1160</v>
      </c>
      <c r="M55" s="350" t="s">
        <v>1313</v>
      </c>
      <c r="N55" s="127" t="s">
        <v>511</v>
      </c>
    </row>
    <row r="56" spans="1:15" ht="12.5">
      <c r="A56" s="540" t="s">
        <v>1314</v>
      </c>
      <c r="B56" s="535"/>
      <c r="C56" s="536" t="s">
        <v>1315</v>
      </c>
      <c r="D56" s="537">
        <v>54</v>
      </c>
      <c r="E56" s="537">
        <f t="shared" si="2"/>
        <v>364</v>
      </c>
      <c r="F56" s="537">
        <f t="shared" si="1"/>
        <v>374</v>
      </c>
      <c r="G56" s="537">
        <v>11</v>
      </c>
      <c r="H56" s="538"/>
      <c r="I56" s="125" t="s">
        <v>526</v>
      </c>
      <c r="J56" s="125" t="s">
        <v>1311</v>
      </c>
      <c r="K56" s="351" t="s">
        <v>1316</v>
      </c>
      <c r="L56" s="125" t="s">
        <v>1160</v>
      </c>
      <c r="M56" s="350" t="s">
        <v>1317</v>
      </c>
      <c r="N56" s="127" t="s">
        <v>511</v>
      </c>
    </row>
    <row r="57" spans="1:15" ht="12.5">
      <c r="A57" s="540" t="s">
        <v>1318</v>
      </c>
      <c r="B57" s="535"/>
      <c r="C57" s="536" t="s">
        <v>1233</v>
      </c>
      <c r="D57" s="537">
        <v>55</v>
      </c>
      <c r="E57" s="537">
        <f t="shared" si="2"/>
        <v>375</v>
      </c>
      <c r="F57" s="537">
        <f t="shared" si="1"/>
        <v>383</v>
      </c>
      <c r="G57" s="537">
        <v>9</v>
      </c>
      <c r="H57" s="538"/>
      <c r="I57" s="125" t="s">
        <v>526</v>
      </c>
      <c r="J57" s="125" t="s">
        <v>1311</v>
      </c>
      <c r="K57" s="351" t="s">
        <v>1319</v>
      </c>
      <c r="L57" s="125" t="s">
        <v>1160</v>
      </c>
      <c r="M57" s="350" t="s">
        <v>1320</v>
      </c>
      <c r="N57" s="127" t="s">
        <v>511</v>
      </c>
    </row>
    <row r="58" spans="1:15" ht="12.5">
      <c r="A58" s="540" t="s">
        <v>1321</v>
      </c>
      <c r="B58" s="535"/>
      <c r="C58" s="536" t="s">
        <v>1218</v>
      </c>
      <c r="D58" s="537">
        <v>56</v>
      </c>
      <c r="E58" s="537">
        <f t="shared" si="2"/>
        <v>384</v>
      </c>
      <c r="F58" s="537">
        <f t="shared" si="1"/>
        <v>394</v>
      </c>
      <c r="G58" s="537">
        <v>11</v>
      </c>
      <c r="H58" s="538"/>
      <c r="I58" s="125" t="s">
        <v>526</v>
      </c>
      <c r="J58" s="125" t="s">
        <v>1158</v>
      </c>
      <c r="K58" s="351" t="s">
        <v>1322</v>
      </c>
      <c r="L58" s="125" t="s">
        <v>1160</v>
      </c>
      <c r="M58" s="350" t="s">
        <v>1323</v>
      </c>
      <c r="N58" s="127" t="s">
        <v>511</v>
      </c>
    </row>
    <row r="59" spans="1:15" ht="21">
      <c r="A59" s="540" t="s">
        <v>1324</v>
      </c>
      <c r="B59" s="535"/>
      <c r="C59" s="536" t="s">
        <v>216</v>
      </c>
      <c r="D59" s="537">
        <v>57</v>
      </c>
      <c r="E59" s="537">
        <f t="shared" si="2"/>
        <v>395</v>
      </c>
      <c r="F59" s="537">
        <f t="shared" si="1"/>
        <v>402</v>
      </c>
      <c r="G59" s="537">
        <v>8</v>
      </c>
      <c r="H59" s="538" t="s">
        <v>1325</v>
      </c>
      <c r="I59" s="125" t="s">
        <v>526</v>
      </c>
      <c r="J59" s="125" t="s">
        <v>1158</v>
      </c>
      <c r="K59" s="351" t="s">
        <v>1326</v>
      </c>
      <c r="L59" s="125" t="s">
        <v>1160</v>
      </c>
      <c r="M59" s="350" t="s">
        <v>1327</v>
      </c>
      <c r="N59" s="127" t="s">
        <v>511</v>
      </c>
    </row>
    <row r="60" spans="1:15" ht="31.5">
      <c r="A60" s="540" t="s">
        <v>1328</v>
      </c>
      <c r="B60" s="535"/>
      <c r="C60" s="536" t="s">
        <v>216</v>
      </c>
      <c r="D60" s="537">
        <v>58</v>
      </c>
      <c r="E60" s="537">
        <f t="shared" si="2"/>
        <v>403</v>
      </c>
      <c r="F60" s="537">
        <f t="shared" si="1"/>
        <v>410</v>
      </c>
      <c r="G60" s="537">
        <v>8</v>
      </c>
      <c r="H60" s="538" t="s">
        <v>1329</v>
      </c>
      <c r="I60" s="125" t="s">
        <v>526</v>
      </c>
      <c r="J60" s="125" t="s">
        <v>1330</v>
      </c>
      <c r="K60" s="351" t="s">
        <v>1331</v>
      </c>
      <c r="L60" s="125" t="s">
        <v>1160</v>
      </c>
      <c r="M60" s="350" t="s">
        <v>1332</v>
      </c>
      <c r="N60" s="127"/>
    </row>
    <row r="61" spans="1:15" ht="11.5">
      <c r="A61" s="129" t="s">
        <v>1333</v>
      </c>
      <c r="C61" s="129" t="s">
        <v>609</v>
      </c>
      <c r="D61" s="108">
        <v>59</v>
      </c>
      <c r="E61" s="108">
        <f t="shared" si="2"/>
        <v>411</v>
      </c>
      <c r="F61" s="108">
        <f t="shared" si="1"/>
        <v>412</v>
      </c>
      <c r="G61" s="108">
        <v>2</v>
      </c>
      <c r="H61" s="357" t="s">
        <v>1334</v>
      </c>
      <c r="I61" s="125" t="s">
        <v>526</v>
      </c>
      <c r="J61" s="125" t="s">
        <v>1158</v>
      </c>
      <c r="K61" s="351" t="s">
        <v>1335</v>
      </c>
      <c r="L61" s="125"/>
      <c r="M61" s="126"/>
      <c r="N61" s="363"/>
      <c r="O61" s="364"/>
    </row>
    <row r="62" spans="1:15" ht="30.5">
      <c r="A62" s="534" t="s">
        <v>1336</v>
      </c>
      <c r="B62" s="534" t="s">
        <v>1424</v>
      </c>
      <c r="C62" s="534" t="s">
        <v>213</v>
      </c>
      <c r="D62" s="537">
        <v>60</v>
      </c>
      <c r="E62" s="537">
        <f t="shared" si="2"/>
        <v>413</v>
      </c>
      <c r="F62" s="537">
        <f t="shared" si="1"/>
        <v>420</v>
      </c>
      <c r="G62" s="537">
        <v>8</v>
      </c>
      <c r="H62" s="539" t="s">
        <v>1337</v>
      </c>
      <c r="I62" s="125" t="s">
        <v>526</v>
      </c>
      <c r="J62" s="125" t="s">
        <v>1158</v>
      </c>
      <c r="K62" s="351" t="s">
        <v>1338</v>
      </c>
      <c r="L62" s="125" t="s">
        <v>1168</v>
      </c>
      <c r="M62" s="126"/>
      <c r="N62" s="363"/>
      <c r="O62" s="365"/>
    </row>
    <row r="63" spans="1:15" ht="30.5">
      <c r="A63" s="534" t="s">
        <v>1339</v>
      </c>
      <c r="B63" s="535"/>
      <c r="C63" s="534" t="s">
        <v>18</v>
      </c>
      <c r="D63" s="537">
        <v>61</v>
      </c>
      <c r="E63" s="537">
        <f t="shared" si="2"/>
        <v>421</v>
      </c>
      <c r="F63" s="537">
        <f t="shared" si="1"/>
        <v>421</v>
      </c>
      <c r="G63" s="537">
        <v>1</v>
      </c>
      <c r="H63" s="539" t="s">
        <v>1340</v>
      </c>
      <c r="I63" s="125" t="s">
        <v>526</v>
      </c>
      <c r="J63" s="125" t="s">
        <v>1204</v>
      </c>
      <c r="K63" s="351" t="s">
        <v>1339</v>
      </c>
      <c r="L63" s="125" t="s">
        <v>1168</v>
      </c>
      <c r="M63" s="126"/>
      <c r="N63" s="363"/>
      <c r="O63" s="365"/>
    </row>
    <row r="64" spans="1:15" s="23" customFormat="1">
      <c r="A64" s="18" t="s">
        <v>522</v>
      </c>
      <c r="B64" s="18" t="s">
        <v>522</v>
      </c>
      <c r="C64" s="18" t="s">
        <v>18</v>
      </c>
      <c r="D64" s="108">
        <v>62</v>
      </c>
      <c r="E64" s="108">
        <f t="shared" si="2"/>
        <v>422</v>
      </c>
      <c r="F64" s="108">
        <f t="shared" si="1"/>
        <v>422</v>
      </c>
      <c r="G64" s="19">
        <v>1</v>
      </c>
      <c r="H64" s="18" t="s">
        <v>523</v>
      </c>
      <c r="I64" s="20"/>
      <c r="J64" s="20" t="s">
        <v>204</v>
      </c>
      <c r="K64" s="18"/>
      <c r="L64" s="19"/>
      <c r="M64" s="19"/>
      <c r="N64" s="21"/>
      <c r="O64" s="22"/>
    </row>
    <row r="65" spans="1:15" ht="31.5">
      <c r="A65" s="335" t="s">
        <v>1341</v>
      </c>
      <c r="B65" s="335" t="s">
        <v>1453</v>
      </c>
      <c r="C65" s="336" t="s">
        <v>14</v>
      </c>
      <c r="D65" s="336"/>
      <c r="E65" s="336">
        <v>1</v>
      </c>
      <c r="F65" s="336">
        <f>F68</f>
        <v>11</v>
      </c>
      <c r="G65" s="336">
        <f>SUM(G66:G68)</f>
        <v>11</v>
      </c>
      <c r="H65" s="342"/>
      <c r="I65" s="342"/>
      <c r="J65" s="342"/>
      <c r="K65" s="342"/>
      <c r="L65" s="342" t="s">
        <v>204</v>
      </c>
      <c r="M65" s="342"/>
      <c r="N65" s="127" t="s">
        <v>511</v>
      </c>
    </row>
    <row r="66" spans="1:15" ht="21">
      <c r="A66" s="343" t="s">
        <v>17</v>
      </c>
      <c r="B66" s="343" t="s">
        <v>17</v>
      </c>
      <c r="C66" s="131" t="s">
        <v>18</v>
      </c>
      <c r="D66" s="108">
        <v>63</v>
      </c>
      <c r="E66" s="108">
        <v>1</v>
      </c>
      <c r="F66" s="108">
        <v>1</v>
      </c>
      <c r="G66" s="108">
        <v>1</v>
      </c>
      <c r="H66" s="125" t="s">
        <v>701</v>
      </c>
      <c r="I66" s="125"/>
      <c r="J66" s="125"/>
      <c r="K66" s="108"/>
      <c r="L66" s="108"/>
      <c r="M66" s="340"/>
      <c r="N66" s="127" t="s">
        <v>511</v>
      </c>
    </row>
    <row r="67" spans="1:15" ht="12.5">
      <c r="A67" s="366" t="s">
        <v>206</v>
      </c>
      <c r="B67" s="366" t="s">
        <v>206</v>
      </c>
      <c r="C67" s="131" t="s">
        <v>207</v>
      </c>
      <c r="D67" s="108">
        <v>64</v>
      </c>
      <c r="E67" s="19">
        <f>F66+1</f>
        <v>2</v>
      </c>
      <c r="F67" s="108">
        <f>E67+G67-1</f>
        <v>10</v>
      </c>
      <c r="G67" s="108">
        <v>9</v>
      </c>
      <c r="H67" s="125" t="s">
        <v>233</v>
      </c>
      <c r="I67" s="125"/>
      <c r="J67" s="125"/>
      <c r="K67" s="108"/>
      <c r="L67" s="108"/>
      <c r="M67" s="340"/>
      <c r="N67" s="127" t="s">
        <v>511</v>
      </c>
    </row>
    <row r="68" spans="1:15" s="23" customFormat="1">
      <c r="A68" s="18" t="s">
        <v>522</v>
      </c>
      <c r="B68" s="18" t="s">
        <v>522</v>
      </c>
      <c r="C68" s="18" t="s">
        <v>18</v>
      </c>
      <c r="D68" s="14">
        <v>65</v>
      </c>
      <c r="E68" s="19">
        <f>F67+1</f>
        <v>11</v>
      </c>
      <c r="F68" s="108">
        <f>E68+G68-1</f>
        <v>11</v>
      </c>
      <c r="G68" s="19">
        <v>1</v>
      </c>
      <c r="H68" s="18" t="s">
        <v>523</v>
      </c>
      <c r="I68" s="20"/>
      <c r="J68" s="20"/>
      <c r="K68" s="18"/>
      <c r="L68" s="19"/>
      <c r="M68" s="19"/>
      <c r="N68" s="21"/>
      <c r="O68" s="22"/>
    </row>
    <row r="69" spans="1:15">
      <c r="N69" s="371"/>
    </row>
    <row r="70" spans="1:15">
      <c r="N70" s="371"/>
    </row>
    <row r="71" spans="1:15">
      <c r="N71" s="371"/>
    </row>
    <row r="72" spans="1:15">
      <c r="N72" s="371"/>
    </row>
    <row r="73" spans="1:15">
      <c r="N73" s="371"/>
    </row>
    <row r="74" spans="1:15">
      <c r="N74" s="371"/>
    </row>
    <row r="75" spans="1:15">
      <c r="N75" s="371"/>
    </row>
    <row r="76" spans="1:15">
      <c r="N76" s="371"/>
    </row>
    <row r="77" spans="1:15">
      <c r="N77" s="371"/>
    </row>
    <row r="78" spans="1:15">
      <c r="N78" s="371"/>
    </row>
    <row r="79" spans="1:15">
      <c r="N79" s="371"/>
    </row>
    <row r="80" spans="1:15">
      <c r="N80" s="371"/>
    </row>
    <row r="81" spans="14:14">
      <c r="N81" s="371"/>
    </row>
    <row r="82" spans="14:14">
      <c r="N82" s="371"/>
    </row>
    <row r="83" spans="14:14">
      <c r="N83" s="371"/>
    </row>
    <row r="84" spans="14:14">
      <c r="N84" s="371"/>
    </row>
    <row r="85" spans="14:14">
      <c r="N85" s="371"/>
    </row>
    <row r="86" spans="14:14">
      <c r="N86" s="371"/>
    </row>
    <row r="87" spans="14:14">
      <c r="N87" s="371"/>
    </row>
    <row r="88" spans="14:14">
      <c r="N88" s="371"/>
    </row>
    <row r="89" spans="14:14">
      <c r="N89" s="371"/>
    </row>
    <row r="90" spans="14:14">
      <c r="N90" s="371"/>
    </row>
    <row r="91" spans="14:14">
      <c r="N91" s="371"/>
    </row>
    <row r="92" spans="14:14">
      <c r="N92" s="371"/>
    </row>
    <row r="93" spans="14:14">
      <c r="N93" s="371"/>
    </row>
    <row r="94" spans="14:14">
      <c r="N94" s="371"/>
    </row>
    <row r="95" spans="14:14">
      <c r="N95" s="371"/>
    </row>
    <row r="96" spans="14:14">
      <c r="N96" s="371"/>
    </row>
    <row r="97" spans="14:14">
      <c r="N97" s="371"/>
    </row>
    <row r="98" spans="14:14">
      <c r="N98" s="371"/>
    </row>
    <row r="99" spans="14:14">
      <c r="N99" s="371"/>
    </row>
    <row r="100" spans="14:14">
      <c r="N100" s="371"/>
    </row>
    <row r="101" spans="14:14">
      <c r="N101" s="371"/>
    </row>
    <row r="102" spans="14:14">
      <c r="N102" s="371"/>
    </row>
    <row r="103" spans="14:14">
      <c r="N103" s="371"/>
    </row>
    <row r="104" spans="14:14">
      <c r="N104" s="371"/>
    </row>
    <row r="105" spans="14:14">
      <c r="N105" s="371"/>
    </row>
    <row r="106" spans="14:14">
      <c r="N106" s="371"/>
    </row>
    <row r="107" spans="14:14">
      <c r="N107" s="371"/>
    </row>
    <row r="108" spans="14:14">
      <c r="N108" s="371"/>
    </row>
    <row r="109" spans="14:14">
      <c r="N109" s="371"/>
    </row>
    <row r="110" spans="14:14">
      <c r="N110" s="371"/>
    </row>
    <row r="111" spans="14:14">
      <c r="N111" s="371"/>
    </row>
    <row r="112" spans="14:14">
      <c r="N112" s="371"/>
    </row>
    <row r="113" spans="14:14">
      <c r="N113" s="371"/>
    </row>
    <row r="114" spans="14:14">
      <c r="N114" s="371"/>
    </row>
    <row r="115" spans="14:14">
      <c r="N115" s="371"/>
    </row>
    <row r="116" spans="14:14">
      <c r="N116" s="371"/>
    </row>
    <row r="117" spans="14:14">
      <c r="N117" s="371"/>
    </row>
    <row r="118" spans="14:14">
      <c r="N118" s="371"/>
    </row>
    <row r="119" spans="14:14">
      <c r="N119" s="371"/>
    </row>
    <row r="120" spans="14:14">
      <c r="N120" s="371"/>
    </row>
    <row r="121" spans="14:14">
      <c r="N121" s="371"/>
    </row>
    <row r="122" spans="14:14">
      <c r="N122" s="371"/>
    </row>
    <row r="123" spans="14:14">
      <c r="N123" s="371"/>
    </row>
    <row r="124" spans="14:14">
      <c r="N124" s="371"/>
    </row>
    <row r="125" spans="14:14">
      <c r="N125" s="371"/>
    </row>
    <row r="126" spans="14:14">
      <c r="N126" s="371"/>
    </row>
    <row r="127" spans="14:14">
      <c r="N127" s="371"/>
    </row>
    <row r="128" spans="14:14">
      <c r="N128" s="371"/>
    </row>
    <row r="129" spans="14:14">
      <c r="N129" s="371"/>
    </row>
    <row r="130" spans="14:14">
      <c r="N130" s="371"/>
    </row>
    <row r="131" spans="14:14">
      <c r="N131" s="371"/>
    </row>
    <row r="132" spans="14:14">
      <c r="N132" s="371"/>
    </row>
    <row r="133" spans="14:14">
      <c r="N133" s="371"/>
    </row>
    <row r="134" spans="14:14">
      <c r="N134" s="371"/>
    </row>
    <row r="135" spans="14:14">
      <c r="N135" s="371"/>
    </row>
    <row r="136" spans="14:14">
      <c r="N136" s="371"/>
    </row>
    <row r="137" spans="14:14">
      <c r="N137" s="371"/>
    </row>
    <row r="138" spans="14:14">
      <c r="N138" s="371"/>
    </row>
    <row r="139" spans="14:14">
      <c r="N139" s="371"/>
    </row>
    <row r="140" spans="14:14">
      <c r="N140" s="371"/>
    </row>
    <row r="141" spans="14:14">
      <c r="N141" s="371"/>
    </row>
    <row r="142" spans="14:14">
      <c r="N142" s="371"/>
    </row>
    <row r="143" spans="14:14">
      <c r="N143" s="371"/>
    </row>
    <row r="144" spans="14:14">
      <c r="N144" s="371"/>
    </row>
    <row r="145" spans="14:14">
      <c r="N145" s="371"/>
    </row>
    <row r="146" spans="14:14">
      <c r="N146" s="371"/>
    </row>
    <row r="147" spans="14:14">
      <c r="N147" s="371"/>
    </row>
    <row r="148" spans="14:14">
      <c r="N148" s="371"/>
    </row>
    <row r="149" spans="14:14">
      <c r="N149" s="371"/>
    </row>
  </sheetData>
  <autoFilter ref="A1:H68" xr:uid="{76A2792E-96E3-4BBE-A282-69B256273151}"/>
  <pageMargins left="0.75" right="0.75" top="1" bottom="1" header="0.5" footer="0.5"/>
  <pageSetup paperSize="9" orientation="portrait" verticalDpi="300" r:id="rId1"/>
  <headerFooter alignWithMargins="0">
    <oddHeader>&amp;L&amp;"Arial"&amp;9&amp;K0078D7 INTERNAL&amp;1#_x000D_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2CD7A-71D6-45B0-B1A2-B86CAD8BFD3C}">
  <sheetPr codeName="Sheet19">
    <tabColor rgb="FFFF0000"/>
  </sheetPr>
  <dimension ref="A1:N132"/>
  <sheetViews>
    <sheetView topLeftCell="A41" zoomScale="160" zoomScaleNormal="160" workbookViewId="0">
      <pane xSplit="2" topLeftCell="C1" activePane="topRight" state="frozen"/>
      <selection activeCell="A7" sqref="A7"/>
      <selection pane="topRight" activeCell="D27" sqref="D27"/>
    </sheetView>
  </sheetViews>
  <sheetFormatPr defaultRowHeight="10"/>
  <cols>
    <col min="1" max="1" width="24.81640625" style="367" customWidth="1"/>
    <col min="2" max="2" width="18.7265625" style="368" bestFit="1" customWidth="1"/>
    <col min="3" max="3" width="8.1796875" style="368" bestFit="1" customWidth="1"/>
    <col min="4" max="5" width="8.26953125" style="368" bestFit="1" customWidth="1"/>
    <col min="6" max="6" width="7.26953125" style="368" bestFit="1" customWidth="1"/>
    <col min="7" max="7" width="28.26953125" style="369" customWidth="1"/>
    <col min="8" max="8" width="20.7265625" style="369" bestFit="1" customWidth="1"/>
    <col min="9" max="9" width="21.7265625" style="369" customWidth="1"/>
    <col min="10" max="10" width="19.54296875" style="368" bestFit="1" customWidth="1"/>
    <col min="11" max="11" width="17" style="368" bestFit="1" customWidth="1"/>
    <col min="12" max="12" width="22.1796875" style="370" customWidth="1"/>
    <col min="13" max="13" width="13.26953125" style="128" customWidth="1"/>
    <col min="14" max="256" width="9.1796875" style="128"/>
    <col min="257" max="257" width="24.81640625" style="128" customWidth="1"/>
    <col min="258" max="258" width="18.7265625" style="128" bestFit="1" customWidth="1"/>
    <col min="259" max="259" width="8.1796875" style="128" bestFit="1" customWidth="1"/>
    <col min="260" max="261" width="8.26953125" style="128" bestFit="1" customWidth="1"/>
    <col min="262" max="262" width="7.26953125" style="128" bestFit="1" customWidth="1"/>
    <col min="263" max="263" width="28.26953125" style="128" customWidth="1"/>
    <col min="264" max="264" width="20.7265625" style="128" bestFit="1" customWidth="1"/>
    <col min="265" max="265" width="21.7265625" style="128" customWidth="1"/>
    <col min="266" max="266" width="19.54296875" style="128" bestFit="1" customWidth="1"/>
    <col min="267" max="267" width="17" style="128" bestFit="1" customWidth="1"/>
    <col min="268" max="268" width="22.1796875" style="128" customWidth="1"/>
    <col min="269" max="269" width="13.26953125" style="128" customWidth="1"/>
    <col min="270" max="512" width="9.1796875" style="128"/>
    <col min="513" max="513" width="24.81640625" style="128" customWidth="1"/>
    <col min="514" max="514" width="18.7265625" style="128" bestFit="1" customWidth="1"/>
    <col min="515" max="515" width="8.1796875" style="128" bestFit="1" customWidth="1"/>
    <col min="516" max="517" width="8.26953125" style="128" bestFit="1" customWidth="1"/>
    <col min="518" max="518" width="7.26953125" style="128" bestFit="1" customWidth="1"/>
    <col min="519" max="519" width="28.26953125" style="128" customWidth="1"/>
    <col min="520" max="520" width="20.7265625" style="128" bestFit="1" customWidth="1"/>
    <col min="521" max="521" width="21.7265625" style="128" customWidth="1"/>
    <col min="522" max="522" width="19.54296875" style="128" bestFit="1" customWidth="1"/>
    <col min="523" max="523" width="17" style="128" bestFit="1" customWidth="1"/>
    <col min="524" max="524" width="22.1796875" style="128" customWidth="1"/>
    <col min="525" max="525" width="13.26953125" style="128" customWidth="1"/>
    <col min="526" max="768" width="9.1796875" style="128"/>
    <col min="769" max="769" width="24.81640625" style="128" customWidth="1"/>
    <col min="770" max="770" width="18.7265625" style="128" bestFit="1" customWidth="1"/>
    <col min="771" max="771" width="8.1796875" style="128" bestFit="1" customWidth="1"/>
    <col min="772" max="773" width="8.26953125" style="128" bestFit="1" customWidth="1"/>
    <col min="774" max="774" width="7.26953125" style="128" bestFit="1" customWidth="1"/>
    <col min="775" max="775" width="28.26953125" style="128" customWidth="1"/>
    <col min="776" max="776" width="20.7265625" style="128" bestFit="1" customWidth="1"/>
    <col min="777" max="777" width="21.7265625" style="128" customWidth="1"/>
    <col min="778" max="778" width="19.54296875" style="128" bestFit="1" customWidth="1"/>
    <col min="779" max="779" width="17" style="128" bestFit="1" customWidth="1"/>
    <col min="780" max="780" width="22.1796875" style="128" customWidth="1"/>
    <col min="781" max="781" width="13.26953125" style="128" customWidth="1"/>
    <col min="782" max="1024" width="9.1796875" style="128"/>
    <col min="1025" max="1025" width="24.81640625" style="128" customWidth="1"/>
    <col min="1026" max="1026" width="18.7265625" style="128" bestFit="1" customWidth="1"/>
    <col min="1027" max="1027" width="8.1796875" style="128" bestFit="1" customWidth="1"/>
    <col min="1028" max="1029" width="8.26953125" style="128" bestFit="1" customWidth="1"/>
    <col min="1030" max="1030" width="7.26953125" style="128" bestFit="1" customWidth="1"/>
    <col min="1031" max="1031" width="28.26953125" style="128" customWidth="1"/>
    <col min="1032" max="1032" width="20.7265625" style="128" bestFit="1" customWidth="1"/>
    <col min="1033" max="1033" width="21.7265625" style="128" customWidth="1"/>
    <col min="1034" max="1034" width="19.54296875" style="128" bestFit="1" customWidth="1"/>
    <col min="1035" max="1035" width="17" style="128" bestFit="1" customWidth="1"/>
    <col min="1036" max="1036" width="22.1796875" style="128" customWidth="1"/>
    <col min="1037" max="1037" width="13.26953125" style="128" customWidth="1"/>
    <col min="1038" max="1280" width="9.1796875" style="128"/>
    <col min="1281" max="1281" width="24.81640625" style="128" customWidth="1"/>
    <col min="1282" max="1282" width="18.7265625" style="128" bestFit="1" customWidth="1"/>
    <col min="1283" max="1283" width="8.1796875" style="128" bestFit="1" customWidth="1"/>
    <col min="1284" max="1285" width="8.26953125" style="128" bestFit="1" customWidth="1"/>
    <col min="1286" max="1286" width="7.26953125" style="128" bestFit="1" customWidth="1"/>
    <col min="1287" max="1287" width="28.26953125" style="128" customWidth="1"/>
    <col min="1288" max="1288" width="20.7265625" style="128" bestFit="1" customWidth="1"/>
    <col min="1289" max="1289" width="21.7265625" style="128" customWidth="1"/>
    <col min="1290" max="1290" width="19.54296875" style="128" bestFit="1" customWidth="1"/>
    <col min="1291" max="1291" width="17" style="128" bestFit="1" customWidth="1"/>
    <col min="1292" max="1292" width="22.1796875" style="128" customWidth="1"/>
    <col min="1293" max="1293" width="13.26953125" style="128" customWidth="1"/>
    <col min="1294" max="1536" width="9.1796875" style="128"/>
    <col min="1537" max="1537" width="24.81640625" style="128" customWidth="1"/>
    <col min="1538" max="1538" width="18.7265625" style="128" bestFit="1" customWidth="1"/>
    <col min="1539" max="1539" width="8.1796875" style="128" bestFit="1" customWidth="1"/>
    <col min="1540" max="1541" width="8.26953125" style="128" bestFit="1" customWidth="1"/>
    <col min="1542" max="1542" width="7.26953125" style="128" bestFit="1" customWidth="1"/>
    <col min="1543" max="1543" width="28.26953125" style="128" customWidth="1"/>
    <col min="1544" max="1544" width="20.7265625" style="128" bestFit="1" customWidth="1"/>
    <col min="1545" max="1545" width="21.7265625" style="128" customWidth="1"/>
    <col min="1546" max="1546" width="19.54296875" style="128" bestFit="1" customWidth="1"/>
    <col min="1547" max="1547" width="17" style="128" bestFit="1" customWidth="1"/>
    <col min="1548" max="1548" width="22.1796875" style="128" customWidth="1"/>
    <col min="1549" max="1549" width="13.26953125" style="128" customWidth="1"/>
    <col min="1550" max="1792" width="9.1796875" style="128"/>
    <col min="1793" max="1793" width="24.81640625" style="128" customWidth="1"/>
    <col min="1794" max="1794" width="18.7265625" style="128" bestFit="1" customWidth="1"/>
    <col min="1795" max="1795" width="8.1796875" style="128" bestFit="1" customWidth="1"/>
    <col min="1796" max="1797" width="8.26953125" style="128" bestFit="1" customWidth="1"/>
    <col min="1798" max="1798" width="7.26953125" style="128" bestFit="1" customWidth="1"/>
    <col min="1799" max="1799" width="28.26953125" style="128" customWidth="1"/>
    <col min="1800" max="1800" width="20.7265625" style="128" bestFit="1" customWidth="1"/>
    <col min="1801" max="1801" width="21.7265625" style="128" customWidth="1"/>
    <col min="1802" max="1802" width="19.54296875" style="128" bestFit="1" customWidth="1"/>
    <col min="1803" max="1803" width="17" style="128" bestFit="1" customWidth="1"/>
    <col min="1804" max="1804" width="22.1796875" style="128" customWidth="1"/>
    <col min="1805" max="1805" width="13.26953125" style="128" customWidth="1"/>
    <col min="1806" max="2048" width="9.1796875" style="128"/>
    <col min="2049" max="2049" width="24.81640625" style="128" customWidth="1"/>
    <col min="2050" max="2050" width="18.7265625" style="128" bestFit="1" customWidth="1"/>
    <col min="2051" max="2051" width="8.1796875" style="128" bestFit="1" customWidth="1"/>
    <col min="2052" max="2053" width="8.26953125" style="128" bestFit="1" customWidth="1"/>
    <col min="2054" max="2054" width="7.26953125" style="128" bestFit="1" customWidth="1"/>
    <col min="2055" max="2055" width="28.26953125" style="128" customWidth="1"/>
    <col min="2056" max="2056" width="20.7265625" style="128" bestFit="1" customWidth="1"/>
    <col min="2057" max="2057" width="21.7265625" style="128" customWidth="1"/>
    <col min="2058" max="2058" width="19.54296875" style="128" bestFit="1" customWidth="1"/>
    <col min="2059" max="2059" width="17" style="128" bestFit="1" customWidth="1"/>
    <col min="2060" max="2060" width="22.1796875" style="128" customWidth="1"/>
    <col min="2061" max="2061" width="13.26953125" style="128" customWidth="1"/>
    <col min="2062" max="2304" width="9.1796875" style="128"/>
    <col min="2305" max="2305" width="24.81640625" style="128" customWidth="1"/>
    <col min="2306" max="2306" width="18.7265625" style="128" bestFit="1" customWidth="1"/>
    <col min="2307" max="2307" width="8.1796875" style="128" bestFit="1" customWidth="1"/>
    <col min="2308" max="2309" width="8.26953125" style="128" bestFit="1" customWidth="1"/>
    <col min="2310" max="2310" width="7.26953125" style="128" bestFit="1" customWidth="1"/>
    <col min="2311" max="2311" width="28.26953125" style="128" customWidth="1"/>
    <col min="2312" max="2312" width="20.7265625" style="128" bestFit="1" customWidth="1"/>
    <col min="2313" max="2313" width="21.7265625" style="128" customWidth="1"/>
    <col min="2314" max="2314" width="19.54296875" style="128" bestFit="1" customWidth="1"/>
    <col min="2315" max="2315" width="17" style="128" bestFit="1" customWidth="1"/>
    <col min="2316" max="2316" width="22.1796875" style="128" customWidth="1"/>
    <col min="2317" max="2317" width="13.26953125" style="128" customWidth="1"/>
    <col min="2318" max="2560" width="9.1796875" style="128"/>
    <col min="2561" max="2561" width="24.81640625" style="128" customWidth="1"/>
    <col min="2562" max="2562" width="18.7265625" style="128" bestFit="1" customWidth="1"/>
    <col min="2563" max="2563" width="8.1796875" style="128" bestFit="1" customWidth="1"/>
    <col min="2564" max="2565" width="8.26953125" style="128" bestFit="1" customWidth="1"/>
    <col min="2566" max="2566" width="7.26953125" style="128" bestFit="1" customWidth="1"/>
    <col min="2567" max="2567" width="28.26953125" style="128" customWidth="1"/>
    <col min="2568" max="2568" width="20.7265625" style="128" bestFit="1" customWidth="1"/>
    <col min="2569" max="2569" width="21.7265625" style="128" customWidth="1"/>
    <col min="2570" max="2570" width="19.54296875" style="128" bestFit="1" customWidth="1"/>
    <col min="2571" max="2571" width="17" style="128" bestFit="1" customWidth="1"/>
    <col min="2572" max="2572" width="22.1796875" style="128" customWidth="1"/>
    <col min="2573" max="2573" width="13.26953125" style="128" customWidth="1"/>
    <col min="2574" max="2816" width="9.1796875" style="128"/>
    <col min="2817" max="2817" width="24.81640625" style="128" customWidth="1"/>
    <col min="2818" max="2818" width="18.7265625" style="128" bestFit="1" customWidth="1"/>
    <col min="2819" max="2819" width="8.1796875" style="128" bestFit="1" customWidth="1"/>
    <col min="2820" max="2821" width="8.26953125" style="128" bestFit="1" customWidth="1"/>
    <col min="2822" max="2822" width="7.26953125" style="128" bestFit="1" customWidth="1"/>
    <col min="2823" max="2823" width="28.26953125" style="128" customWidth="1"/>
    <col min="2824" max="2824" width="20.7265625" style="128" bestFit="1" customWidth="1"/>
    <col min="2825" max="2825" width="21.7265625" style="128" customWidth="1"/>
    <col min="2826" max="2826" width="19.54296875" style="128" bestFit="1" customWidth="1"/>
    <col min="2827" max="2827" width="17" style="128" bestFit="1" customWidth="1"/>
    <col min="2828" max="2828" width="22.1796875" style="128" customWidth="1"/>
    <col min="2829" max="2829" width="13.26953125" style="128" customWidth="1"/>
    <col min="2830" max="3072" width="9.1796875" style="128"/>
    <col min="3073" max="3073" width="24.81640625" style="128" customWidth="1"/>
    <col min="3074" max="3074" width="18.7265625" style="128" bestFit="1" customWidth="1"/>
    <col min="3075" max="3075" width="8.1796875" style="128" bestFit="1" customWidth="1"/>
    <col min="3076" max="3077" width="8.26953125" style="128" bestFit="1" customWidth="1"/>
    <col min="3078" max="3078" width="7.26953125" style="128" bestFit="1" customWidth="1"/>
    <col min="3079" max="3079" width="28.26953125" style="128" customWidth="1"/>
    <col min="3080" max="3080" width="20.7265625" style="128" bestFit="1" customWidth="1"/>
    <col min="3081" max="3081" width="21.7265625" style="128" customWidth="1"/>
    <col min="3082" max="3082" width="19.54296875" style="128" bestFit="1" customWidth="1"/>
    <col min="3083" max="3083" width="17" style="128" bestFit="1" customWidth="1"/>
    <col min="3084" max="3084" width="22.1796875" style="128" customWidth="1"/>
    <col min="3085" max="3085" width="13.26953125" style="128" customWidth="1"/>
    <col min="3086" max="3328" width="9.1796875" style="128"/>
    <col min="3329" max="3329" width="24.81640625" style="128" customWidth="1"/>
    <col min="3330" max="3330" width="18.7265625" style="128" bestFit="1" customWidth="1"/>
    <col min="3331" max="3331" width="8.1796875" style="128" bestFit="1" customWidth="1"/>
    <col min="3332" max="3333" width="8.26953125" style="128" bestFit="1" customWidth="1"/>
    <col min="3334" max="3334" width="7.26953125" style="128" bestFit="1" customWidth="1"/>
    <col min="3335" max="3335" width="28.26953125" style="128" customWidth="1"/>
    <col min="3336" max="3336" width="20.7265625" style="128" bestFit="1" customWidth="1"/>
    <col min="3337" max="3337" width="21.7265625" style="128" customWidth="1"/>
    <col min="3338" max="3338" width="19.54296875" style="128" bestFit="1" customWidth="1"/>
    <col min="3339" max="3339" width="17" style="128" bestFit="1" customWidth="1"/>
    <col min="3340" max="3340" width="22.1796875" style="128" customWidth="1"/>
    <col min="3341" max="3341" width="13.26953125" style="128" customWidth="1"/>
    <col min="3342" max="3584" width="9.1796875" style="128"/>
    <col min="3585" max="3585" width="24.81640625" style="128" customWidth="1"/>
    <col min="3586" max="3586" width="18.7265625" style="128" bestFit="1" customWidth="1"/>
    <col min="3587" max="3587" width="8.1796875" style="128" bestFit="1" customWidth="1"/>
    <col min="3588" max="3589" width="8.26953125" style="128" bestFit="1" customWidth="1"/>
    <col min="3590" max="3590" width="7.26953125" style="128" bestFit="1" customWidth="1"/>
    <col min="3591" max="3591" width="28.26953125" style="128" customWidth="1"/>
    <col min="3592" max="3592" width="20.7265625" style="128" bestFit="1" customWidth="1"/>
    <col min="3593" max="3593" width="21.7265625" style="128" customWidth="1"/>
    <col min="3594" max="3594" width="19.54296875" style="128" bestFit="1" customWidth="1"/>
    <col min="3595" max="3595" width="17" style="128" bestFit="1" customWidth="1"/>
    <col min="3596" max="3596" width="22.1796875" style="128" customWidth="1"/>
    <col min="3597" max="3597" width="13.26953125" style="128" customWidth="1"/>
    <col min="3598" max="3840" width="9.1796875" style="128"/>
    <col min="3841" max="3841" width="24.81640625" style="128" customWidth="1"/>
    <col min="3842" max="3842" width="18.7265625" style="128" bestFit="1" customWidth="1"/>
    <col min="3843" max="3843" width="8.1796875" style="128" bestFit="1" customWidth="1"/>
    <col min="3844" max="3845" width="8.26953125" style="128" bestFit="1" customWidth="1"/>
    <col min="3846" max="3846" width="7.26953125" style="128" bestFit="1" customWidth="1"/>
    <col min="3847" max="3847" width="28.26953125" style="128" customWidth="1"/>
    <col min="3848" max="3848" width="20.7265625" style="128" bestFit="1" customWidth="1"/>
    <col min="3849" max="3849" width="21.7265625" style="128" customWidth="1"/>
    <col min="3850" max="3850" width="19.54296875" style="128" bestFit="1" customWidth="1"/>
    <col min="3851" max="3851" width="17" style="128" bestFit="1" customWidth="1"/>
    <col min="3852" max="3852" width="22.1796875" style="128" customWidth="1"/>
    <col min="3853" max="3853" width="13.26953125" style="128" customWidth="1"/>
    <col min="3854" max="4096" width="9.1796875" style="128"/>
    <col min="4097" max="4097" width="24.81640625" style="128" customWidth="1"/>
    <col min="4098" max="4098" width="18.7265625" style="128" bestFit="1" customWidth="1"/>
    <col min="4099" max="4099" width="8.1796875" style="128" bestFit="1" customWidth="1"/>
    <col min="4100" max="4101" width="8.26953125" style="128" bestFit="1" customWidth="1"/>
    <col min="4102" max="4102" width="7.26953125" style="128" bestFit="1" customWidth="1"/>
    <col min="4103" max="4103" width="28.26953125" style="128" customWidth="1"/>
    <col min="4104" max="4104" width="20.7265625" style="128" bestFit="1" customWidth="1"/>
    <col min="4105" max="4105" width="21.7265625" style="128" customWidth="1"/>
    <col min="4106" max="4106" width="19.54296875" style="128" bestFit="1" customWidth="1"/>
    <col min="4107" max="4107" width="17" style="128" bestFit="1" customWidth="1"/>
    <col min="4108" max="4108" width="22.1796875" style="128" customWidth="1"/>
    <col min="4109" max="4109" width="13.26953125" style="128" customWidth="1"/>
    <col min="4110" max="4352" width="9.1796875" style="128"/>
    <col min="4353" max="4353" width="24.81640625" style="128" customWidth="1"/>
    <col min="4354" max="4354" width="18.7265625" style="128" bestFit="1" customWidth="1"/>
    <col min="4355" max="4355" width="8.1796875" style="128" bestFit="1" customWidth="1"/>
    <col min="4356" max="4357" width="8.26953125" style="128" bestFit="1" customWidth="1"/>
    <col min="4358" max="4358" width="7.26953125" style="128" bestFit="1" customWidth="1"/>
    <col min="4359" max="4359" width="28.26953125" style="128" customWidth="1"/>
    <col min="4360" max="4360" width="20.7265625" style="128" bestFit="1" customWidth="1"/>
    <col min="4361" max="4361" width="21.7265625" style="128" customWidth="1"/>
    <col min="4362" max="4362" width="19.54296875" style="128" bestFit="1" customWidth="1"/>
    <col min="4363" max="4363" width="17" style="128" bestFit="1" customWidth="1"/>
    <col min="4364" max="4364" width="22.1796875" style="128" customWidth="1"/>
    <col min="4365" max="4365" width="13.26953125" style="128" customWidth="1"/>
    <col min="4366" max="4608" width="9.1796875" style="128"/>
    <col min="4609" max="4609" width="24.81640625" style="128" customWidth="1"/>
    <col min="4610" max="4610" width="18.7265625" style="128" bestFit="1" customWidth="1"/>
    <col min="4611" max="4611" width="8.1796875" style="128" bestFit="1" customWidth="1"/>
    <col min="4612" max="4613" width="8.26953125" style="128" bestFit="1" customWidth="1"/>
    <col min="4614" max="4614" width="7.26953125" style="128" bestFit="1" customWidth="1"/>
    <col min="4615" max="4615" width="28.26953125" style="128" customWidth="1"/>
    <col min="4616" max="4616" width="20.7265625" style="128" bestFit="1" customWidth="1"/>
    <col min="4617" max="4617" width="21.7265625" style="128" customWidth="1"/>
    <col min="4618" max="4618" width="19.54296875" style="128" bestFit="1" customWidth="1"/>
    <col min="4619" max="4619" width="17" style="128" bestFit="1" customWidth="1"/>
    <col min="4620" max="4620" width="22.1796875" style="128" customWidth="1"/>
    <col min="4621" max="4621" width="13.26953125" style="128" customWidth="1"/>
    <col min="4622" max="4864" width="9.1796875" style="128"/>
    <col min="4865" max="4865" width="24.81640625" style="128" customWidth="1"/>
    <col min="4866" max="4866" width="18.7265625" style="128" bestFit="1" customWidth="1"/>
    <col min="4867" max="4867" width="8.1796875" style="128" bestFit="1" customWidth="1"/>
    <col min="4868" max="4869" width="8.26953125" style="128" bestFit="1" customWidth="1"/>
    <col min="4870" max="4870" width="7.26953125" style="128" bestFit="1" customWidth="1"/>
    <col min="4871" max="4871" width="28.26953125" style="128" customWidth="1"/>
    <col min="4872" max="4872" width="20.7265625" style="128" bestFit="1" customWidth="1"/>
    <col min="4873" max="4873" width="21.7265625" style="128" customWidth="1"/>
    <col min="4874" max="4874" width="19.54296875" style="128" bestFit="1" customWidth="1"/>
    <col min="4875" max="4875" width="17" style="128" bestFit="1" customWidth="1"/>
    <col min="4876" max="4876" width="22.1796875" style="128" customWidth="1"/>
    <col min="4877" max="4877" width="13.26953125" style="128" customWidth="1"/>
    <col min="4878" max="5120" width="9.1796875" style="128"/>
    <col min="5121" max="5121" width="24.81640625" style="128" customWidth="1"/>
    <col min="5122" max="5122" width="18.7265625" style="128" bestFit="1" customWidth="1"/>
    <col min="5123" max="5123" width="8.1796875" style="128" bestFit="1" customWidth="1"/>
    <col min="5124" max="5125" width="8.26953125" style="128" bestFit="1" customWidth="1"/>
    <col min="5126" max="5126" width="7.26953125" style="128" bestFit="1" customWidth="1"/>
    <col min="5127" max="5127" width="28.26953125" style="128" customWidth="1"/>
    <col min="5128" max="5128" width="20.7265625" style="128" bestFit="1" customWidth="1"/>
    <col min="5129" max="5129" width="21.7265625" style="128" customWidth="1"/>
    <col min="5130" max="5130" width="19.54296875" style="128" bestFit="1" customWidth="1"/>
    <col min="5131" max="5131" width="17" style="128" bestFit="1" customWidth="1"/>
    <col min="5132" max="5132" width="22.1796875" style="128" customWidth="1"/>
    <col min="5133" max="5133" width="13.26953125" style="128" customWidth="1"/>
    <col min="5134" max="5376" width="9.1796875" style="128"/>
    <col min="5377" max="5377" width="24.81640625" style="128" customWidth="1"/>
    <col min="5378" max="5378" width="18.7265625" style="128" bestFit="1" customWidth="1"/>
    <col min="5379" max="5379" width="8.1796875" style="128" bestFit="1" customWidth="1"/>
    <col min="5380" max="5381" width="8.26953125" style="128" bestFit="1" customWidth="1"/>
    <col min="5382" max="5382" width="7.26953125" style="128" bestFit="1" customWidth="1"/>
    <col min="5383" max="5383" width="28.26953125" style="128" customWidth="1"/>
    <col min="5384" max="5384" width="20.7265625" style="128" bestFit="1" customWidth="1"/>
    <col min="5385" max="5385" width="21.7265625" style="128" customWidth="1"/>
    <col min="5386" max="5386" width="19.54296875" style="128" bestFit="1" customWidth="1"/>
    <col min="5387" max="5387" width="17" style="128" bestFit="1" customWidth="1"/>
    <col min="5388" max="5388" width="22.1796875" style="128" customWidth="1"/>
    <col min="5389" max="5389" width="13.26953125" style="128" customWidth="1"/>
    <col min="5390" max="5632" width="9.1796875" style="128"/>
    <col min="5633" max="5633" width="24.81640625" style="128" customWidth="1"/>
    <col min="5634" max="5634" width="18.7265625" style="128" bestFit="1" customWidth="1"/>
    <col min="5635" max="5635" width="8.1796875" style="128" bestFit="1" customWidth="1"/>
    <col min="5636" max="5637" width="8.26953125" style="128" bestFit="1" customWidth="1"/>
    <col min="5638" max="5638" width="7.26953125" style="128" bestFit="1" customWidth="1"/>
    <col min="5639" max="5639" width="28.26953125" style="128" customWidth="1"/>
    <col min="5640" max="5640" width="20.7265625" style="128" bestFit="1" customWidth="1"/>
    <col min="5641" max="5641" width="21.7265625" style="128" customWidth="1"/>
    <col min="5642" max="5642" width="19.54296875" style="128" bestFit="1" customWidth="1"/>
    <col min="5643" max="5643" width="17" style="128" bestFit="1" customWidth="1"/>
    <col min="5644" max="5644" width="22.1796875" style="128" customWidth="1"/>
    <col min="5645" max="5645" width="13.26953125" style="128" customWidth="1"/>
    <col min="5646" max="5888" width="9.1796875" style="128"/>
    <col min="5889" max="5889" width="24.81640625" style="128" customWidth="1"/>
    <col min="5890" max="5890" width="18.7265625" style="128" bestFit="1" customWidth="1"/>
    <col min="5891" max="5891" width="8.1796875" style="128" bestFit="1" customWidth="1"/>
    <col min="5892" max="5893" width="8.26953125" style="128" bestFit="1" customWidth="1"/>
    <col min="5894" max="5894" width="7.26953125" style="128" bestFit="1" customWidth="1"/>
    <col min="5895" max="5895" width="28.26953125" style="128" customWidth="1"/>
    <col min="5896" max="5896" width="20.7265625" style="128" bestFit="1" customWidth="1"/>
    <col min="5897" max="5897" width="21.7265625" style="128" customWidth="1"/>
    <col min="5898" max="5898" width="19.54296875" style="128" bestFit="1" customWidth="1"/>
    <col min="5899" max="5899" width="17" style="128" bestFit="1" customWidth="1"/>
    <col min="5900" max="5900" width="22.1796875" style="128" customWidth="1"/>
    <col min="5901" max="5901" width="13.26953125" style="128" customWidth="1"/>
    <col min="5902" max="6144" width="9.1796875" style="128"/>
    <col min="6145" max="6145" width="24.81640625" style="128" customWidth="1"/>
    <col min="6146" max="6146" width="18.7265625" style="128" bestFit="1" customWidth="1"/>
    <col min="6147" max="6147" width="8.1796875" style="128" bestFit="1" customWidth="1"/>
    <col min="6148" max="6149" width="8.26953125" style="128" bestFit="1" customWidth="1"/>
    <col min="6150" max="6150" width="7.26953125" style="128" bestFit="1" customWidth="1"/>
    <col min="6151" max="6151" width="28.26953125" style="128" customWidth="1"/>
    <col min="6152" max="6152" width="20.7265625" style="128" bestFit="1" customWidth="1"/>
    <col min="6153" max="6153" width="21.7265625" style="128" customWidth="1"/>
    <col min="6154" max="6154" width="19.54296875" style="128" bestFit="1" customWidth="1"/>
    <col min="6155" max="6155" width="17" style="128" bestFit="1" customWidth="1"/>
    <col min="6156" max="6156" width="22.1796875" style="128" customWidth="1"/>
    <col min="6157" max="6157" width="13.26953125" style="128" customWidth="1"/>
    <col min="6158" max="6400" width="9.1796875" style="128"/>
    <col min="6401" max="6401" width="24.81640625" style="128" customWidth="1"/>
    <col min="6402" max="6402" width="18.7265625" style="128" bestFit="1" customWidth="1"/>
    <col min="6403" max="6403" width="8.1796875" style="128" bestFit="1" customWidth="1"/>
    <col min="6404" max="6405" width="8.26953125" style="128" bestFit="1" customWidth="1"/>
    <col min="6406" max="6406" width="7.26953125" style="128" bestFit="1" customWidth="1"/>
    <col min="6407" max="6407" width="28.26953125" style="128" customWidth="1"/>
    <col min="6408" max="6408" width="20.7265625" style="128" bestFit="1" customWidth="1"/>
    <col min="6409" max="6409" width="21.7265625" style="128" customWidth="1"/>
    <col min="6410" max="6410" width="19.54296875" style="128" bestFit="1" customWidth="1"/>
    <col min="6411" max="6411" width="17" style="128" bestFit="1" customWidth="1"/>
    <col min="6412" max="6412" width="22.1796875" style="128" customWidth="1"/>
    <col min="6413" max="6413" width="13.26953125" style="128" customWidth="1"/>
    <col min="6414" max="6656" width="9.1796875" style="128"/>
    <col min="6657" max="6657" width="24.81640625" style="128" customWidth="1"/>
    <col min="6658" max="6658" width="18.7265625" style="128" bestFit="1" customWidth="1"/>
    <col min="6659" max="6659" width="8.1796875" style="128" bestFit="1" customWidth="1"/>
    <col min="6660" max="6661" width="8.26953125" style="128" bestFit="1" customWidth="1"/>
    <col min="6662" max="6662" width="7.26953125" style="128" bestFit="1" customWidth="1"/>
    <col min="6663" max="6663" width="28.26953125" style="128" customWidth="1"/>
    <col min="6664" max="6664" width="20.7265625" style="128" bestFit="1" customWidth="1"/>
    <col min="6665" max="6665" width="21.7265625" style="128" customWidth="1"/>
    <col min="6666" max="6666" width="19.54296875" style="128" bestFit="1" customWidth="1"/>
    <col min="6667" max="6667" width="17" style="128" bestFit="1" customWidth="1"/>
    <col min="6668" max="6668" width="22.1796875" style="128" customWidth="1"/>
    <col min="6669" max="6669" width="13.26953125" style="128" customWidth="1"/>
    <col min="6670" max="6912" width="9.1796875" style="128"/>
    <col min="6913" max="6913" width="24.81640625" style="128" customWidth="1"/>
    <col min="6914" max="6914" width="18.7265625" style="128" bestFit="1" customWidth="1"/>
    <col min="6915" max="6915" width="8.1796875" style="128" bestFit="1" customWidth="1"/>
    <col min="6916" max="6917" width="8.26953125" style="128" bestFit="1" customWidth="1"/>
    <col min="6918" max="6918" width="7.26953125" style="128" bestFit="1" customWidth="1"/>
    <col min="6919" max="6919" width="28.26953125" style="128" customWidth="1"/>
    <col min="6920" max="6920" width="20.7265625" style="128" bestFit="1" customWidth="1"/>
    <col min="6921" max="6921" width="21.7265625" style="128" customWidth="1"/>
    <col min="6922" max="6922" width="19.54296875" style="128" bestFit="1" customWidth="1"/>
    <col min="6923" max="6923" width="17" style="128" bestFit="1" customWidth="1"/>
    <col min="6924" max="6924" width="22.1796875" style="128" customWidth="1"/>
    <col min="6925" max="6925" width="13.26953125" style="128" customWidth="1"/>
    <col min="6926" max="7168" width="9.1796875" style="128"/>
    <col min="7169" max="7169" width="24.81640625" style="128" customWidth="1"/>
    <col min="7170" max="7170" width="18.7265625" style="128" bestFit="1" customWidth="1"/>
    <col min="7171" max="7171" width="8.1796875" style="128" bestFit="1" customWidth="1"/>
    <col min="7172" max="7173" width="8.26953125" style="128" bestFit="1" customWidth="1"/>
    <col min="7174" max="7174" width="7.26953125" style="128" bestFit="1" customWidth="1"/>
    <col min="7175" max="7175" width="28.26953125" style="128" customWidth="1"/>
    <col min="7176" max="7176" width="20.7265625" style="128" bestFit="1" customWidth="1"/>
    <col min="7177" max="7177" width="21.7265625" style="128" customWidth="1"/>
    <col min="7178" max="7178" width="19.54296875" style="128" bestFit="1" customWidth="1"/>
    <col min="7179" max="7179" width="17" style="128" bestFit="1" customWidth="1"/>
    <col min="7180" max="7180" width="22.1796875" style="128" customWidth="1"/>
    <col min="7181" max="7181" width="13.26953125" style="128" customWidth="1"/>
    <col min="7182" max="7424" width="9.1796875" style="128"/>
    <col min="7425" max="7425" width="24.81640625" style="128" customWidth="1"/>
    <col min="7426" max="7426" width="18.7265625" style="128" bestFit="1" customWidth="1"/>
    <col min="7427" max="7427" width="8.1796875" style="128" bestFit="1" customWidth="1"/>
    <col min="7428" max="7429" width="8.26953125" style="128" bestFit="1" customWidth="1"/>
    <col min="7430" max="7430" width="7.26953125" style="128" bestFit="1" customWidth="1"/>
    <col min="7431" max="7431" width="28.26953125" style="128" customWidth="1"/>
    <col min="7432" max="7432" width="20.7265625" style="128" bestFit="1" customWidth="1"/>
    <col min="7433" max="7433" width="21.7265625" style="128" customWidth="1"/>
    <col min="7434" max="7434" width="19.54296875" style="128" bestFit="1" customWidth="1"/>
    <col min="7435" max="7435" width="17" style="128" bestFit="1" customWidth="1"/>
    <col min="7436" max="7436" width="22.1796875" style="128" customWidth="1"/>
    <col min="7437" max="7437" width="13.26953125" style="128" customWidth="1"/>
    <col min="7438" max="7680" width="9.1796875" style="128"/>
    <col min="7681" max="7681" width="24.81640625" style="128" customWidth="1"/>
    <col min="7682" max="7682" width="18.7265625" style="128" bestFit="1" customWidth="1"/>
    <col min="7683" max="7683" width="8.1796875" style="128" bestFit="1" customWidth="1"/>
    <col min="7684" max="7685" width="8.26953125" style="128" bestFit="1" customWidth="1"/>
    <col min="7686" max="7686" width="7.26953125" style="128" bestFit="1" customWidth="1"/>
    <col min="7687" max="7687" width="28.26953125" style="128" customWidth="1"/>
    <col min="7688" max="7688" width="20.7265625" style="128" bestFit="1" customWidth="1"/>
    <col min="7689" max="7689" width="21.7265625" style="128" customWidth="1"/>
    <col min="7690" max="7690" width="19.54296875" style="128" bestFit="1" customWidth="1"/>
    <col min="7691" max="7691" width="17" style="128" bestFit="1" customWidth="1"/>
    <col min="7692" max="7692" width="22.1796875" style="128" customWidth="1"/>
    <col min="7693" max="7693" width="13.26953125" style="128" customWidth="1"/>
    <col min="7694" max="7936" width="9.1796875" style="128"/>
    <col min="7937" max="7937" width="24.81640625" style="128" customWidth="1"/>
    <col min="7938" max="7938" width="18.7265625" style="128" bestFit="1" customWidth="1"/>
    <col min="7939" max="7939" width="8.1796875" style="128" bestFit="1" customWidth="1"/>
    <col min="7940" max="7941" width="8.26953125" style="128" bestFit="1" customWidth="1"/>
    <col min="7942" max="7942" width="7.26953125" style="128" bestFit="1" customWidth="1"/>
    <col min="7943" max="7943" width="28.26953125" style="128" customWidth="1"/>
    <col min="7944" max="7944" width="20.7265625" style="128" bestFit="1" customWidth="1"/>
    <col min="7945" max="7945" width="21.7265625" style="128" customWidth="1"/>
    <col min="7946" max="7946" width="19.54296875" style="128" bestFit="1" customWidth="1"/>
    <col min="7947" max="7947" width="17" style="128" bestFit="1" customWidth="1"/>
    <col min="7948" max="7948" width="22.1796875" style="128" customWidth="1"/>
    <col min="7949" max="7949" width="13.26953125" style="128" customWidth="1"/>
    <col min="7950" max="8192" width="9.1796875" style="128"/>
    <col min="8193" max="8193" width="24.81640625" style="128" customWidth="1"/>
    <col min="8194" max="8194" width="18.7265625" style="128" bestFit="1" customWidth="1"/>
    <col min="8195" max="8195" width="8.1796875" style="128" bestFit="1" customWidth="1"/>
    <col min="8196" max="8197" width="8.26953125" style="128" bestFit="1" customWidth="1"/>
    <col min="8198" max="8198" width="7.26953125" style="128" bestFit="1" customWidth="1"/>
    <col min="8199" max="8199" width="28.26953125" style="128" customWidth="1"/>
    <col min="8200" max="8200" width="20.7265625" style="128" bestFit="1" customWidth="1"/>
    <col min="8201" max="8201" width="21.7265625" style="128" customWidth="1"/>
    <col min="8202" max="8202" width="19.54296875" style="128" bestFit="1" customWidth="1"/>
    <col min="8203" max="8203" width="17" style="128" bestFit="1" customWidth="1"/>
    <col min="8204" max="8204" width="22.1796875" style="128" customWidth="1"/>
    <col min="8205" max="8205" width="13.26953125" style="128" customWidth="1"/>
    <col min="8206" max="8448" width="9.1796875" style="128"/>
    <col min="8449" max="8449" width="24.81640625" style="128" customWidth="1"/>
    <col min="8450" max="8450" width="18.7265625" style="128" bestFit="1" customWidth="1"/>
    <col min="8451" max="8451" width="8.1796875" style="128" bestFit="1" customWidth="1"/>
    <col min="8452" max="8453" width="8.26953125" style="128" bestFit="1" customWidth="1"/>
    <col min="8454" max="8454" width="7.26953125" style="128" bestFit="1" customWidth="1"/>
    <col min="8455" max="8455" width="28.26953125" style="128" customWidth="1"/>
    <col min="8456" max="8456" width="20.7265625" style="128" bestFit="1" customWidth="1"/>
    <col min="8457" max="8457" width="21.7265625" style="128" customWidth="1"/>
    <col min="8458" max="8458" width="19.54296875" style="128" bestFit="1" customWidth="1"/>
    <col min="8459" max="8459" width="17" style="128" bestFit="1" customWidth="1"/>
    <col min="8460" max="8460" width="22.1796875" style="128" customWidth="1"/>
    <col min="8461" max="8461" width="13.26953125" style="128" customWidth="1"/>
    <col min="8462" max="8704" width="9.1796875" style="128"/>
    <col min="8705" max="8705" width="24.81640625" style="128" customWidth="1"/>
    <col min="8706" max="8706" width="18.7265625" style="128" bestFit="1" customWidth="1"/>
    <col min="8707" max="8707" width="8.1796875" style="128" bestFit="1" customWidth="1"/>
    <col min="8708" max="8709" width="8.26953125" style="128" bestFit="1" customWidth="1"/>
    <col min="8710" max="8710" width="7.26953125" style="128" bestFit="1" customWidth="1"/>
    <col min="8711" max="8711" width="28.26953125" style="128" customWidth="1"/>
    <col min="8712" max="8712" width="20.7265625" style="128" bestFit="1" customWidth="1"/>
    <col min="8713" max="8713" width="21.7265625" style="128" customWidth="1"/>
    <col min="8714" max="8714" width="19.54296875" style="128" bestFit="1" customWidth="1"/>
    <col min="8715" max="8715" width="17" style="128" bestFit="1" customWidth="1"/>
    <col min="8716" max="8716" width="22.1796875" style="128" customWidth="1"/>
    <col min="8717" max="8717" width="13.26953125" style="128" customWidth="1"/>
    <col min="8718" max="8960" width="9.1796875" style="128"/>
    <col min="8961" max="8961" width="24.81640625" style="128" customWidth="1"/>
    <col min="8962" max="8962" width="18.7265625" style="128" bestFit="1" customWidth="1"/>
    <col min="8963" max="8963" width="8.1796875" style="128" bestFit="1" customWidth="1"/>
    <col min="8964" max="8965" width="8.26953125" style="128" bestFit="1" customWidth="1"/>
    <col min="8966" max="8966" width="7.26953125" style="128" bestFit="1" customWidth="1"/>
    <col min="8967" max="8967" width="28.26953125" style="128" customWidth="1"/>
    <col min="8968" max="8968" width="20.7265625" style="128" bestFit="1" customWidth="1"/>
    <col min="8969" max="8969" width="21.7265625" style="128" customWidth="1"/>
    <col min="8970" max="8970" width="19.54296875" style="128" bestFit="1" customWidth="1"/>
    <col min="8971" max="8971" width="17" style="128" bestFit="1" customWidth="1"/>
    <col min="8972" max="8972" width="22.1796875" style="128" customWidth="1"/>
    <col min="8973" max="8973" width="13.26953125" style="128" customWidth="1"/>
    <col min="8974" max="9216" width="9.1796875" style="128"/>
    <col min="9217" max="9217" width="24.81640625" style="128" customWidth="1"/>
    <col min="9218" max="9218" width="18.7265625" style="128" bestFit="1" customWidth="1"/>
    <col min="9219" max="9219" width="8.1796875" style="128" bestFit="1" customWidth="1"/>
    <col min="9220" max="9221" width="8.26953125" style="128" bestFit="1" customWidth="1"/>
    <col min="9222" max="9222" width="7.26953125" style="128" bestFit="1" customWidth="1"/>
    <col min="9223" max="9223" width="28.26953125" style="128" customWidth="1"/>
    <col min="9224" max="9224" width="20.7265625" style="128" bestFit="1" customWidth="1"/>
    <col min="9225" max="9225" width="21.7265625" style="128" customWidth="1"/>
    <col min="9226" max="9226" width="19.54296875" style="128" bestFit="1" customWidth="1"/>
    <col min="9227" max="9227" width="17" style="128" bestFit="1" customWidth="1"/>
    <col min="9228" max="9228" width="22.1796875" style="128" customWidth="1"/>
    <col min="9229" max="9229" width="13.26953125" style="128" customWidth="1"/>
    <col min="9230" max="9472" width="9.1796875" style="128"/>
    <col min="9473" max="9473" width="24.81640625" style="128" customWidth="1"/>
    <col min="9474" max="9474" width="18.7265625" style="128" bestFit="1" customWidth="1"/>
    <col min="9475" max="9475" width="8.1796875" style="128" bestFit="1" customWidth="1"/>
    <col min="9476" max="9477" width="8.26953125" style="128" bestFit="1" customWidth="1"/>
    <col min="9478" max="9478" width="7.26953125" style="128" bestFit="1" customWidth="1"/>
    <col min="9479" max="9479" width="28.26953125" style="128" customWidth="1"/>
    <col min="9480" max="9480" width="20.7265625" style="128" bestFit="1" customWidth="1"/>
    <col min="9481" max="9481" width="21.7265625" style="128" customWidth="1"/>
    <col min="9482" max="9482" width="19.54296875" style="128" bestFit="1" customWidth="1"/>
    <col min="9483" max="9483" width="17" style="128" bestFit="1" customWidth="1"/>
    <col min="9484" max="9484" width="22.1796875" style="128" customWidth="1"/>
    <col min="9485" max="9485" width="13.26953125" style="128" customWidth="1"/>
    <col min="9486" max="9728" width="9.1796875" style="128"/>
    <col min="9729" max="9729" width="24.81640625" style="128" customWidth="1"/>
    <col min="9730" max="9730" width="18.7265625" style="128" bestFit="1" customWidth="1"/>
    <col min="9731" max="9731" width="8.1796875" style="128" bestFit="1" customWidth="1"/>
    <col min="9732" max="9733" width="8.26953125" style="128" bestFit="1" customWidth="1"/>
    <col min="9734" max="9734" width="7.26953125" style="128" bestFit="1" customWidth="1"/>
    <col min="9735" max="9735" width="28.26953125" style="128" customWidth="1"/>
    <col min="9736" max="9736" width="20.7265625" style="128" bestFit="1" customWidth="1"/>
    <col min="9737" max="9737" width="21.7265625" style="128" customWidth="1"/>
    <col min="9738" max="9738" width="19.54296875" style="128" bestFit="1" customWidth="1"/>
    <col min="9739" max="9739" width="17" style="128" bestFit="1" customWidth="1"/>
    <col min="9740" max="9740" width="22.1796875" style="128" customWidth="1"/>
    <col min="9741" max="9741" width="13.26953125" style="128" customWidth="1"/>
    <col min="9742" max="9984" width="9.1796875" style="128"/>
    <col min="9985" max="9985" width="24.81640625" style="128" customWidth="1"/>
    <col min="9986" max="9986" width="18.7265625" style="128" bestFit="1" customWidth="1"/>
    <col min="9987" max="9987" width="8.1796875" style="128" bestFit="1" customWidth="1"/>
    <col min="9988" max="9989" width="8.26953125" style="128" bestFit="1" customWidth="1"/>
    <col min="9990" max="9990" width="7.26953125" style="128" bestFit="1" customWidth="1"/>
    <col min="9991" max="9991" width="28.26953125" style="128" customWidth="1"/>
    <col min="9992" max="9992" width="20.7265625" style="128" bestFit="1" customWidth="1"/>
    <col min="9993" max="9993" width="21.7265625" style="128" customWidth="1"/>
    <col min="9994" max="9994" width="19.54296875" style="128" bestFit="1" customWidth="1"/>
    <col min="9995" max="9995" width="17" style="128" bestFit="1" customWidth="1"/>
    <col min="9996" max="9996" width="22.1796875" style="128" customWidth="1"/>
    <col min="9997" max="9997" width="13.26953125" style="128" customWidth="1"/>
    <col min="9998" max="10240" width="9.1796875" style="128"/>
    <col min="10241" max="10241" width="24.81640625" style="128" customWidth="1"/>
    <col min="10242" max="10242" width="18.7265625" style="128" bestFit="1" customWidth="1"/>
    <col min="10243" max="10243" width="8.1796875" style="128" bestFit="1" customWidth="1"/>
    <col min="10244" max="10245" width="8.26953125" style="128" bestFit="1" customWidth="1"/>
    <col min="10246" max="10246" width="7.26953125" style="128" bestFit="1" customWidth="1"/>
    <col min="10247" max="10247" width="28.26953125" style="128" customWidth="1"/>
    <col min="10248" max="10248" width="20.7265625" style="128" bestFit="1" customWidth="1"/>
    <col min="10249" max="10249" width="21.7265625" style="128" customWidth="1"/>
    <col min="10250" max="10250" width="19.54296875" style="128" bestFit="1" customWidth="1"/>
    <col min="10251" max="10251" width="17" style="128" bestFit="1" customWidth="1"/>
    <col min="10252" max="10252" width="22.1796875" style="128" customWidth="1"/>
    <col min="10253" max="10253" width="13.26953125" style="128" customWidth="1"/>
    <col min="10254" max="10496" width="9.1796875" style="128"/>
    <col min="10497" max="10497" width="24.81640625" style="128" customWidth="1"/>
    <col min="10498" max="10498" width="18.7265625" style="128" bestFit="1" customWidth="1"/>
    <col min="10499" max="10499" width="8.1796875" style="128" bestFit="1" customWidth="1"/>
    <col min="10500" max="10501" width="8.26953125" style="128" bestFit="1" customWidth="1"/>
    <col min="10502" max="10502" width="7.26953125" style="128" bestFit="1" customWidth="1"/>
    <col min="10503" max="10503" width="28.26953125" style="128" customWidth="1"/>
    <col min="10504" max="10504" width="20.7265625" style="128" bestFit="1" customWidth="1"/>
    <col min="10505" max="10505" width="21.7265625" style="128" customWidth="1"/>
    <col min="10506" max="10506" width="19.54296875" style="128" bestFit="1" customWidth="1"/>
    <col min="10507" max="10507" width="17" style="128" bestFit="1" customWidth="1"/>
    <col min="10508" max="10508" width="22.1796875" style="128" customWidth="1"/>
    <col min="10509" max="10509" width="13.26953125" style="128" customWidth="1"/>
    <col min="10510" max="10752" width="9.1796875" style="128"/>
    <col min="10753" max="10753" width="24.81640625" style="128" customWidth="1"/>
    <col min="10754" max="10754" width="18.7265625" style="128" bestFit="1" customWidth="1"/>
    <col min="10755" max="10755" width="8.1796875" style="128" bestFit="1" customWidth="1"/>
    <col min="10756" max="10757" width="8.26953125" style="128" bestFit="1" customWidth="1"/>
    <col min="10758" max="10758" width="7.26953125" style="128" bestFit="1" customWidth="1"/>
    <col min="10759" max="10759" width="28.26953125" style="128" customWidth="1"/>
    <col min="10760" max="10760" width="20.7265625" style="128" bestFit="1" customWidth="1"/>
    <col min="10761" max="10761" width="21.7265625" style="128" customWidth="1"/>
    <col min="10762" max="10762" width="19.54296875" style="128" bestFit="1" customWidth="1"/>
    <col min="10763" max="10763" width="17" style="128" bestFit="1" customWidth="1"/>
    <col min="10764" max="10764" width="22.1796875" style="128" customWidth="1"/>
    <col min="10765" max="10765" width="13.26953125" style="128" customWidth="1"/>
    <col min="10766" max="11008" width="9.1796875" style="128"/>
    <col min="11009" max="11009" width="24.81640625" style="128" customWidth="1"/>
    <col min="11010" max="11010" width="18.7265625" style="128" bestFit="1" customWidth="1"/>
    <col min="11011" max="11011" width="8.1796875" style="128" bestFit="1" customWidth="1"/>
    <col min="11012" max="11013" width="8.26953125" style="128" bestFit="1" customWidth="1"/>
    <col min="11014" max="11014" width="7.26953125" style="128" bestFit="1" customWidth="1"/>
    <col min="11015" max="11015" width="28.26953125" style="128" customWidth="1"/>
    <col min="11016" max="11016" width="20.7265625" style="128" bestFit="1" customWidth="1"/>
    <col min="11017" max="11017" width="21.7265625" style="128" customWidth="1"/>
    <col min="11018" max="11018" width="19.54296875" style="128" bestFit="1" customWidth="1"/>
    <col min="11019" max="11019" width="17" style="128" bestFit="1" customWidth="1"/>
    <col min="11020" max="11020" width="22.1796875" style="128" customWidth="1"/>
    <col min="11021" max="11021" width="13.26953125" style="128" customWidth="1"/>
    <col min="11022" max="11264" width="9.1796875" style="128"/>
    <col min="11265" max="11265" width="24.81640625" style="128" customWidth="1"/>
    <col min="11266" max="11266" width="18.7265625" style="128" bestFit="1" customWidth="1"/>
    <col min="11267" max="11267" width="8.1796875" style="128" bestFit="1" customWidth="1"/>
    <col min="11268" max="11269" width="8.26953125" style="128" bestFit="1" customWidth="1"/>
    <col min="11270" max="11270" width="7.26953125" style="128" bestFit="1" customWidth="1"/>
    <col min="11271" max="11271" width="28.26953125" style="128" customWidth="1"/>
    <col min="11272" max="11272" width="20.7265625" style="128" bestFit="1" customWidth="1"/>
    <col min="11273" max="11273" width="21.7265625" style="128" customWidth="1"/>
    <col min="11274" max="11274" width="19.54296875" style="128" bestFit="1" customWidth="1"/>
    <col min="11275" max="11275" width="17" style="128" bestFit="1" customWidth="1"/>
    <col min="11276" max="11276" width="22.1796875" style="128" customWidth="1"/>
    <col min="11277" max="11277" width="13.26953125" style="128" customWidth="1"/>
    <col min="11278" max="11520" width="9.1796875" style="128"/>
    <col min="11521" max="11521" width="24.81640625" style="128" customWidth="1"/>
    <col min="11522" max="11522" width="18.7265625" style="128" bestFit="1" customWidth="1"/>
    <col min="11523" max="11523" width="8.1796875" style="128" bestFit="1" customWidth="1"/>
    <col min="11524" max="11525" width="8.26953125" style="128" bestFit="1" customWidth="1"/>
    <col min="11526" max="11526" width="7.26953125" style="128" bestFit="1" customWidth="1"/>
    <col min="11527" max="11527" width="28.26953125" style="128" customWidth="1"/>
    <col min="11528" max="11528" width="20.7265625" style="128" bestFit="1" customWidth="1"/>
    <col min="11529" max="11529" width="21.7265625" style="128" customWidth="1"/>
    <col min="11530" max="11530" width="19.54296875" style="128" bestFit="1" customWidth="1"/>
    <col min="11531" max="11531" width="17" style="128" bestFit="1" customWidth="1"/>
    <col min="11532" max="11532" width="22.1796875" style="128" customWidth="1"/>
    <col min="11533" max="11533" width="13.26953125" style="128" customWidth="1"/>
    <col min="11534" max="11776" width="9.1796875" style="128"/>
    <col min="11777" max="11777" width="24.81640625" style="128" customWidth="1"/>
    <col min="11778" max="11778" width="18.7265625" style="128" bestFit="1" customWidth="1"/>
    <col min="11779" max="11779" width="8.1796875" style="128" bestFit="1" customWidth="1"/>
    <col min="11780" max="11781" width="8.26953125" style="128" bestFit="1" customWidth="1"/>
    <col min="11782" max="11782" width="7.26953125" style="128" bestFit="1" customWidth="1"/>
    <col min="11783" max="11783" width="28.26953125" style="128" customWidth="1"/>
    <col min="11784" max="11784" width="20.7265625" style="128" bestFit="1" customWidth="1"/>
    <col min="11785" max="11785" width="21.7265625" style="128" customWidth="1"/>
    <col min="11786" max="11786" width="19.54296875" style="128" bestFit="1" customWidth="1"/>
    <col min="11787" max="11787" width="17" style="128" bestFit="1" customWidth="1"/>
    <col min="11788" max="11788" width="22.1796875" style="128" customWidth="1"/>
    <col min="11789" max="11789" width="13.26953125" style="128" customWidth="1"/>
    <col min="11790" max="12032" width="9.1796875" style="128"/>
    <col min="12033" max="12033" width="24.81640625" style="128" customWidth="1"/>
    <col min="12034" max="12034" width="18.7265625" style="128" bestFit="1" customWidth="1"/>
    <col min="12035" max="12035" width="8.1796875" style="128" bestFit="1" customWidth="1"/>
    <col min="12036" max="12037" width="8.26953125" style="128" bestFit="1" customWidth="1"/>
    <col min="12038" max="12038" width="7.26953125" style="128" bestFit="1" customWidth="1"/>
    <col min="12039" max="12039" width="28.26953125" style="128" customWidth="1"/>
    <col min="12040" max="12040" width="20.7265625" style="128" bestFit="1" customWidth="1"/>
    <col min="12041" max="12041" width="21.7265625" style="128" customWidth="1"/>
    <col min="12042" max="12042" width="19.54296875" style="128" bestFit="1" customWidth="1"/>
    <col min="12043" max="12043" width="17" style="128" bestFit="1" customWidth="1"/>
    <col min="12044" max="12044" width="22.1796875" style="128" customWidth="1"/>
    <col min="12045" max="12045" width="13.26953125" style="128" customWidth="1"/>
    <col min="12046" max="12288" width="9.1796875" style="128"/>
    <col min="12289" max="12289" width="24.81640625" style="128" customWidth="1"/>
    <col min="12290" max="12290" width="18.7265625" style="128" bestFit="1" customWidth="1"/>
    <col min="12291" max="12291" width="8.1796875" style="128" bestFit="1" customWidth="1"/>
    <col min="12292" max="12293" width="8.26953125" style="128" bestFit="1" customWidth="1"/>
    <col min="12294" max="12294" width="7.26953125" style="128" bestFit="1" customWidth="1"/>
    <col min="12295" max="12295" width="28.26953125" style="128" customWidth="1"/>
    <col min="12296" max="12296" width="20.7265625" style="128" bestFit="1" customWidth="1"/>
    <col min="12297" max="12297" width="21.7265625" style="128" customWidth="1"/>
    <col min="12298" max="12298" width="19.54296875" style="128" bestFit="1" customWidth="1"/>
    <col min="12299" max="12299" width="17" style="128" bestFit="1" customWidth="1"/>
    <col min="12300" max="12300" width="22.1796875" style="128" customWidth="1"/>
    <col min="12301" max="12301" width="13.26953125" style="128" customWidth="1"/>
    <col min="12302" max="12544" width="9.1796875" style="128"/>
    <col min="12545" max="12545" width="24.81640625" style="128" customWidth="1"/>
    <col min="12546" max="12546" width="18.7265625" style="128" bestFit="1" customWidth="1"/>
    <col min="12547" max="12547" width="8.1796875" style="128" bestFit="1" customWidth="1"/>
    <col min="12548" max="12549" width="8.26953125" style="128" bestFit="1" customWidth="1"/>
    <col min="12550" max="12550" width="7.26953125" style="128" bestFit="1" customWidth="1"/>
    <col min="12551" max="12551" width="28.26953125" style="128" customWidth="1"/>
    <col min="12552" max="12552" width="20.7265625" style="128" bestFit="1" customWidth="1"/>
    <col min="12553" max="12553" width="21.7265625" style="128" customWidth="1"/>
    <col min="12554" max="12554" width="19.54296875" style="128" bestFit="1" customWidth="1"/>
    <col min="12555" max="12555" width="17" style="128" bestFit="1" customWidth="1"/>
    <col min="12556" max="12556" width="22.1796875" style="128" customWidth="1"/>
    <col min="12557" max="12557" width="13.26953125" style="128" customWidth="1"/>
    <col min="12558" max="12800" width="9.1796875" style="128"/>
    <col min="12801" max="12801" width="24.81640625" style="128" customWidth="1"/>
    <col min="12802" max="12802" width="18.7265625" style="128" bestFit="1" customWidth="1"/>
    <col min="12803" max="12803" width="8.1796875" style="128" bestFit="1" customWidth="1"/>
    <col min="12804" max="12805" width="8.26953125" style="128" bestFit="1" customWidth="1"/>
    <col min="12806" max="12806" width="7.26953125" style="128" bestFit="1" customWidth="1"/>
    <col min="12807" max="12807" width="28.26953125" style="128" customWidth="1"/>
    <col min="12808" max="12808" width="20.7265625" style="128" bestFit="1" customWidth="1"/>
    <col min="12809" max="12809" width="21.7265625" style="128" customWidth="1"/>
    <col min="12810" max="12810" width="19.54296875" style="128" bestFit="1" customWidth="1"/>
    <col min="12811" max="12811" width="17" style="128" bestFit="1" customWidth="1"/>
    <col min="12812" max="12812" width="22.1796875" style="128" customWidth="1"/>
    <col min="12813" max="12813" width="13.26953125" style="128" customWidth="1"/>
    <col min="12814" max="13056" width="9.1796875" style="128"/>
    <col min="13057" max="13057" width="24.81640625" style="128" customWidth="1"/>
    <col min="13058" max="13058" width="18.7265625" style="128" bestFit="1" customWidth="1"/>
    <col min="13059" max="13059" width="8.1796875" style="128" bestFit="1" customWidth="1"/>
    <col min="13060" max="13061" width="8.26953125" style="128" bestFit="1" customWidth="1"/>
    <col min="13062" max="13062" width="7.26953125" style="128" bestFit="1" customWidth="1"/>
    <col min="13063" max="13063" width="28.26953125" style="128" customWidth="1"/>
    <col min="13064" max="13064" width="20.7265625" style="128" bestFit="1" customWidth="1"/>
    <col min="13065" max="13065" width="21.7265625" style="128" customWidth="1"/>
    <col min="13066" max="13066" width="19.54296875" style="128" bestFit="1" customWidth="1"/>
    <col min="13067" max="13067" width="17" style="128" bestFit="1" customWidth="1"/>
    <col min="13068" max="13068" width="22.1796875" style="128" customWidth="1"/>
    <col min="13069" max="13069" width="13.26953125" style="128" customWidth="1"/>
    <col min="13070" max="13312" width="9.1796875" style="128"/>
    <col min="13313" max="13313" width="24.81640625" style="128" customWidth="1"/>
    <col min="13314" max="13314" width="18.7265625" style="128" bestFit="1" customWidth="1"/>
    <col min="13315" max="13315" width="8.1796875" style="128" bestFit="1" customWidth="1"/>
    <col min="13316" max="13317" width="8.26953125" style="128" bestFit="1" customWidth="1"/>
    <col min="13318" max="13318" width="7.26953125" style="128" bestFit="1" customWidth="1"/>
    <col min="13319" max="13319" width="28.26953125" style="128" customWidth="1"/>
    <col min="13320" max="13320" width="20.7265625" style="128" bestFit="1" customWidth="1"/>
    <col min="13321" max="13321" width="21.7265625" style="128" customWidth="1"/>
    <col min="13322" max="13322" width="19.54296875" style="128" bestFit="1" customWidth="1"/>
    <col min="13323" max="13323" width="17" style="128" bestFit="1" customWidth="1"/>
    <col min="13324" max="13324" width="22.1796875" style="128" customWidth="1"/>
    <col min="13325" max="13325" width="13.26953125" style="128" customWidth="1"/>
    <col min="13326" max="13568" width="9.1796875" style="128"/>
    <col min="13569" max="13569" width="24.81640625" style="128" customWidth="1"/>
    <col min="13570" max="13570" width="18.7265625" style="128" bestFit="1" customWidth="1"/>
    <col min="13571" max="13571" width="8.1796875" style="128" bestFit="1" customWidth="1"/>
    <col min="13572" max="13573" width="8.26953125" style="128" bestFit="1" customWidth="1"/>
    <col min="13574" max="13574" width="7.26953125" style="128" bestFit="1" customWidth="1"/>
    <col min="13575" max="13575" width="28.26953125" style="128" customWidth="1"/>
    <col min="13576" max="13576" width="20.7265625" style="128" bestFit="1" customWidth="1"/>
    <col min="13577" max="13577" width="21.7265625" style="128" customWidth="1"/>
    <col min="13578" max="13578" width="19.54296875" style="128" bestFit="1" customWidth="1"/>
    <col min="13579" max="13579" width="17" style="128" bestFit="1" customWidth="1"/>
    <col min="13580" max="13580" width="22.1796875" style="128" customWidth="1"/>
    <col min="13581" max="13581" width="13.26953125" style="128" customWidth="1"/>
    <col min="13582" max="13824" width="9.1796875" style="128"/>
    <col min="13825" max="13825" width="24.81640625" style="128" customWidth="1"/>
    <col min="13826" max="13826" width="18.7265625" style="128" bestFit="1" customWidth="1"/>
    <col min="13827" max="13827" width="8.1796875" style="128" bestFit="1" customWidth="1"/>
    <col min="13828" max="13829" width="8.26953125" style="128" bestFit="1" customWidth="1"/>
    <col min="13830" max="13830" width="7.26953125" style="128" bestFit="1" customWidth="1"/>
    <col min="13831" max="13831" width="28.26953125" style="128" customWidth="1"/>
    <col min="13832" max="13832" width="20.7265625" style="128" bestFit="1" customWidth="1"/>
    <col min="13833" max="13833" width="21.7265625" style="128" customWidth="1"/>
    <col min="13834" max="13834" width="19.54296875" style="128" bestFit="1" customWidth="1"/>
    <col min="13835" max="13835" width="17" style="128" bestFit="1" customWidth="1"/>
    <col min="13836" max="13836" width="22.1796875" style="128" customWidth="1"/>
    <col min="13837" max="13837" width="13.26953125" style="128" customWidth="1"/>
    <col min="13838" max="14080" width="9.1796875" style="128"/>
    <col min="14081" max="14081" width="24.81640625" style="128" customWidth="1"/>
    <col min="14082" max="14082" width="18.7265625" style="128" bestFit="1" customWidth="1"/>
    <col min="14083" max="14083" width="8.1796875" style="128" bestFit="1" customWidth="1"/>
    <col min="14084" max="14085" width="8.26953125" style="128" bestFit="1" customWidth="1"/>
    <col min="14086" max="14086" width="7.26953125" style="128" bestFit="1" customWidth="1"/>
    <col min="14087" max="14087" width="28.26953125" style="128" customWidth="1"/>
    <col min="14088" max="14088" width="20.7265625" style="128" bestFit="1" customWidth="1"/>
    <col min="14089" max="14089" width="21.7265625" style="128" customWidth="1"/>
    <col min="14090" max="14090" width="19.54296875" style="128" bestFit="1" customWidth="1"/>
    <col min="14091" max="14091" width="17" style="128" bestFit="1" customWidth="1"/>
    <col min="14092" max="14092" width="22.1796875" style="128" customWidth="1"/>
    <col min="14093" max="14093" width="13.26953125" style="128" customWidth="1"/>
    <col min="14094" max="14336" width="9.1796875" style="128"/>
    <col min="14337" max="14337" width="24.81640625" style="128" customWidth="1"/>
    <col min="14338" max="14338" width="18.7265625" style="128" bestFit="1" customWidth="1"/>
    <col min="14339" max="14339" width="8.1796875" style="128" bestFit="1" customWidth="1"/>
    <col min="14340" max="14341" width="8.26953125" style="128" bestFit="1" customWidth="1"/>
    <col min="14342" max="14342" width="7.26953125" style="128" bestFit="1" customWidth="1"/>
    <col min="14343" max="14343" width="28.26953125" style="128" customWidth="1"/>
    <col min="14344" max="14344" width="20.7265625" style="128" bestFit="1" customWidth="1"/>
    <col min="14345" max="14345" width="21.7265625" style="128" customWidth="1"/>
    <col min="14346" max="14346" width="19.54296875" style="128" bestFit="1" customWidth="1"/>
    <col min="14347" max="14347" width="17" style="128" bestFit="1" customWidth="1"/>
    <col min="14348" max="14348" width="22.1796875" style="128" customWidth="1"/>
    <col min="14349" max="14349" width="13.26953125" style="128" customWidth="1"/>
    <col min="14350" max="14592" width="9.1796875" style="128"/>
    <col min="14593" max="14593" width="24.81640625" style="128" customWidth="1"/>
    <col min="14594" max="14594" width="18.7265625" style="128" bestFit="1" customWidth="1"/>
    <col min="14595" max="14595" width="8.1796875" style="128" bestFit="1" customWidth="1"/>
    <col min="14596" max="14597" width="8.26953125" style="128" bestFit="1" customWidth="1"/>
    <col min="14598" max="14598" width="7.26953125" style="128" bestFit="1" customWidth="1"/>
    <col min="14599" max="14599" width="28.26953125" style="128" customWidth="1"/>
    <col min="14600" max="14600" width="20.7265625" style="128" bestFit="1" customWidth="1"/>
    <col min="14601" max="14601" width="21.7265625" style="128" customWidth="1"/>
    <col min="14602" max="14602" width="19.54296875" style="128" bestFit="1" customWidth="1"/>
    <col min="14603" max="14603" width="17" style="128" bestFit="1" customWidth="1"/>
    <col min="14604" max="14604" width="22.1796875" style="128" customWidth="1"/>
    <col min="14605" max="14605" width="13.26953125" style="128" customWidth="1"/>
    <col min="14606" max="14848" width="9.1796875" style="128"/>
    <col min="14849" max="14849" width="24.81640625" style="128" customWidth="1"/>
    <col min="14850" max="14850" width="18.7265625" style="128" bestFit="1" customWidth="1"/>
    <col min="14851" max="14851" width="8.1796875" style="128" bestFit="1" customWidth="1"/>
    <col min="14852" max="14853" width="8.26953125" style="128" bestFit="1" customWidth="1"/>
    <col min="14854" max="14854" width="7.26953125" style="128" bestFit="1" customWidth="1"/>
    <col min="14855" max="14855" width="28.26953125" style="128" customWidth="1"/>
    <col min="14856" max="14856" width="20.7265625" style="128" bestFit="1" customWidth="1"/>
    <col min="14857" max="14857" width="21.7265625" style="128" customWidth="1"/>
    <col min="14858" max="14858" width="19.54296875" style="128" bestFit="1" customWidth="1"/>
    <col min="14859" max="14859" width="17" style="128" bestFit="1" customWidth="1"/>
    <col min="14860" max="14860" width="22.1796875" style="128" customWidth="1"/>
    <col min="14861" max="14861" width="13.26953125" style="128" customWidth="1"/>
    <col min="14862" max="15104" width="9.1796875" style="128"/>
    <col min="15105" max="15105" width="24.81640625" style="128" customWidth="1"/>
    <col min="15106" max="15106" width="18.7265625" style="128" bestFit="1" customWidth="1"/>
    <col min="15107" max="15107" width="8.1796875" style="128" bestFit="1" customWidth="1"/>
    <col min="15108" max="15109" width="8.26953125" style="128" bestFit="1" customWidth="1"/>
    <col min="15110" max="15110" width="7.26953125" style="128" bestFit="1" customWidth="1"/>
    <col min="15111" max="15111" width="28.26953125" style="128" customWidth="1"/>
    <col min="15112" max="15112" width="20.7265625" style="128" bestFit="1" customWidth="1"/>
    <col min="15113" max="15113" width="21.7265625" style="128" customWidth="1"/>
    <col min="15114" max="15114" width="19.54296875" style="128" bestFit="1" customWidth="1"/>
    <col min="15115" max="15115" width="17" style="128" bestFit="1" customWidth="1"/>
    <col min="15116" max="15116" width="22.1796875" style="128" customWidth="1"/>
    <col min="15117" max="15117" width="13.26953125" style="128" customWidth="1"/>
    <col min="15118" max="15360" width="9.1796875" style="128"/>
    <col min="15361" max="15361" width="24.81640625" style="128" customWidth="1"/>
    <col min="15362" max="15362" width="18.7265625" style="128" bestFit="1" customWidth="1"/>
    <col min="15363" max="15363" width="8.1796875" style="128" bestFit="1" customWidth="1"/>
    <col min="15364" max="15365" width="8.26953125" style="128" bestFit="1" customWidth="1"/>
    <col min="15366" max="15366" width="7.26953125" style="128" bestFit="1" customWidth="1"/>
    <col min="15367" max="15367" width="28.26953125" style="128" customWidth="1"/>
    <col min="15368" max="15368" width="20.7265625" style="128" bestFit="1" customWidth="1"/>
    <col min="15369" max="15369" width="21.7265625" style="128" customWidth="1"/>
    <col min="15370" max="15370" width="19.54296875" style="128" bestFit="1" customWidth="1"/>
    <col min="15371" max="15371" width="17" style="128" bestFit="1" customWidth="1"/>
    <col min="15372" max="15372" width="22.1796875" style="128" customWidth="1"/>
    <col min="15373" max="15373" width="13.26953125" style="128" customWidth="1"/>
    <col min="15374" max="15616" width="9.1796875" style="128"/>
    <col min="15617" max="15617" width="24.81640625" style="128" customWidth="1"/>
    <col min="15618" max="15618" width="18.7265625" style="128" bestFit="1" customWidth="1"/>
    <col min="15619" max="15619" width="8.1796875" style="128" bestFit="1" customWidth="1"/>
    <col min="15620" max="15621" width="8.26953125" style="128" bestFit="1" customWidth="1"/>
    <col min="15622" max="15622" width="7.26953125" style="128" bestFit="1" customWidth="1"/>
    <col min="15623" max="15623" width="28.26953125" style="128" customWidth="1"/>
    <col min="15624" max="15624" width="20.7265625" style="128" bestFit="1" customWidth="1"/>
    <col min="15625" max="15625" width="21.7265625" style="128" customWidth="1"/>
    <col min="15626" max="15626" width="19.54296875" style="128" bestFit="1" customWidth="1"/>
    <col min="15627" max="15627" width="17" style="128" bestFit="1" customWidth="1"/>
    <col min="15628" max="15628" width="22.1796875" style="128" customWidth="1"/>
    <col min="15629" max="15629" width="13.26953125" style="128" customWidth="1"/>
    <col min="15630" max="15872" width="9.1796875" style="128"/>
    <col min="15873" max="15873" width="24.81640625" style="128" customWidth="1"/>
    <col min="15874" max="15874" width="18.7265625" style="128" bestFit="1" customWidth="1"/>
    <col min="15875" max="15875" width="8.1796875" style="128" bestFit="1" customWidth="1"/>
    <col min="15876" max="15877" width="8.26953125" style="128" bestFit="1" customWidth="1"/>
    <col min="15878" max="15878" width="7.26953125" style="128" bestFit="1" customWidth="1"/>
    <col min="15879" max="15879" width="28.26953125" style="128" customWidth="1"/>
    <col min="15880" max="15880" width="20.7265625" style="128" bestFit="1" customWidth="1"/>
    <col min="15881" max="15881" width="21.7265625" style="128" customWidth="1"/>
    <col min="15882" max="15882" width="19.54296875" style="128" bestFit="1" customWidth="1"/>
    <col min="15883" max="15883" width="17" style="128" bestFit="1" customWidth="1"/>
    <col min="15884" max="15884" width="22.1796875" style="128" customWidth="1"/>
    <col min="15885" max="15885" width="13.26953125" style="128" customWidth="1"/>
    <col min="15886" max="16128" width="9.1796875" style="128"/>
    <col min="16129" max="16129" width="24.81640625" style="128" customWidth="1"/>
    <col min="16130" max="16130" width="18.7265625" style="128" bestFit="1" customWidth="1"/>
    <col min="16131" max="16131" width="8.1796875" style="128" bestFit="1" customWidth="1"/>
    <col min="16132" max="16133" width="8.26953125" style="128" bestFit="1" customWidth="1"/>
    <col min="16134" max="16134" width="7.26953125" style="128" bestFit="1" customWidth="1"/>
    <col min="16135" max="16135" width="28.26953125" style="128" customWidth="1"/>
    <col min="16136" max="16136" width="20.7265625" style="128" bestFit="1" customWidth="1"/>
    <col min="16137" max="16137" width="21.7265625" style="128" customWidth="1"/>
    <col min="16138" max="16138" width="19.54296875" style="128" bestFit="1" customWidth="1"/>
    <col min="16139" max="16139" width="17" style="128" bestFit="1" customWidth="1"/>
    <col min="16140" max="16140" width="22.1796875" style="128" customWidth="1"/>
    <col min="16141" max="16141" width="13.26953125" style="128" customWidth="1"/>
    <col min="16142" max="16384" width="9.1796875" style="128"/>
  </cols>
  <sheetData>
    <row r="1" spans="1:14" s="334" customFormat="1" ht="57.75" customHeight="1">
      <c r="A1" s="330" t="s">
        <v>0</v>
      </c>
      <c r="B1" s="331" t="s">
        <v>1</v>
      </c>
      <c r="C1" s="331" t="s">
        <v>2</v>
      </c>
      <c r="D1" s="331" t="s">
        <v>3</v>
      </c>
      <c r="E1" s="331" t="s">
        <v>4</v>
      </c>
      <c r="F1" s="331" t="s">
        <v>5</v>
      </c>
      <c r="G1" s="331" t="s">
        <v>6</v>
      </c>
      <c r="H1" s="331" t="s">
        <v>505</v>
      </c>
      <c r="I1" s="331" t="s">
        <v>506</v>
      </c>
      <c r="J1" s="331" t="s">
        <v>286</v>
      </c>
      <c r="K1" s="331" t="s">
        <v>10</v>
      </c>
      <c r="L1" s="332" t="s">
        <v>507</v>
      </c>
      <c r="M1" s="384" t="s">
        <v>12</v>
      </c>
      <c r="N1" s="4" t="s">
        <v>508</v>
      </c>
    </row>
    <row r="2" spans="1:14" ht="10.5">
      <c r="A2" s="335" t="s">
        <v>1359</v>
      </c>
      <c r="B2" s="336" t="s">
        <v>14</v>
      </c>
      <c r="C2" s="336"/>
      <c r="D2" s="336">
        <v>1</v>
      </c>
      <c r="E2" s="336">
        <f>E8</f>
        <v>50</v>
      </c>
      <c r="F2" s="336">
        <f>SUM(F3:F8)</f>
        <v>50</v>
      </c>
      <c r="G2" s="337"/>
      <c r="H2" s="337"/>
      <c r="I2" s="337"/>
      <c r="J2" s="336"/>
      <c r="K2" s="336"/>
      <c r="L2" s="338"/>
      <c r="M2" s="363" t="s">
        <v>511</v>
      </c>
      <c r="N2" s="364"/>
    </row>
    <row r="3" spans="1:14" ht="21">
      <c r="A3" s="385" t="s">
        <v>17</v>
      </c>
      <c r="B3" s="385" t="s">
        <v>18</v>
      </c>
      <c r="C3" s="344">
        <v>1</v>
      </c>
      <c r="D3" s="344">
        <v>1</v>
      </c>
      <c r="E3" s="344">
        <f t="shared" ref="E3:E8" si="0">D3+F3-1</f>
        <v>1</v>
      </c>
      <c r="F3" s="344">
        <v>1</v>
      </c>
      <c r="G3" s="125" t="s">
        <v>19</v>
      </c>
      <c r="H3" s="125"/>
      <c r="I3" s="125"/>
      <c r="J3" s="108"/>
      <c r="K3" s="108"/>
      <c r="L3" s="340"/>
      <c r="M3" s="363" t="s">
        <v>511</v>
      </c>
      <c r="N3" s="364"/>
    </row>
    <row r="4" spans="1:14" s="23" customFormat="1">
      <c r="A4" s="18" t="s">
        <v>513</v>
      </c>
      <c r="B4" s="18" t="s">
        <v>514</v>
      </c>
      <c r="C4" s="14">
        <v>2</v>
      </c>
      <c r="D4" s="19">
        <f>E3+1</f>
        <v>2</v>
      </c>
      <c r="E4" s="14">
        <f t="shared" si="0"/>
        <v>16</v>
      </c>
      <c r="F4" s="19">
        <v>15</v>
      </c>
      <c r="G4" s="18" t="s">
        <v>515</v>
      </c>
      <c r="H4" s="20"/>
      <c r="I4" s="20"/>
      <c r="J4" s="18"/>
      <c r="K4" s="19"/>
      <c r="L4" s="19"/>
      <c r="M4" s="21"/>
      <c r="N4" s="22"/>
    </row>
    <row r="5" spans="1:14" s="23" customFormat="1">
      <c r="A5" s="18" t="s">
        <v>516</v>
      </c>
      <c r="B5" s="18" t="s">
        <v>517</v>
      </c>
      <c r="C5" s="108">
        <v>3</v>
      </c>
      <c r="D5" s="19">
        <f>E4+1</f>
        <v>17</v>
      </c>
      <c r="E5" s="14">
        <f t="shared" si="0"/>
        <v>26</v>
      </c>
      <c r="F5" s="19">
        <v>10</v>
      </c>
      <c r="G5" s="18" t="s">
        <v>518</v>
      </c>
      <c r="H5" s="20"/>
      <c r="I5" s="20"/>
      <c r="J5" s="18"/>
      <c r="K5" s="19"/>
      <c r="L5" s="19"/>
      <c r="M5" s="21"/>
      <c r="N5" s="22"/>
    </row>
    <row r="6" spans="1:14" s="23" customFormat="1" ht="10.5">
      <c r="A6" s="18" t="s">
        <v>215</v>
      </c>
      <c r="B6" s="18" t="s">
        <v>216</v>
      </c>
      <c r="C6" s="14">
        <v>4</v>
      </c>
      <c r="D6" s="19">
        <f>E5+1</f>
        <v>27</v>
      </c>
      <c r="E6" s="14">
        <f t="shared" si="0"/>
        <v>34</v>
      </c>
      <c r="F6" s="19">
        <v>8</v>
      </c>
      <c r="G6" s="18" t="s">
        <v>519</v>
      </c>
      <c r="H6" s="24"/>
      <c r="I6" s="24"/>
      <c r="J6" s="18"/>
      <c r="K6" s="19"/>
      <c r="L6" s="19"/>
      <c r="M6" s="21"/>
      <c r="N6" s="22"/>
    </row>
    <row r="7" spans="1:14" ht="10.5">
      <c r="A7" s="18" t="s">
        <v>520</v>
      </c>
      <c r="B7" s="18" t="s">
        <v>514</v>
      </c>
      <c r="C7" s="108">
        <v>5</v>
      </c>
      <c r="D7" s="19">
        <f>E6+1</f>
        <v>35</v>
      </c>
      <c r="E7" s="14">
        <f t="shared" si="0"/>
        <v>49</v>
      </c>
      <c r="F7" s="108">
        <v>15</v>
      </c>
      <c r="G7" s="341" t="s">
        <v>1360</v>
      </c>
      <c r="H7" s="341"/>
      <c r="I7" s="341"/>
      <c r="J7" s="108"/>
      <c r="K7" s="108"/>
      <c r="L7" s="340"/>
      <c r="M7" s="363" t="s">
        <v>511</v>
      </c>
      <c r="N7" s="364"/>
    </row>
    <row r="8" spans="1:14" s="23" customFormat="1">
      <c r="A8" s="18" t="s">
        <v>522</v>
      </c>
      <c r="B8" s="18" t="s">
        <v>18</v>
      </c>
      <c r="C8" s="14">
        <v>6</v>
      </c>
      <c r="D8" s="19">
        <f>E7+1</f>
        <v>50</v>
      </c>
      <c r="E8" s="14">
        <f t="shared" si="0"/>
        <v>50</v>
      </c>
      <c r="F8" s="19">
        <v>1</v>
      </c>
      <c r="G8" s="18" t="s">
        <v>523</v>
      </c>
      <c r="H8" s="20"/>
      <c r="I8" s="20"/>
      <c r="J8" s="18"/>
      <c r="K8" s="19"/>
      <c r="L8" s="19"/>
      <c r="M8" s="21"/>
      <c r="N8" s="22"/>
    </row>
    <row r="9" spans="1:14" ht="10.5">
      <c r="A9" s="335" t="s">
        <v>1361</v>
      </c>
      <c r="B9" s="336" t="s">
        <v>14</v>
      </c>
      <c r="C9" s="386"/>
      <c r="D9" s="336">
        <v>1</v>
      </c>
      <c r="E9" s="336">
        <f>E47</f>
        <v>345</v>
      </c>
      <c r="F9" s="336">
        <f>SUM(F10:F47)</f>
        <v>345</v>
      </c>
      <c r="G9" s="342"/>
      <c r="H9" s="342"/>
      <c r="I9" s="342"/>
      <c r="J9" s="336"/>
      <c r="K9" s="336"/>
      <c r="L9" s="338"/>
      <c r="M9" s="363" t="s">
        <v>511</v>
      </c>
      <c r="N9" s="364"/>
    </row>
    <row r="10" spans="1:14" ht="21">
      <c r="A10" s="385" t="s">
        <v>17</v>
      </c>
      <c r="B10" s="385" t="s">
        <v>18</v>
      </c>
      <c r="C10" s="344">
        <v>7</v>
      </c>
      <c r="D10" s="344">
        <v>1</v>
      </c>
      <c r="E10" s="344">
        <f>D10+F10-1</f>
        <v>1</v>
      </c>
      <c r="F10" s="344">
        <v>1</v>
      </c>
      <c r="G10" s="125" t="s">
        <v>38</v>
      </c>
      <c r="H10" s="125" t="s">
        <v>526</v>
      </c>
      <c r="I10" s="125"/>
      <c r="J10" s="344"/>
      <c r="K10" s="344"/>
      <c r="L10" s="345"/>
      <c r="M10" s="363" t="s">
        <v>511</v>
      </c>
      <c r="N10" s="364"/>
    </row>
    <row r="11" spans="1:14" ht="11.5">
      <c r="A11" s="643" t="s">
        <v>1362</v>
      </c>
      <c r="B11" s="346" t="s">
        <v>691</v>
      </c>
      <c r="C11" s="344">
        <v>8</v>
      </c>
      <c r="D11" s="344">
        <f>E10+1</f>
        <v>2</v>
      </c>
      <c r="E11" s="344">
        <f t="shared" ref="E11:E47" si="1">D11+F11-1</f>
        <v>15</v>
      </c>
      <c r="F11" s="344">
        <v>14</v>
      </c>
      <c r="G11" s="348" t="s">
        <v>1157</v>
      </c>
      <c r="H11" s="125" t="s">
        <v>526</v>
      </c>
      <c r="I11" s="125" t="s">
        <v>1363</v>
      </c>
      <c r="J11" s="349" t="s">
        <v>1159</v>
      </c>
      <c r="K11" s="125" t="s">
        <v>1177</v>
      </c>
      <c r="L11" s="350" t="s">
        <v>1364</v>
      </c>
      <c r="M11" s="363" t="s">
        <v>511</v>
      </c>
      <c r="N11" s="364" t="s">
        <v>562</v>
      </c>
    </row>
    <row r="12" spans="1:14" ht="11.5">
      <c r="A12" s="129" t="s">
        <v>1365</v>
      </c>
      <c r="B12" s="129" t="s">
        <v>626</v>
      </c>
      <c r="C12" s="108">
        <v>9</v>
      </c>
      <c r="D12" s="108">
        <f t="shared" ref="D12:D47" si="2">E11+1</f>
        <v>16</v>
      </c>
      <c r="E12" s="108">
        <f t="shared" si="1"/>
        <v>18</v>
      </c>
      <c r="F12" s="108">
        <v>3</v>
      </c>
      <c r="G12" s="125" t="s">
        <v>1366</v>
      </c>
      <c r="H12" s="125" t="s">
        <v>526</v>
      </c>
      <c r="I12" s="125" t="s">
        <v>1363</v>
      </c>
      <c r="J12" s="351" t="s">
        <v>1164</v>
      </c>
      <c r="K12" s="125" t="s">
        <v>1177</v>
      </c>
      <c r="L12" s="126" t="s">
        <v>1367</v>
      </c>
      <c r="M12" s="363" t="s">
        <v>511</v>
      </c>
      <c r="N12" s="364" t="s">
        <v>562</v>
      </c>
    </row>
    <row r="13" spans="1:14" ht="11.5">
      <c r="A13" s="534" t="s">
        <v>1368</v>
      </c>
      <c r="B13" s="129" t="s">
        <v>536</v>
      </c>
      <c r="C13" s="108">
        <v>10</v>
      </c>
      <c r="D13" s="108">
        <f t="shared" si="2"/>
        <v>19</v>
      </c>
      <c r="E13" s="108">
        <f t="shared" si="1"/>
        <v>29</v>
      </c>
      <c r="F13" s="108">
        <v>11</v>
      </c>
      <c r="G13" s="125"/>
      <c r="H13" s="125" t="s">
        <v>526</v>
      </c>
      <c r="I13" s="125" t="s">
        <v>1363</v>
      </c>
      <c r="J13" s="351" t="s">
        <v>1167</v>
      </c>
      <c r="K13" s="125" t="s">
        <v>1177</v>
      </c>
      <c r="L13" s="126" t="s">
        <v>1369</v>
      </c>
      <c r="M13" s="363" t="s">
        <v>511</v>
      </c>
      <c r="N13" s="364" t="s">
        <v>562</v>
      </c>
    </row>
    <row r="14" spans="1:14" s="354" customFormat="1" ht="12.5">
      <c r="A14" s="119" t="s">
        <v>1370</v>
      </c>
      <c r="B14" s="120" t="s">
        <v>540</v>
      </c>
      <c r="C14" s="121">
        <v>11</v>
      </c>
      <c r="D14" s="121">
        <f t="shared" si="2"/>
        <v>30</v>
      </c>
      <c r="E14" s="121">
        <f t="shared" si="1"/>
        <v>59</v>
      </c>
      <c r="F14" s="121">
        <v>30</v>
      </c>
      <c r="G14" s="123"/>
      <c r="H14" s="123" t="s">
        <v>526</v>
      </c>
      <c r="I14" s="123" t="s">
        <v>844</v>
      </c>
      <c r="J14" s="124" t="s">
        <v>543</v>
      </c>
      <c r="K14" s="123" t="s">
        <v>544</v>
      </c>
      <c r="L14" s="352" t="s">
        <v>545</v>
      </c>
      <c r="M14" s="353" t="s">
        <v>511</v>
      </c>
    </row>
    <row r="15" spans="1:14" ht="11.5">
      <c r="A15" s="129" t="s">
        <v>1371</v>
      </c>
      <c r="B15" s="129" t="s">
        <v>551</v>
      </c>
      <c r="C15" s="108">
        <v>12</v>
      </c>
      <c r="D15" s="108">
        <f t="shared" si="2"/>
        <v>60</v>
      </c>
      <c r="E15" s="108">
        <f t="shared" si="1"/>
        <v>62</v>
      </c>
      <c r="F15" s="108">
        <v>3</v>
      </c>
      <c r="G15" s="348" t="s">
        <v>552</v>
      </c>
      <c r="H15" s="125" t="s">
        <v>526</v>
      </c>
      <c r="I15" s="125" t="s">
        <v>1176</v>
      </c>
      <c r="J15" s="351" t="s">
        <v>480</v>
      </c>
      <c r="K15" s="125" t="s">
        <v>1177</v>
      </c>
      <c r="L15" s="126" t="s">
        <v>1372</v>
      </c>
      <c r="M15" s="363" t="s">
        <v>511</v>
      </c>
      <c r="N15" s="364" t="s">
        <v>534</v>
      </c>
    </row>
    <row r="16" spans="1:14" ht="11.5">
      <c r="A16" s="129" t="s">
        <v>1373</v>
      </c>
      <c r="B16" s="129" t="s">
        <v>582</v>
      </c>
      <c r="C16" s="108">
        <v>14</v>
      </c>
      <c r="D16" s="108">
        <f t="shared" si="2"/>
        <v>63</v>
      </c>
      <c r="E16" s="108">
        <f t="shared" si="1"/>
        <v>72</v>
      </c>
      <c r="F16" s="108">
        <v>10</v>
      </c>
      <c r="G16" s="355"/>
      <c r="H16" s="125" t="s">
        <v>526</v>
      </c>
      <c r="I16" s="125" t="s">
        <v>1363</v>
      </c>
      <c r="J16" s="351" t="s">
        <v>1180</v>
      </c>
      <c r="K16" s="125" t="s">
        <v>1177</v>
      </c>
      <c r="L16" s="350" t="s">
        <v>1374</v>
      </c>
      <c r="M16" s="363" t="s">
        <v>511</v>
      </c>
      <c r="N16" s="364" t="s">
        <v>534</v>
      </c>
    </row>
    <row r="17" spans="1:14" ht="11.5">
      <c r="A17" s="534" t="s">
        <v>1375</v>
      </c>
      <c r="B17" s="129" t="s">
        <v>1183</v>
      </c>
      <c r="C17" s="108">
        <v>15</v>
      </c>
      <c r="D17" s="108">
        <f t="shared" si="2"/>
        <v>73</v>
      </c>
      <c r="E17" s="108">
        <f t="shared" si="1"/>
        <v>87</v>
      </c>
      <c r="F17" s="108">
        <v>15</v>
      </c>
      <c r="G17" s="348"/>
      <c r="H17" s="125" t="s">
        <v>526</v>
      </c>
      <c r="I17" s="125" t="s">
        <v>1363</v>
      </c>
      <c r="J17" s="351" t="s">
        <v>1184</v>
      </c>
      <c r="K17" s="125" t="s">
        <v>1177</v>
      </c>
      <c r="L17" s="350" t="s">
        <v>1376</v>
      </c>
      <c r="M17" s="363" t="s">
        <v>511</v>
      </c>
      <c r="N17" s="364" t="s">
        <v>562</v>
      </c>
    </row>
    <row r="18" spans="1:14" ht="11.5">
      <c r="A18" s="129" t="s">
        <v>1377</v>
      </c>
      <c r="B18" s="129" t="s">
        <v>1183</v>
      </c>
      <c r="C18" s="108">
        <v>16</v>
      </c>
      <c r="D18" s="108">
        <f t="shared" si="2"/>
        <v>88</v>
      </c>
      <c r="E18" s="108">
        <f t="shared" si="1"/>
        <v>102</v>
      </c>
      <c r="F18" s="108">
        <v>15</v>
      </c>
      <c r="G18" s="348"/>
      <c r="H18" s="125" t="s">
        <v>526</v>
      </c>
      <c r="I18" s="125" t="s">
        <v>1363</v>
      </c>
      <c r="J18" s="351" t="s">
        <v>1187</v>
      </c>
      <c r="K18" s="125" t="s">
        <v>1177</v>
      </c>
      <c r="L18" s="350" t="s">
        <v>1378</v>
      </c>
      <c r="M18" s="363" t="s">
        <v>511</v>
      </c>
      <c r="N18" s="364" t="s">
        <v>562</v>
      </c>
    </row>
    <row r="19" spans="1:14" ht="11.5">
      <c r="A19" s="534" t="s">
        <v>1379</v>
      </c>
      <c r="B19" s="129" t="s">
        <v>1183</v>
      </c>
      <c r="C19" s="108">
        <v>17</v>
      </c>
      <c r="D19" s="108">
        <f t="shared" si="2"/>
        <v>103</v>
      </c>
      <c r="E19" s="108">
        <f t="shared" si="1"/>
        <v>117</v>
      </c>
      <c r="F19" s="108">
        <v>15</v>
      </c>
      <c r="G19" s="355" t="s">
        <v>1190</v>
      </c>
      <c r="H19" s="125" t="s">
        <v>526</v>
      </c>
      <c r="I19" s="125" t="s">
        <v>1363</v>
      </c>
      <c r="J19" s="351" t="s">
        <v>1191</v>
      </c>
      <c r="K19" s="125" t="s">
        <v>1177</v>
      </c>
      <c r="L19" s="350" t="s">
        <v>1380</v>
      </c>
      <c r="M19" s="363" t="s">
        <v>511</v>
      </c>
      <c r="N19" s="364" t="s">
        <v>562</v>
      </c>
    </row>
    <row r="20" spans="1:14" ht="11.5">
      <c r="A20" s="534" t="s">
        <v>1381</v>
      </c>
      <c r="B20" s="129" t="s">
        <v>1183</v>
      </c>
      <c r="C20" s="108">
        <v>18</v>
      </c>
      <c r="D20" s="108">
        <f t="shared" si="2"/>
        <v>118</v>
      </c>
      <c r="E20" s="108">
        <f t="shared" si="1"/>
        <v>132</v>
      </c>
      <c r="F20" s="108">
        <v>15</v>
      </c>
      <c r="G20" s="355" t="s">
        <v>1382</v>
      </c>
      <c r="H20" s="125" t="s">
        <v>526</v>
      </c>
      <c r="I20" s="125" t="s">
        <v>1383</v>
      </c>
      <c r="J20" s="351" t="s">
        <v>1384</v>
      </c>
      <c r="K20" s="125" t="s">
        <v>1385</v>
      </c>
      <c r="L20" s="350" t="s">
        <v>1386</v>
      </c>
      <c r="M20" s="363" t="s">
        <v>511</v>
      </c>
      <c r="N20" s="364"/>
    </row>
    <row r="21" spans="1:14" ht="11.5">
      <c r="A21" s="534" t="s">
        <v>1387</v>
      </c>
      <c r="B21" s="129" t="s">
        <v>216</v>
      </c>
      <c r="C21" s="108">
        <v>19</v>
      </c>
      <c r="D21" s="108">
        <f t="shared" si="2"/>
        <v>133</v>
      </c>
      <c r="E21" s="108">
        <f t="shared" si="1"/>
        <v>140</v>
      </c>
      <c r="F21" s="108">
        <v>8</v>
      </c>
      <c r="G21" s="355" t="s">
        <v>519</v>
      </c>
      <c r="H21" s="125" t="s">
        <v>526</v>
      </c>
      <c r="I21" s="125" t="s">
        <v>1363</v>
      </c>
      <c r="J21" s="351" t="s">
        <v>1195</v>
      </c>
      <c r="K21" s="125" t="s">
        <v>1177</v>
      </c>
      <c r="L21" s="350" t="s">
        <v>1388</v>
      </c>
      <c r="M21" s="363" t="s">
        <v>511</v>
      </c>
      <c r="N21" s="364" t="s">
        <v>562</v>
      </c>
    </row>
    <row r="22" spans="1:14" ht="11.5">
      <c r="A22" s="534" t="s">
        <v>1389</v>
      </c>
      <c r="B22" s="129" t="s">
        <v>547</v>
      </c>
      <c r="C22" s="108">
        <v>20</v>
      </c>
      <c r="D22" s="108">
        <f t="shared" si="2"/>
        <v>141</v>
      </c>
      <c r="E22" s="108">
        <f t="shared" si="1"/>
        <v>142</v>
      </c>
      <c r="F22" s="108">
        <v>2</v>
      </c>
      <c r="G22" s="355" t="s">
        <v>1225</v>
      </c>
      <c r="H22" s="125" t="s">
        <v>526</v>
      </c>
      <c r="I22" s="125" t="s">
        <v>1383</v>
      </c>
      <c r="J22" s="351" t="s">
        <v>1226</v>
      </c>
      <c r="K22" s="125" t="s">
        <v>1177</v>
      </c>
      <c r="L22" s="350" t="s">
        <v>1390</v>
      </c>
      <c r="M22" s="363" t="s">
        <v>511</v>
      </c>
      <c r="N22" s="364" t="s">
        <v>562</v>
      </c>
    </row>
    <row r="23" spans="1:14" ht="11.5">
      <c r="A23" s="129" t="s">
        <v>1391</v>
      </c>
      <c r="B23" s="129" t="s">
        <v>216</v>
      </c>
      <c r="C23" s="108">
        <v>21</v>
      </c>
      <c r="D23" s="108">
        <f t="shared" si="2"/>
        <v>143</v>
      </c>
      <c r="E23" s="108">
        <f t="shared" si="1"/>
        <v>150</v>
      </c>
      <c r="F23" s="108">
        <v>8</v>
      </c>
      <c r="G23" s="348"/>
      <c r="H23" s="125" t="s">
        <v>526</v>
      </c>
      <c r="I23" s="125" t="s">
        <v>1392</v>
      </c>
      <c r="J23" s="351" t="s">
        <v>1198</v>
      </c>
      <c r="K23" s="125" t="s">
        <v>1177</v>
      </c>
      <c r="L23" s="350" t="s">
        <v>1393</v>
      </c>
      <c r="M23" s="363" t="s">
        <v>511</v>
      </c>
      <c r="N23" s="364" t="s">
        <v>534</v>
      </c>
    </row>
    <row r="24" spans="1:14" ht="11.5">
      <c r="A24" s="129" t="s">
        <v>1394</v>
      </c>
      <c r="B24" s="129" t="s">
        <v>1201</v>
      </c>
      <c r="C24" s="108">
        <v>22</v>
      </c>
      <c r="D24" s="108">
        <f t="shared" si="2"/>
        <v>151</v>
      </c>
      <c r="E24" s="108">
        <f t="shared" si="1"/>
        <v>151</v>
      </c>
      <c r="F24" s="108">
        <v>1</v>
      </c>
      <c r="G24" s="348" t="s">
        <v>1395</v>
      </c>
      <c r="H24" s="125" t="s">
        <v>526</v>
      </c>
      <c r="I24" s="125" t="s">
        <v>1392</v>
      </c>
      <c r="J24" s="351" t="s">
        <v>1200</v>
      </c>
      <c r="K24" s="125" t="s">
        <v>1177</v>
      </c>
      <c r="L24" s="350" t="s">
        <v>1393</v>
      </c>
      <c r="M24" s="363" t="s">
        <v>511</v>
      </c>
      <c r="N24" s="364" t="s">
        <v>534</v>
      </c>
    </row>
    <row r="25" spans="1:14" ht="11.5">
      <c r="A25" s="534" t="s">
        <v>1396</v>
      </c>
      <c r="B25" s="129" t="s">
        <v>517</v>
      </c>
      <c r="C25" s="108">
        <v>23</v>
      </c>
      <c r="D25" s="108">
        <f t="shared" si="2"/>
        <v>152</v>
      </c>
      <c r="E25" s="108">
        <f t="shared" si="1"/>
        <v>161</v>
      </c>
      <c r="F25" s="108">
        <v>10</v>
      </c>
      <c r="G25" s="355"/>
      <c r="H25" s="125" t="s">
        <v>526</v>
      </c>
      <c r="I25" s="125" t="s">
        <v>1383</v>
      </c>
      <c r="J25" s="351" t="s">
        <v>1173</v>
      </c>
      <c r="K25" s="125" t="s">
        <v>1177</v>
      </c>
      <c r="L25" s="350" t="s">
        <v>1397</v>
      </c>
      <c r="M25" s="363" t="s">
        <v>511</v>
      </c>
      <c r="N25" s="364" t="s">
        <v>562</v>
      </c>
    </row>
    <row r="26" spans="1:14" ht="11.5">
      <c r="A26" s="534" t="s">
        <v>1398</v>
      </c>
      <c r="B26" s="129" t="s">
        <v>216</v>
      </c>
      <c r="C26" s="108">
        <v>24</v>
      </c>
      <c r="D26" s="108">
        <f t="shared" si="2"/>
        <v>162</v>
      </c>
      <c r="E26" s="108">
        <f t="shared" si="1"/>
        <v>169</v>
      </c>
      <c r="F26" s="108">
        <v>8</v>
      </c>
      <c r="G26" s="355" t="s">
        <v>519</v>
      </c>
      <c r="H26" s="125" t="s">
        <v>526</v>
      </c>
      <c r="I26" s="125" t="s">
        <v>1392</v>
      </c>
      <c r="J26" s="351" t="s">
        <v>1210</v>
      </c>
      <c r="K26" s="125" t="s">
        <v>1177</v>
      </c>
      <c r="L26" s="350" t="s">
        <v>1399</v>
      </c>
      <c r="M26" s="363" t="s">
        <v>511</v>
      </c>
      <c r="N26" s="364" t="s">
        <v>562</v>
      </c>
    </row>
    <row r="27" spans="1:14" ht="11.5">
      <c r="A27" s="129" t="s">
        <v>1400</v>
      </c>
      <c r="B27" s="129" t="s">
        <v>216</v>
      </c>
      <c r="C27" s="108">
        <v>25</v>
      </c>
      <c r="D27" s="108">
        <f t="shared" si="2"/>
        <v>170</v>
      </c>
      <c r="E27" s="108">
        <f t="shared" si="1"/>
        <v>177</v>
      </c>
      <c r="F27" s="108">
        <v>8</v>
      </c>
      <c r="G27" s="355" t="s">
        <v>519</v>
      </c>
      <c r="H27" s="125" t="s">
        <v>526</v>
      </c>
      <c r="I27" s="125" t="s">
        <v>1392</v>
      </c>
      <c r="J27" s="351" t="s">
        <v>1215</v>
      </c>
      <c r="K27" s="125" t="s">
        <v>1177</v>
      </c>
      <c r="L27" s="350" t="s">
        <v>1401</v>
      </c>
      <c r="M27" s="363" t="s">
        <v>511</v>
      </c>
      <c r="N27" s="364" t="s">
        <v>562</v>
      </c>
    </row>
    <row r="28" spans="1:14" ht="11.5">
      <c r="A28" s="129" t="s">
        <v>1402</v>
      </c>
      <c r="B28" s="129" t="s">
        <v>1218</v>
      </c>
      <c r="C28" s="108">
        <v>26</v>
      </c>
      <c r="D28" s="108">
        <f t="shared" si="2"/>
        <v>178</v>
      </c>
      <c r="E28" s="108">
        <f t="shared" si="1"/>
        <v>189</v>
      </c>
      <c r="F28" s="108">
        <v>12</v>
      </c>
      <c r="G28" s="355"/>
      <c r="H28" s="125" t="s">
        <v>526</v>
      </c>
      <c r="I28" s="125" t="s">
        <v>1392</v>
      </c>
      <c r="J28" s="351" t="s">
        <v>1219</v>
      </c>
      <c r="K28" s="125" t="s">
        <v>1177</v>
      </c>
      <c r="L28" s="350" t="s">
        <v>1403</v>
      </c>
      <c r="M28" s="363" t="s">
        <v>511</v>
      </c>
      <c r="N28" s="364" t="s">
        <v>562</v>
      </c>
    </row>
    <row r="29" spans="1:14" ht="11.5">
      <c r="A29" s="129" t="s">
        <v>1404</v>
      </c>
      <c r="B29" s="129" t="s">
        <v>1183</v>
      </c>
      <c r="C29" s="108">
        <v>27</v>
      </c>
      <c r="D29" s="108">
        <f t="shared" si="2"/>
        <v>190</v>
      </c>
      <c r="E29" s="108">
        <f t="shared" si="1"/>
        <v>204</v>
      </c>
      <c r="F29" s="108">
        <v>15</v>
      </c>
      <c r="G29" s="355" t="s">
        <v>1222</v>
      </c>
      <c r="H29" s="125" t="s">
        <v>526</v>
      </c>
      <c r="I29" s="125"/>
      <c r="J29" s="351"/>
      <c r="K29" s="125" t="s">
        <v>1177</v>
      </c>
      <c r="L29" s="350" t="s">
        <v>1405</v>
      </c>
      <c r="M29" s="363" t="s">
        <v>511</v>
      </c>
      <c r="N29" s="364" t="s">
        <v>562</v>
      </c>
    </row>
    <row r="30" spans="1:14" ht="11.5">
      <c r="A30" s="129" t="s">
        <v>1406</v>
      </c>
      <c r="B30" s="129" t="s">
        <v>691</v>
      </c>
      <c r="C30" s="108">
        <v>28</v>
      </c>
      <c r="D30" s="108">
        <f t="shared" si="2"/>
        <v>205</v>
      </c>
      <c r="E30" s="108">
        <f t="shared" si="1"/>
        <v>218</v>
      </c>
      <c r="F30" s="108">
        <v>14</v>
      </c>
      <c r="G30" s="355"/>
      <c r="H30" s="125" t="s">
        <v>526</v>
      </c>
      <c r="I30" s="125" t="s">
        <v>1383</v>
      </c>
      <c r="J30" s="351" t="s">
        <v>1407</v>
      </c>
      <c r="K30" s="125" t="s">
        <v>1177</v>
      </c>
      <c r="L30" s="350" t="s">
        <v>1408</v>
      </c>
      <c r="M30" s="363" t="s">
        <v>511</v>
      </c>
      <c r="N30" s="364" t="s">
        <v>534</v>
      </c>
    </row>
    <row r="31" spans="1:14" ht="11.5">
      <c r="A31" s="534" t="s">
        <v>1409</v>
      </c>
      <c r="B31" s="129" t="s">
        <v>696</v>
      </c>
      <c r="C31" s="108">
        <v>29</v>
      </c>
      <c r="D31" s="108">
        <f t="shared" si="2"/>
        <v>219</v>
      </c>
      <c r="E31" s="108">
        <f t="shared" si="1"/>
        <v>219</v>
      </c>
      <c r="F31" s="108">
        <v>1</v>
      </c>
      <c r="G31" s="355" t="s">
        <v>1410</v>
      </c>
      <c r="H31" s="125" t="s">
        <v>526</v>
      </c>
      <c r="I31" s="125" t="s">
        <v>1383</v>
      </c>
      <c r="J31" s="351" t="s">
        <v>1411</v>
      </c>
      <c r="K31" s="125" t="s">
        <v>1412</v>
      </c>
      <c r="L31" s="350" t="s">
        <v>1413</v>
      </c>
      <c r="M31" s="363" t="s">
        <v>511</v>
      </c>
      <c r="N31" s="364" t="s">
        <v>534</v>
      </c>
    </row>
    <row r="32" spans="1:14" ht="11.5">
      <c r="A32" s="534" t="s">
        <v>1414</v>
      </c>
      <c r="B32" s="129" t="s">
        <v>213</v>
      </c>
      <c r="C32" s="108">
        <v>30</v>
      </c>
      <c r="D32" s="108">
        <f t="shared" si="2"/>
        <v>220</v>
      </c>
      <c r="E32" s="108">
        <f t="shared" si="1"/>
        <v>227</v>
      </c>
      <c r="F32" s="108">
        <v>8</v>
      </c>
      <c r="G32" s="355"/>
      <c r="H32" s="125" t="s">
        <v>526</v>
      </c>
      <c r="I32" s="125" t="s">
        <v>1311</v>
      </c>
      <c r="J32" s="351" t="s">
        <v>1312</v>
      </c>
      <c r="K32" s="125" t="s">
        <v>1177</v>
      </c>
      <c r="L32" s="350" t="s">
        <v>1415</v>
      </c>
      <c r="M32" s="363" t="s">
        <v>511</v>
      </c>
      <c r="N32" s="364" t="s">
        <v>534</v>
      </c>
    </row>
    <row r="33" spans="1:14" ht="11.5">
      <c r="A33" s="534" t="s">
        <v>1416</v>
      </c>
      <c r="B33" s="129" t="s">
        <v>1233</v>
      </c>
      <c r="C33" s="108">
        <v>31</v>
      </c>
      <c r="D33" s="108">
        <f t="shared" si="2"/>
        <v>228</v>
      </c>
      <c r="E33" s="108">
        <f t="shared" si="1"/>
        <v>236</v>
      </c>
      <c r="F33" s="108">
        <v>9</v>
      </c>
      <c r="G33" s="355"/>
      <c r="H33" s="125" t="s">
        <v>526</v>
      </c>
      <c r="I33" s="125" t="s">
        <v>1311</v>
      </c>
      <c r="J33" s="351" t="s">
        <v>1316</v>
      </c>
      <c r="K33" s="125" t="s">
        <v>1177</v>
      </c>
      <c r="L33" s="350" t="s">
        <v>1417</v>
      </c>
      <c r="M33" s="363" t="s">
        <v>511</v>
      </c>
      <c r="N33" s="364" t="s">
        <v>534</v>
      </c>
    </row>
    <row r="34" spans="1:14" ht="11.5">
      <c r="A34" s="534" t="s">
        <v>1418</v>
      </c>
      <c r="B34" s="129" t="s">
        <v>216</v>
      </c>
      <c r="C34" s="108">
        <v>32</v>
      </c>
      <c r="D34" s="108">
        <f t="shared" si="2"/>
        <v>237</v>
      </c>
      <c r="E34" s="108">
        <f t="shared" si="1"/>
        <v>244</v>
      </c>
      <c r="F34" s="108">
        <v>8</v>
      </c>
      <c r="G34" s="355" t="s">
        <v>1419</v>
      </c>
      <c r="H34" s="125" t="s">
        <v>526</v>
      </c>
      <c r="I34" s="125" t="s">
        <v>1383</v>
      </c>
      <c r="J34" s="351" t="s">
        <v>1420</v>
      </c>
      <c r="K34" s="125" t="s">
        <v>1177</v>
      </c>
      <c r="L34" s="350" t="s">
        <v>1421</v>
      </c>
      <c r="M34" s="363" t="s">
        <v>511</v>
      </c>
      <c r="N34" s="364" t="s">
        <v>534</v>
      </c>
    </row>
    <row r="35" spans="1:14" ht="11.5">
      <c r="A35" s="534" t="s">
        <v>1422</v>
      </c>
      <c r="B35" s="129" t="s">
        <v>1183</v>
      </c>
      <c r="C35" s="108">
        <v>33</v>
      </c>
      <c r="D35" s="108">
        <f t="shared" si="2"/>
        <v>245</v>
      </c>
      <c r="E35" s="108">
        <f t="shared" si="1"/>
        <v>259</v>
      </c>
      <c r="F35" s="108">
        <v>15</v>
      </c>
      <c r="G35" s="348"/>
      <c r="H35" s="125" t="s">
        <v>526</v>
      </c>
      <c r="I35" s="125" t="s">
        <v>1383</v>
      </c>
      <c r="J35" s="351" t="s">
        <v>1322</v>
      </c>
      <c r="K35" s="125" t="s">
        <v>1177</v>
      </c>
      <c r="L35" s="350" t="s">
        <v>1423</v>
      </c>
      <c r="M35" s="363" t="s">
        <v>511</v>
      </c>
      <c r="N35" s="364" t="s">
        <v>534</v>
      </c>
    </row>
    <row r="36" spans="1:14" ht="11.5">
      <c r="A36" s="129" t="s">
        <v>1424</v>
      </c>
      <c r="B36" s="129" t="s">
        <v>1425</v>
      </c>
      <c r="C36" s="108">
        <v>34</v>
      </c>
      <c r="D36" s="108">
        <f t="shared" si="2"/>
        <v>260</v>
      </c>
      <c r="E36" s="108">
        <f t="shared" si="1"/>
        <v>273</v>
      </c>
      <c r="F36" s="108">
        <v>14</v>
      </c>
      <c r="G36" s="348"/>
      <c r="H36" s="125" t="s">
        <v>526</v>
      </c>
      <c r="I36" s="125" t="s">
        <v>1311</v>
      </c>
      <c r="J36" s="351" t="s">
        <v>1426</v>
      </c>
      <c r="K36" s="125" t="s">
        <v>1177</v>
      </c>
      <c r="L36" s="350" t="s">
        <v>1427</v>
      </c>
      <c r="M36" s="363" t="s">
        <v>511</v>
      </c>
      <c r="N36" s="364" t="s">
        <v>534</v>
      </c>
    </row>
    <row r="37" spans="1:14" ht="11.5">
      <c r="A37" s="534" t="s">
        <v>1428</v>
      </c>
      <c r="B37" s="129" t="s">
        <v>1233</v>
      </c>
      <c r="C37" s="108">
        <v>35</v>
      </c>
      <c r="D37" s="108">
        <f t="shared" si="2"/>
        <v>274</v>
      </c>
      <c r="E37" s="108">
        <f t="shared" si="1"/>
        <v>282</v>
      </c>
      <c r="F37" s="108">
        <v>9</v>
      </c>
      <c r="G37" s="348"/>
      <c r="H37" s="125" t="s">
        <v>526</v>
      </c>
      <c r="I37" s="125" t="s">
        <v>1311</v>
      </c>
      <c r="J37" s="351" t="s">
        <v>1319</v>
      </c>
      <c r="K37" s="125" t="s">
        <v>1177</v>
      </c>
      <c r="L37" s="350" t="s">
        <v>1429</v>
      </c>
      <c r="M37" s="363" t="s">
        <v>511</v>
      </c>
      <c r="N37" s="364" t="s">
        <v>534</v>
      </c>
    </row>
    <row r="38" spans="1:14" ht="11.5">
      <c r="A38" s="129" t="s">
        <v>1430</v>
      </c>
      <c r="B38" s="129" t="s">
        <v>1183</v>
      </c>
      <c r="C38" s="108">
        <v>36</v>
      </c>
      <c r="D38" s="108">
        <f t="shared" si="2"/>
        <v>283</v>
      </c>
      <c r="E38" s="108">
        <f t="shared" si="1"/>
        <v>297</v>
      </c>
      <c r="F38" s="108">
        <v>15</v>
      </c>
      <c r="G38" s="348"/>
      <c r="H38" s="125" t="s">
        <v>526</v>
      </c>
      <c r="I38" s="125" t="s">
        <v>1158</v>
      </c>
      <c r="J38" s="351" t="s">
        <v>1184</v>
      </c>
      <c r="K38" s="125" t="s">
        <v>1177</v>
      </c>
      <c r="L38" s="350" t="s">
        <v>1431</v>
      </c>
      <c r="M38" s="363" t="s">
        <v>511</v>
      </c>
      <c r="N38" s="364" t="s">
        <v>534</v>
      </c>
    </row>
    <row r="39" spans="1:14" ht="11.5">
      <c r="A39" s="129" t="s">
        <v>1432</v>
      </c>
      <c r="B39" s="129" t="s">
        <v>1218</v>
      </c>
      <c r="C39" s="108">
        <v>37</v>
      </c>
      <c r="D39" s="108">
        <f t="shared" si="2"/>
        <v>298</v>
      </c>
      <c r="E39" s="108">
        <f t="shared" si="1"/>
        <v>309</v>
      </c>
      <c r="F39" s="108">
        <v>12</v>
      </c>
      <c r="G39" s="355" t="s">
        <v>1222</v>
      </c>
      <c r="H39" s="125" t="s">
        <v>526</v>
      </c>
      <c r="I39" s="125" t="s">
        <v>1158</v>
      </c>
      <c r="J39" s="351"/>
      <c r="K39" s="125" t="s">
        <v>1177</v>
      </c>
      <c r="L39" s="350" t="s">
        <v>1433</v>
      </c>
      <c r="M39" s="363" t="s">
        <v>511</v>
      </c>
      <c r="N39" s="364" t="s">
        <v>534</v>
      </c>
    </row>
    <row r="40" spans="1:14" ht="11.5">
      <c r="A40" s="129" t="s">
        <v>1434</v>
      </c>
      <c r="B40" s="129" t="s">
        <v>691</v>
      </c>
      <c r="C40" s="108">
        <v>38</v>
      </c>
      <c r="D40" s="108">
        <f t="shared" si="2"/>
        <v>310</v>
      </c>
      <c r="E40" s="108">
        <f t="shared" si="1"/>
        <v>323</v>
      </c>
      <c r="F40" s="108">
        <v>14</v>
      </c>
      <c r="G40" s="348"/>
      <c r="H40" s="125" t="s">
        <v>526</v>
      </c>
      <c r="I40" s="125" t="s">
        <v>1237</v>
      </c>
      <c r="J40" s="351" t="s">
        <v>1238</v>
      </c>
      <c r="K40" s="125" t="s">
        <v>1177</v>
      </c>
      <c r="L40" s="350" t="s">
        <v>1435</v>
      </c>
      <c r="M40" s="363" t="s">
        <v>511</v>
      </c>
      <c r="N40" s="364" t="s">
        <v>562</v>
      </c>
    </row>
    <row r="41" spans="1:14" ht="73.5">
      <c r="A41" s="129" t="s">
        <v>1436</v>
      </c>
      <c r="B41" s="129" t="s">
        <v>1201</v>
      </c>
      <c r="C41" s="108">
        <v>39</v>
      </c>
      <c r="D41" s="108">
        <f t="shared" si="2"/>
        <v>324</v>
      </c>
      <c r="E41" s="108">
        <f t="shared" si="1"/>
        <v>324</v>
      </c>
      <c r="F41" s="108">
        <v>1</v>
      </c>
      <c r="G41" s="387" t="s">
        <v>1437</v>
      </c>
      <c r="H41" s="125" t="s">
        <v>526</v>
      </c>
      <c r="I41" s="125" t="s">
        <v>1237</v>
      </c>
      <c r="J41" s="351" t="s">
        <v>1242</v>
      </c>
      <c r="K41" s="125" t="s">
        <v>1177</v>
      </c>
      <c r="L41" s="350" t="s">
        <v>1438</v>
      </c>
      <c r="M41" s="363" t="s">
        <v>511</v>
      </c>
      <c r="N41" s="364" t="s">
        <v>562</v>
      </c>
    </row>
    <row r="42" spans="1:14" ht="21">
      <c r="A42" s="129" t="s">
        <v>1439</v>
      </c>
      <c r="B42" s="129" t="s">
        <v>1201</v>
      </c>
      <c r="C42" s="108">
        <v>40</v>
      </c>
      <c r="D42" s="108">
        <f t="shared" si="2"/>
        <v>325</v>
      </c>
      <c r="E42" s="108">
        <f t="shared" si="1"/>
        <v>325</v>
      </c>
      <c r="F42" s="108">
        <v>1</v>
      </c>
      <c r="G42" s="348" t="s">
        <v>1248</v>
      </c>
      <c r="H42" s="125" t="s">
        <v>526</v>
      </c>
      <c r="I42" s="125" t="s">
        <v>1383</v>
      </c>
      <c r="J42" s="351" t="s">
        <v>1440</v>
      </c>
      <c r="K42" s="125" t="s">
        <v>1177</v>
      </c>
      <c r="L42" s="350" t="s">
        <v>1441</v>
      </c>
      <c r="M42" s="363" t="s">
        <v>511</v>
      </c>
      <c r="N42" s="364" t="s">
        <v>534</v>
      </c>
    </row>
    <row r="43" spans="1:14" ht="21">
      <c r="A43" s="534" t="s">
        <v>1442</v>
      </c>
      <c r="B43" s="129" t="s">
        <v>1201</v>
      </c>
      <c r="C43" s="108">
        <v>41</v>
      </c>
      <c r="D43" s="108">
        <f t="shared" si="2"/>
        <v>326</v>
      </c>
      <c r="E43" s="108">
        <f t="shared" si="1"/>
        <v>326</v>
      </c>
      <c r="F43" s="108">
        <v>1</v>
      </c>
      <c r="G43" s="348" t="s">
        <v>1245</v>
      </c>
      <c r="H43" s="125" t="s">
        <v>526</v>
      </c>
      <c r="I43" s="125" t="s">
        <v>1383</v>
      </c>
      <c r="J43" s="351" t="s">
        <v>1443</v>
      </c>
      <c r="K43" s="125" t="s">
        <v>1177</v>
      </c>
      <c r="L43" s="350" t="s">
        <v>1444</v>
      </c>
      <c r="M43" s="363" t="s">
        <v>511</v>
      </c>
      <c r="N43" s="364" t="s">
        <v>534</v>
      </c>
    </row>
    <row r="44" spans="1:14" ht="31.5">
      <c r="A44" s="540" t="s">
        <v>1445</v>
      </c>
      <c r="B44" s="356" t="s">
        <v>216</v>
      </c>
      <c r="C44" s="108">
        <v>42</v>
      </c>
      <c r="D44" s="108">
        <f t="shared" si="2"/>
        <v>327</v>
      </c>
      <c r="E44" s="108">
        <f t="shared" si="1"/>
        <v>334</v>
      </c>
      <c r="F44" s="108">
        <v>8</v>
      </c>
      <c r="G44" s="348" t="s">
        <v>1329</v>
      </c>
      <c r="H44" s="125" t="s">
        <v>526</v>
      </c>
      <c r="I44" s="125" t="s">
        <v>1330</v>
      </c>
      <c r="J44" s="351" t="s">
        <v>1331</v>
      </c>
      <c r="K44" s="125" t="s">
        <v>1160</v>
      </c>
      <c r="L44" s="350"/>
      <c r="M44" s="388"/>
    </row>
    <row r="45" spans="1:14" ht="11.5">
      <c r="A45" s="129" t="s">
        <v>1446</v>
      </c>
      <c r="B45" s="129" t="s">
        <v>609</v>
      </c>
      <c r="C45" s="108">
        <v>43</v>
      </c>
      <c r="D45" s="108">
        <f t="shared" si="2"/>
        <v>335</v>
      </c>
      <c r="E45" s="108">
        <f t="shared" si="1"/>
        <v>336</v>
      </c>
      <c r="F45" s="108">
        <v>2</v>
      </c>
      <c r="G45" s="355" t="s">
        <v>1334</v>
      </c>
      <c r="H45" s="125" t="s">
        <v>526</v>
      </c>
      <c r="I45" s="125" t="s">
        <v>1383</v>
      </c>
      <c r="J45" s="351" t="s">
        <v>1335</v>
      </c>
      <c r="K45" s="125"/>
      <c r="L45" s="126"/>
      <c r="M45" s="363"/>
      <c r="N45" s="364"/>
    </row>
    <row r="46" spans="1:14" s="397" customFormat="1" ht="11.5">
      <c r="A46" s="644" t="s">
        <v>1447</v>
      </c>
      <c r="B46" s="389" t="s">
        <v>216</v>
      </c>
      <c r="C46" s="108">
        <v>44</v>
      </c>
      <c r="D46" s="108">
        <f t="shared" si="2"/>
        <v>337</v>
      </c>
      <c r="E46" s="108">
        <f t="shared" si="1"/>
        <v>344</v>
      </c>
      <c r="F46" s="390">
        <v>8</v>
      </c>
      <c r="G46" s="391" t="s">
        <v>1448</v>
      </c>
      <c r="H46" s="392" t="s">
        <v>526</v>
      </c>
      <c r="I46" s="392" t="s">
        <v>1449</v>
      </c>
      <c r="J46" s="393" t="s">
        <v>1450</v>
      </c>
      <c r="K46" s="392" t="s">
        <v>1451</v>
      </c>
      <c r="L46" s="394" t="s">
        <v>1452</v>
      </c>
      <c r="M46" s="395"/>
      <c r="N46" s="396"/>
    </row>
    <row r="47" spans="1:14" s="23" customFormat="1">
      <c r="A47" s="18" t="s">
        <v>522</v>
      </c>
      <c r="B47" s="18" t="s">
        <v>18</v>
      </c>
      <c r="C47" s="108">
        <v>45</v>
      </c>
      <c r="D47" s="108">
        <f t="shared" si="2"/>
        <v>345</v>
      </c>
      <c r="E47" s="108">
        <f t="shared" si="1"/>
        <v>345</v>
      </c>
      <c r="F47" s="19">
        <v>1</v>
      </c>
      <c r="G47" s="18" t="s">
        <v>523</v>
      </c>
      <c r="H47" s="20"/>
      <c r="I47" s="20"/>
      <c r="J47" s="18"/>
      <c r="K47" s="19"/>
      <c r="L47" s="19"/>
      <c r="M47" s="21"/>
      <c r="N47" s="22"/>
    </row>
    <row r="48" spans="1:14" ht="31.5">
      <c r="A48" s="335" t="s">
        <v>1453</v>
      </c>
      <c r="B48" s="336" t="s">
        <v>14</v>
      </c>
      <c r="C48" s="336"/>
      <c r="D48" s="336">
        <v>1</v>
      </c>
      <c r="E48" s="336">
        <f>E51</f>
        <v>11</v>
      </c>
      <c r="F48" s="336">
        <f>E51</f>
        <v>11</v>
      </c>
      <c r="G48" s="342"/>
      <c r="H48" s="342"/>
      <c r="I48" s="342"/>
      <c r="J48" s="342"/>
      <c r="K48" s="342" t="s">
        <v>204</v>
      </c>
      <c r="L48" s="342"/>
      <c r="M48" s="363" t="s">
        <v>511</v>
      </c>
      <c r="N48" s="364"/>
    </row>
    <row r="49" spans="1:14" ht="21">
      <c r="A49" s="343" t="s">
        <v>17</v>
      </c>
      <c r="B49" s="131" t="s">
        <v>18</v>
      </c>
      <c r="C49" s="108">
        <v>44</v>
      </c>
      <c r="D49" s="108">
        <v>1</v>
      </c>
      <c r="E49" s="108">
        <v>1</v>
      </c>
      <c r="F49" s="108">
        <v>1</v>
      </c>
      <c r="G49" s="125" t="s">
        <v>701</v>
      </c>
      <c r="H49" s="125"/>
      <c r="I49" s="125"/>
      <c r="J49" s="108"/>
      <c r="K49" s="108"/>
      <c r="L49" s="340"/>
      <c r="M49" s="363" t="s">
        <v>511</v>
      </c>
      <c r="N49" s="364"/>
    </row>
    <row r="50" spans="1:14" ht="12.5">
      <c r="A50" s="366" t="s">
        <v>206</v>
      </c>
      <c r="B50" s="131" t="s">
        <v>207</v>
      </c>
      <c r="C50" s="108">
        <v>45</v>
      </c>
      <c r="D50" s="108">
        <f>E49+1</f>
        <v>2</v>
      </c>
      <c r="E50" s="108">
        <f>D50+F50-1</f>
        <v>10</v>
      </c>
      <c r="F50" s="108">
        <v>9</v>
      </c>
      <c r="G50" s="125" t="s">
        <v>233</v>
      </c>
      <c r="H50" s="125"/>
      <c r="I50" s="125"/>
      <c r="J50" s="108"/>
      <c r="K50" s="108"/>
      <c r="L50" s="340"/>
      <c r="M50" s="363" t="s">
        <v>511</v>
      </c>
      <c r="N50" s="364"/>
    </row>
    <row r="51" spans="1:14" s="23" customFormat="1">
      <c r="A51" s="18" t="s">
        <v>522</v>
      </c>
      <c r="B51" s="18" t="s">
        <v>18</v>
      </c>
      <c r="C51" s="14">
        <v>46</v>
      </c>
      <c r="D51" s="108">
        <f>E50+1</f>
        <v>11</v>
      </c>
      <c r="E51" s="108">
        <f>D51+F51-1</f>
        <v>11</v>
      </c>
      <c r="F51" s="19">
        <v>1</v>
      </c>
      <c r="G51" s="18" t="s">
        <v>523</v>
      </c>
      <c r="H51" s="20"/>
      <c r="I51" s="20"/>
      <c r="J51" s="18"/>
      <c r="K51" s="19"/>
      <c r="L51" s="19"/>
      <c r="M51" s="21"/>
      <c r="N51" s="22"/>
    </row>
    <row r="52" spans="1:14">
      <c r="M52" s="371"/>
    </row>
    <row r="53" spans="1:14">
      <c r="M53" s="371"/>
    </row>
    <row r="54" spans="1:14">
      <c r="M54" s="371"/>
    </row>
    <row r="55" spans="1:14">
      <c r="M55" s="371"/>
    </row>
    <row r="56" spans="1:14">
      <c r="M56" s="371"/>
    </row>
    <row r="57" spans="1:14">
      <c r="M57" s="371"/>
    </row>
    <row r="58" spans="1:14">
      <c r="M58" s="371"/>
    </row>
    <row r="59" spans="1:14">
      <c r="M59" s="371"/>
    </row>
    <row r="60" spans="1:14">
      <c r="M60" s="371"/>
    </row>
    <row r="61" spans="1:14">
      <c r="M61" s="371"/>
    </row>
    <row r="62" spans="1:14">
      <c r="M62" s="371"/>
    </row>
    <row r="63" spans="1:14">
      <c r="M63" s="371"/>
    </row>
    <row r="64" spans="1:14">
      <c r="M64" s="371"/>
    </row>
    <row r="65" spans="13:13">
      <c r="M65" s="371"/>
    </row>
    <row r="66" spans="13:13">
      <c r="M66" s="371"/>
    </row>
    <row r="67" spans="13:13">
      <c r="M67" s="371"/>
    </row>
    <row r="68" spans="13:13">
      <c r="M68" s="371"/>
    </row>
    <row r="69" spans="13:13">
      <c r="M69" s="371"/>
    </row>
    <row r="70" spans="13:13">
      <c r="M70" s="371"/>
    </row>
    <row r="71" spans="13:13">
      <c r="M71" s="371"/>
    </row>
    <row r="72" spans="13:13">
      <c r="M72" s="371"/>
    </row>
    <row r="73" spans="13:13">
      <c r="M73" s="371"/>
    </row>
    <row r="74" spans="13:13">
      <c r="M74" s="371"/>
    </row>
    <row r="75" spans="13:13">
      <c r="M75" s="371"/>
    </row>
    <row r="76" spans="13:13">
      <c r="M76" s="371"/>
    </row>
    <row r="77" spans="13:13">
      <c r="M77" s="371"/>
    </row>
    <row r="78" spans="13:13">
      <c r="M78" s="371"/>
    </row>
    <row r="79" spans="13:13">
      <c r="M79" s="371"/>
    </row>
    <row r="80" spans="13:13">
      <c r="M80" s="371"/>
    </row>
    <row r="81" spans="13:13">
      <c r="M81" s="371"/>
    </row>
    <row r="82" spans="13:13">
      <c r="M82" s="371"/>
    </row>
    <row r="83" spans="13:13">
      <c r="M83" s="371"/>
    </row>
    <row r="84" spans="13:13">
      <c r="M84" s="371"/>
    </row>
    <row r="85" spans="13:13">
      <c r="M85" s="371"/>
    </row>
    <row r="86" spans="13:13">
      <c r="M86" s="371"/>
    </row>
    <row r="87" spans="13:13">
      <c r="M87" s="371"/>
    </row>
    <row r="88" spans="13:13">
      <c r="M88" s="371"/>
    </row>
    <row r="89" spans="13:13">
      <c r="M89" s="371"/>
    </row>
    <row r="90" spans="13:13">
      <c r="M90" s="371"/>
    </row>
    <row r="91" spans="13:13">
      <c r="M91" s="371"/>
    </row>
    <row r="92" spans="13:13">
      <c r="M92" s="371"/>
    </row>
    <row r="93" spans="13:13">
      <c r="M93" s="371"/>
    </row>
    <row r="94" spans="13:13">
      <c r="M94" s="371"/>
    </row>
    <row r="95" spans="13:13">
      <c r="M95" s="371"/>
    </row>
    <row r="96" spans="13:13">
      <c r="M96" s="371"/>
    </row>
    <row r="97" spans="13:13">
      <c r="M97" s="371"/>
    </row>
    <row r="98" spans="13:13">
      <c r="M98" s="371"/>
    </row>
    <row r="99" spans="13:13">
      <c r="M99" s="371"/>
    </row>
    <row r="100" spans="13:13">
      <c r="M100" s="371"/>
    </row>
    <row r="101" spans="13:13">
      <c r="M101" s="371"/>
    </row>
    <row r="102" spans="13:13">
      <c r="M102" s="371"/>
    </row>
    <row r="103" spans="13:13">
      <c r="M103" s="371"/>
    </row>
    <row r="104" spans="13:13">
      <c r="M104" s="371"/>
    </row>
    <row r="105" spans="13:13">
      <c r="M105" s="371"/>
    </row>
    <row r="106" spans="13:13">
      <c r="M106" s="371"/>
    </row>
    <row r="107" spans="13:13">
      <c r="M107" s="371"/>
    </row>
    <row r="108" spans="13:13">
      <c r="M108" s="371"/>
    </row>
    <row r="109" spans="13:13">
      <c r="M109" s="371"/>
    </row>
    <row r="110" spans="13:13">
      <c r="M110" s="371"/>
    </row>
    <row r="111" spans="13:13">
      <c r="M111" s="371"/>
    </row>
    <row r="112" spans="13:13">
      <c r="M112" s="371"/>
    </row>
    <row r="113" spans="13:13">
      <c r="M113" s="371"/>
    </row>
    <row r="114" spans="13:13">
      <c r="M114" s="371"/>
    </row>
    <row r="115" spans="13:13">
      <c r="M115" s="371"/>
    </row>
    <row r="116" spans="13:13">
      <c r="M116" s="371"/>
    </row>
    <row r="117" spans="13:13">
      <c r="M117" s="371"/>
    </row>
    <row r="118" spans="13:13">
      <c r="M118" s="371"/>
    </row>
    <row r="119" spans="13:13">
      <c r="M119" s="371"/>
    </row>
    <row r="120" spans="13:13">
      <c r="M120" s="371"/>
    </row>
    <row r="121" spans="13:13">
      <c r="M121" s="371"/>
    </row>
    <row r="122" spans="13:13">
      <c r="M122" s="371"/>
    </row>
    <row r="123" spans="13:13">
      <c r="M123" s="371"/>
    </row>
    <row r="124" spans="13:13">
      <c r="M124" s="371"/>
    </row>
    <row r="125" spans="13:13">
      <c r="M125" s="371"/>
    </row>
    <row r="126" spans="13:13">
      <c r="M126" s="371"/>
    </row>
    <row r="127" spans="13:13">
      <c r="M127" s="371"/>
    </row>
    <row r="128" spans="13:13">
      <c r="M128" s="371"/>
    </row>
    <row r="129" spans="13:13">
      <c r="M129" s="371"/>
    </row>
    <row r="130" spans="13:13">
      <c r="M130" s="371"/>
    </row>
    <row r="131" spans="13:13">
      <c r="M131" s="371"/>
    </row>
    <row r="132" spans="13:13">
      <c r="M132" s="371"/>
    </row>
  </sheetData>
  <autoFilter ref="A1:D51" xr:uid="{DA82CD7A-71D6-45B0-B1A2-B86CAD8BFD3C}"/>
  <pageMargins left="0.75" right="0.75" top="1" bottom="1" header="0.5" footer="0.5"/>
  <pageSetup paperSize="9" orientation="portrait" verticalDpi="300" r:id="rId1"/>
  <headerFooter alignWithMargins="0">
    <oddHeader>&amp;L&amp;"Arial"&amp;9&amp;K0078D7 INTERNAL&amp;1#_x000D_</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AAF6F-88D1-4676-896B-E558BA97038C}">
  <sheetPr codeName="Sheet36"/>
  <dimension ref="A1:N183"/>
  <sheetViews>
    <sheetView zoomScale="130" zoomScaleNormal="130" workbookViewId="0">
      <pane xSplit="4" ySplit="1" topLeftCell="E55" activePane="bottomRight" state="frozenSplit"/>
      <selection pane="topRight" activeCell="E1" sqref="E1"/>
      <selection pane="bottomLeft" activeCell="A11" sqref="A11"/>
      <selection pane="bottomRight" activeCell="G61" sqref="G61"/>
    </sheetView>
  </sheetViews>
  <sheetFormatPr defaultRowHeight="20.149999999999999" customHeight="1"/>
  <cols>
    <col min="1" max="1" width="24.7265625" style="43" bestFit="1" customWidth="1"/>
    <col min="2" max="2" width="18.7265625" style="44" bestFit="1" customWidth="1"/>
    <col min="3" max="3" width="8.1796875" style="44" bestFit="1" customWidth="1"/>
    <col min="4" max="5" width="8.26953125" style="44" bestFit="1" customWidth="1"/>
    <col min="6" max="6" width="7.26953125" style="44" bestFit="1" customWidth="1"/>
    <col min="7" max="7" width="23.26953125" style="46" customWidth="1"/>
    <col min="8" max="8" width="17.1796875" style="46" bestFit="1" customWidth="1"/>
    <col min="9" max="9" width="14.453125" style="46" customWidth="1"/>
    <col min="10" max="10" width="34.453125" style="44" customWidth="1"/>
    <col min="11" max="12" width="8.7265625" style="44"/>
    <col min="13" max="13" width="13.26953125" style="11" customWidth="1"/>
    <col min="14" max="256" width="8.7265625" style="11"/>
    <col min="257" max="257" width="24.7265625" style="11" bestFit="1" customWidth="1"/>
    <col min="258" max="258" width="18.7265625" style="11" bestFit="1" customWidth="1"/>
    <col min="259" max="259" width="8.1796875" style="11" bestFit="1" customWidth="1"/>
    <col min="260" max="261" width="8.26953125" style="11" bestFit="1" customWidth="1"/>
    <col min="262" max="262" width="7.26953125" style="11" bestFit="1" customWidth="1"/>
    <col min="263" max="263" width="23.26953125" style="11" customWidth="1"/>
    <col min="264" max="264" width="17.1796875" style="11" bestFit="1" customWidth="1"/>
    <col min="265" max="265" width="14.453125" style="11" customWidth="1"/>
    <col min="266" max="266" width="28.7265625" style="11" bestFit="1" customWidth="1"/>
    <col min="267" max="268" width="8.7265625" style="11"/>
    <col min="269" max="269" width="13.26953125" style="11" customWidth="1"/>
    <col min="270" max="512" width="8.7265625" style="11"/>
    <col min="513" max="513" width="24.7265625" style="11" bestFit="1" customWidth="1"/>
    <col min="514" max="514" width="18.7265625" style="11" bestFit="1" customWidth="1"/>
    <col min="515" max="515" width="8.1796875" style="11" bestFit="1" customWidth="1"/>
    <col min="516" max="517" width="8.26953125" style="11" bestFit="1" customWidth="1"/>
    <col min="518" max="518" width="7.26953125" style="11" bestFit="1" customWidth="1"/>
    <col min="519" max="519" width="23.26953125" style="11" customWidth="1"/>
    <col min="520" max="520" width="17.1796875" style="11" bestFit="1" customWidth="1"/>
    <col min="521" max="521" width="14.453125" style="11" customWidth="1"/>
    <col min="522" max="522" width="28.7265625" style="11" bestFit="1" customWidth="1"/>
    <col min="523" max="524" width="8.7265625" style="11"/>
    <col min="525" max="525" width="13.26953125" style="11" customWidth="1"/>
    <col min="526" max="768" width="8.7265625" style="11"/>
    <col min="769" max="769" width="24.7265625" style="11" bestFit="1" customWidth="1"/>
    <col min="770" max="770" width="18.7265625" style="11" bestFit="1" customWidth="1"/>
    <col min="771" max="771" width="8.1796875" style="11" bestFit="1" customWidth="1"/>
    <col min="772" max="773" width="8.26953125" style="11" bestFit="1" customWidth="1"/>
    <col min="774" max="774" width="7.26953125" style="11" bestFit="1" customWidth="1"/>
    <col min="775" max="775" width="23.26953125" style="11" customWidth="1"/>
    <col min="776" max="776" width="17.1796875" style="11" bestFit="1" customWidth="1"/>
    <col min="777" max="777" width="14.453125" style="11" customWidth="1"/>
    <col min="778" max="778" width="28.7265625" style="11" bestFit="1" customWidth="1"/>
    <col min="779" max="780" width="8.7265625" style="11"/>
    <col min="781" max="781" width="13.26953125" style="11" customWidth="1"/>
    <col min="782" max="1024" width="8.7265625" style="11"/>
    <col min="1025" max="1025" width="24.7265625" style="11" bestFit="1" customWidth="1"/>
    <col min="1026" max="1026" width="18.7265625" style="11" bestFit="1" customWidth="1"/>
    <col min="1027" max="1027" width="8.1796875" style="11" bestFit="1" customWidth="1"/>
    <col min="1028" max="1029" width="8.26953125" style="11" bestFit="1" customWidth="1"/>
    <col min="1030" max="1030" width="7.26953125" style="11" bestFit="1" customWidth="1"/>
    <col min="1031" max="1031" width="23.26953125" style="11" customWidth="1"/>
    <col min="1032" max="1032" width="17.1796875" style="11" bestFit="1" customWidth="1"/>
    <col min="1033" max="1033" width="14.453125" style="11" customWidth="1"/>
    <col min="1034" max="1034" width="28.7265625" style="11" bestFit="1" customWidth="1"/>
    <col min="1035" max="1036" width="8.7265625" style="11"/>
    <col min="1037" max="1037" width="13.26953125" style="11" customWidth="1"/>
    <col min="1038" max="1280" width="8.7265625" style="11"/>
    <col min="1281" max="1281" width="24.7265625" style="11" bestFit="1" customWidth="1"/>
    <col min="1282" max="1282" width="18.7265625" style="11" bestFit="1" customWidth="1"/>
    <col min="1283" max="1283" width="8.1796875" style="11" bestFit="1" customWidth="1"/>
    <col min="1284" max="1285" width="8.26953125" style="11" bestFit="1" customWidth="1"/>
    <col min="1286" max="1286" width="7.26953125" style="11" bestFit="1" customWidth="1"/>
    <col min="1287" max="1287" width="23.26953125" style="11" customWidth="1"/>
    <col min="1288" max="1288" width="17.1796875" style="11" bestFit="1" customWidth="1"/>
    <col min="1289" max="1289" width="14.453125" style="11" customWidth="1"/>
    <col min="1290" max="1290" width="28.7265625" style="11" bestFit="1" customWidth="1"/>
    <col min="1291" max="1292" width="8.7265625" style="11"/>
    <col min="1293" max="1293" width="13.26953125" style="11" customWidth="1"/>
    <col min="1294" max="1536" width="8.7265625" style="11"/>
    <col min="1537" max="1537" width="24.7265625" style="11" bestFit="1" customWidth="1"/>
    <col min="1538" max="1538" width="18.7265625" style="11" bestFit="1" customWidth="1"/>
    <col min="1539" max="1539" width="8.1796875" style="11" bestFit="1" customWidth="1"/>
    <col min="1540" max="1541" width="8.26953125" style="11" bestFit="1" customWidth="1"/>
    <col min="1542" max="1542" width="7.26953125" style="11" bestFit="1" customWidth="1"/>
    <col min="1543" max="1543" width="23.26953125" style="11" customWidth="1"/>
    <col min="1544" max="1544" width="17.1796875" style="11" bestFit="1" customWidth="1"/>
    <col min="1545" max="1545" width="14.453125" style="11" customWidth="1"/>
    <col min="1546" max="1546" width="28.7265625" style="11" bestFit="1" customWidth="1"/>
    <col min="1547" max="1548" width="8.7265625" style="11"/>
    <col min="1549" max="1549" width="13.26953125" style="11" customWidth="1"/>
    <col min="1550" max="1792" width="8.7265625" style="11"/>
    <col min="1793" max="1793" width="24.7265625" style="11" bestFit="1" customWidth="1"/>
    <col min="1794" max="1794" width="18.7265625" style="11" bestFit="1" customWidth="1"/>
    <col min="1795" max="1795" width="8.1796875" style="11" bestFit="1" customWidth="1"/>
    <col min="1796" max="1797" width="8.26953125" style="11" bestFit="1" customWidth="1"/>
    <col min="1798" max="1798" width="7.26953125" style="11" bestFit="1" customWidth="1"/>
    <col min="1799" max="1799" width="23.26953125" style="11" customWidth="1"/>
    <col min="1800" max="1800" width="17.1796875" style="11" bestFit="1" customWidth="1"/>
    <col min="1801" max="1801" width="14.453125" style="11" customWidth="1"/>
    <col min="1802" max="1802" width="28.7265625" style="11" bestFit="1" customWidth="1"/>
    <col min="1803" max="1804" width="8.7265625" style="11"/>
    <col min="1805" max="1805" width="13.26953125" style="11" customWidth="1"/>
    <col min="1806" max="2048" width="8.7265625" style="11"/>
    <col min="2049" max="2049" width="24.7265625" style="11" bestFit="1" customWidth="1"/>
    <col min="2050" max="2050" width="18.7265625" style="11" bestFit="1" customWidth="1"/>
    <col min="2051" max="2051" width="8.1796875" style="11" bestFit="1" customWidth="1"/>
    <col min="2052" max="2053" width="8.26953125" style="11" bestFit="1" customWidth="1"/>
    <col min="2054" max="2054" width="7.26953125" style="11" bestFit="1" customWidth="1"/>
    <col min="2055" max="2055" width="23.26953125" style="11" customWidth="1"/>
    <col min="2056" max="2056" width="17.1796875" style="11" bestFit="1" customWidth="1"/>
    <col min="2057" max="2057" width="14.453125" style="11" customWidth="1"/>
    <col min="2058" max="2058" width="28.7265625" style="11" bestFit="1" customWidth="1"/>
    <col min="2059" max="2060" width="8.7265625" style="11"/>
    <col min="2061" max="2061" width="13.26953125" style="11" customWidth="1"/>
    <col min="2062" max="2304" width="8.7265625" style="11"/>
    <col min="2305" max="2305" width="24.7265625" style="11" bestFit="1" customWidth="1"/>
    <col min="2306" max="2306" width="18.7265625" style="11" bestFit="1" customWidth="1"/>
    <col min="2307" max="2307" width="8.1796875" style="11" bestFit="1" customWidth="1"/>
    <col min="2308" max="2309" width="8.26953125" style="11" bestFit="1" customWidth="1"/>
    <col min="2310" max="2310" width="7.26953125" style="11" bestFit="1" customWidth="1"/>
    <col min="2311" max="2311" width="23.26953125" style="11" customWidth="1"/>
    <col min="2312" max="2312" width="17.1796875" style="11" bestFit="1" customWidth="1"/>
    <col min="2313" max="2313" width="14.453125" style="11" customWidth="1"/>
    <col min="2314" max="2314" width="28.7265625" style="11" bestFit="1" customWidth="1"/>
    <col min="2315" max="2316" width="8.7265625" style="11"/>
    <col min="2317" max="2317" width="13.26953125" style="11" customWidth="1"/>
    <col min="2318" max="2560" width="8.7265625" style="11"/>
    <col min="2561" max="2561" width="24.7265625" style="11" bestFit="1" customWidth="1"/>
    <col min="2562" max="2562" width="18.7265625" style="11" bestFit="1" customWidth="1"/>
    <col min="2563" max="2563" width="8.1796875" style="11" bestFit="1" customWidth="1"/>
    <col min="2564" max="2565" width="8.26953125" style="11" bestFit="1" customWidth="1"/>
    <col min="2566" max="2566" width="7.26953125" style="11" bestFit="1" customWidth="1"/>
    <col min="2567" max="2567" width="23.26953125" style="11" customWidth="1"/>
    <col min="2568" max="2568" width="17.1796875" style="11" bestFit="1" customWidth="1"/>
    <col min="2569" max="2569" width="14.453125" style="11" customWidth="1"/>
    <col min="2570" max="2570" width="28.7265625" style="11" bestFit="1" customWidth="1"/>
    <col min="2571" max="2572" width="8.7265625" style="11"/>
    <col min="2573" max="2573" width="13.26953125" style="11" customWidth="1"/>
    <col min="2574" max="2816" width="8.7265625" style="11"/>
    <col min="2817" max="2817" width="24.7265625" style="11" bestFit="1" customWidth="1"/>
    <col min="2818" max="2818" width="18.7265625" style="11" bestFit="1" customWidth="1"/>
    <col min="2819" max="2819" width="8.1796875" style="11" bestFit="1" customWidth="1"/>
    <col min="2820" max="2821" width="8.26953125" style="11" bestFit="1" customWidth="1"/>
    <col min="2822" max="2822" width="7.26953125" style="11" bestFit="1" customWidth="1"/>
    <col min="2823" max="2823" width="23.26953125" style="11" customWidth="1"/>
    <col min="2824" max="2824" width="17.1796875" style="11" bestFit="1" customWidth="1"/>
    <col min="2825" max="2825" width="14.453125" style="11" customWidth="1"/>
    <col min="2826" max="2826" width="28.7265625" style="11" bestFit="1" customWidth="1"/>
    <col min="2827" max="2828" width="8.7265625" style="11"/>
    <col min="2829" max="2829" width="13.26953125" style="11" customWidth="1"/>
    <col min="2830" max="3072" width="8.7265625" style="11"/>
    <col min="3073" max="3073" width="24.7265625" style="11" bestFit="1" customWidth="1"/>
    <col min="3074" max="3074" width="18.7265625" style="11" bestFit="1" customWidth="1"/>
    <col min="3075" max="3075" width="8.1796875" style="11" bestFit="1" customWidth="1"/>
    <col min="3076" max="3077" width="8.26953125" style="11" bestFit="1" customWidth="1"/>
    <col min="3078" max="3078" width="7.26953125" style="11" bestFit="1" customWidth="1"/>
    <col min="3079" max="3079" width="23.26953125" style="11" customWidth="1"/>
    <col min="3080" max="3080" width="17.1796875" style="11" bestFit="1" customWidth="1"/>
    <col min="3081" max="3081" width="14.453125" style="11" customWidth="1"/>
    <col min="3082" max="3082" width="28.7265625" style="11" bestFit="1" customWidth="1"/>
    <col min="3083" max="3084" width="8.7265625" style="11"/>
    <col min="3085" max="3085" width="13.26953125" style="11" customWidth="1"/>
    <col min="3086" max="3328" width="8.7265625" style="11"/>
    <col min="3329" max="3329" width="24.7265625" style="11" bestFit="1" customWidth="1"/>
    <col min="3330" max="3330" width="18.7265625" style="11" bestFit="1" customWidth="1"/>
    <col min="3331" max="3331" width="8.1796875" style="11" bestFit="1" customWidth="1"/>
    <col min="3332" max="3333" width="8.26953125" style="11" bestFit="1" customWidth="1"/>
    <col min="3334" max="3334" width="7.26953125" style="11" bestFit="1" customWidth="1"/>
    <col min="3335" max="3335" width="23.26953125" style="11" customWidth="1"/>
    <col min="3336" max="3336" width="17.1796875" style="11" bestFit="1" customWidth="1"/>
    <col min="3337" max="3337" width="14.453125" style="11" customWidth="1"/>
    <col min="3338" max="3338" width="28.7265625" style="11" bestFit="1" customWidth="1"/>
    <col min="3339" max="3340" width="8.7265625" style="11"/>
    <col min="3341" max="3341" width="13.26953125" style="11" customWidth="1"/>
    <col min="3342" max="3584" width="8.7265625" style="11"/>
    <col min="3585" max="3585" width="24.7265625" style="11" bestFit="1" customWidth="1"/>
    <col min="3586" max="3586" width="18.7265625" style="11" bestFit="1" customWidth="1"/>
    <col min="3587" max="3587" width="8.1796875" style="11" bestFit="1" customWidth="1"/>
    <col min="3588" max="3589" width="8.26953125" style="11" bestFit="1" customWidth="1"/>
    <col min="3590" max="3590" width="7.26953125" style="11" bestFit="1" customWidth="1"/>
    <col min="3591" max="3591" width="23.26953125" style="11" customWidth="1"/>
    <col min="3592" max="3592" width="17.1796875" style="11" bestFit="1" customWidth="1"/>
    <col min="3593" max="3593" width="14.453125" style="11" customWidth="1"/>
    <col min="3594" max="3594" width="28.7265625" style="11" bestFit="1" customWidth="1"/>
    <col min="3595" max="3596" width="8.7265625" style="11"/>
    <col min="3597" max="3597" width="13.26953125" style="11" customWidth="1"/>
    <col min="3598" max="3840" width="8.7265625" style="11"/>
    <col min="3841" max="3841" width="24.7265625" style="11" bestFit="1" customWidth="1"/>
    <col min="3842" max="3842" width="18.7265625" style="11" bestFit="1" customWidth="1"/>
    <col min="3843" max="3843" width="8.1796875" style="11" bestFit="1" customWidth="1"/>
    <col min="3844" max="3845" width="8.26953125" style="11" bestFit="1" customWidth="1"/>
    <col min="3846" max="3846" width="7.26953125" style="11" bestFit="1" customWidth="1"/>
    <col min="3847" max="3847" width="23.26953125" style="11" customWidth="1"/>
    <col min="3848" max="3848" width="17.1796875" style="11" bestFit="1" customWidth="1"/>
    <col min="3849" max="3849" width="14.453125" style="11" customWidth="1"/>
    <col min="3850" max="3850" width="28.7265625" style="11" bestFit="1" customWidth="1"/>
    <col min="3851" max="3852" width="8.7265625" style="11"/>
    <col min="3853" max="3853" width="13.26953125" style="11" customWidth="1"/>
    <col min="3854" max="4096" width="8.7265625" style="11"/>
    <col min="4097" max="4097" width="24.7265625" style="11" bestFit="1" customWidth="1"/>
    <col min="4098" max="4098" width="18.7265625" style="11" bestFit="1" customWidth="1"/>
    <col min="4099" max="4099" width="8.1796875" style="11" bestFit="1" customWidth="1"/>
    <col min="4100" max="4101" width="8.26953125" style="11" bestFit="1" customWidth="1"/>
    <col min="4102" max="4102" width="7.26953125" style="11" bestFit="1" customWidth="1"/>
    <col min="4103" max="4103" width="23.26953125" style="11" customWidth="1"/>
    <col min="4104" max="4104" width="17.1796875" style="11" bestFit="1" customWidth="1"/>
    <col min="4105" max="4105" width="14.453125" style="11" customWidth="1"/>
    <col min="4106" max="4106" width="28.7265625" style="11" bestFit="1" customWidth="1"/>
    <col min="4107" max="4108" width="8.7265625" style="11"/>
    <col min="4109" max="4109" width="13.26953125" style="11" customWidth="1"/>
    <col min="4110" max="4352" width="8.7265625" style="11"/>
    <col min="4353" max="4353" width="24.7265625" style="11" bestFit="1" customWidth="1"/>
    <col min="4354" max="4354" width="18.7265625" style="11" bestFit="1" customWidth="1"/>
    <col min="4355" max="4355" width="8.1796875" style="11" bestFit="1" customWidth="1"/>
    <col min="4356" max="4357" width="8.26953125" style="11" bestFit="1" customWidth="1"/>
    <col min="4358" max="4358" width="7.26953125" style="11" bestFit="1" customWidth="1"/>
    <col min="4359" max="4359" width="23.26953125" style="11" customWidth="1"/>
    <col min="4360" max="4360" width="17.1796875" style="11" bestFit="1" customWidth="1"/>
    <col min="4361" max="4361" width="14.453125" style="11" customWidth="1"/>
    <col min="4362" max="4362" width="28.7265625" style="11" bestFit="1" customWidth="1"/>
    <col min="4363" max="4364" width="8.7265625" style="11"/>
    <col min="4365" max="4365" width="13.26953125" style="11" customWidth="1"/>
    <col min="4366" max="4608" width="8.7265625" style="11"/>
    <col min="4609" max="4609" width="24.7265625" style="11" bestFit="1" customWidth="1"/>
    <col min="4610" max="4610" width="18.7265625" style="11" bestFit="1" customWidth="1"/>
    <col min="4611" max="4611" width="8.1796875" style="11" bestFit="1" customWidth="1"/>
    <col min="4612" max="4613" width="8.26953125" style="11" bestFit="1" customWidth="1"/>
    <col min="4614" max="4614" width="7.26953125" style="11" bestFit="1" customWidth="1"/>
    <col min="4615" max="4615" width="23.26953125" style="11" customWidth="1"/>
    <col min="4616" max="4616" width="17.1796875" style="11" bestFit="1" customWidth="1"/>
    <col min="4617" max="4617" width="14.453125" style="11" customWidth="1"/>
    <col min="4618" max="4618" width="28.7265625" style="11" bestFit="1" customWidth="1"/>
    <col min="4619" max="4620" width="8.7265625" style="11"/>
    <col min="4621" max="4621" width="13.26953125" style="11" customWidth="1"/>
    <col min="4622" max="4864" width="8.7265625" style="11"/>
    <col min="4865" max="4865" width="24.7265625" style="11" bestFit="1" customWidth="1"/>
    <col min="4866" max="4866" width="18.7265625" style="11" bestFit="1" customWidth="1"/>
    <col min="4867" max="4867" width="8.1796875" style="11" bestFit="1" customWidth="1"/>
    <col min="4868" max="4869" width="8.26953125" style="11" bestFit="1" customWidth="1"/>
    <col min="4870" max="4870" width="7.26953125" style="11" bestFit="1" customWidth="1"/>
    <col min="4871" max="4871" width="23.26953125" style="11" customWidth="1"/>
    <col min="4872" max="4872" width="17.1796875" style="11" bestFit="1" customWidth="1"/>
    <col min="4873" max="4873" width="14.453125" style="11" customWidth="1"/>
    <col min="4874" max="4874" width="28.7265625" style="11" bestFit="1" customWidth="1"/>
    <col min="4875" max="4876" width="8.7265625" style="11"/>
    <col min="4877" max="4877" width="13.26953125" style="11" customWidth="1"/>
    <col min="4878" max="5120" width="8.7265625" style="11"/>
    <col min="5121" max="5121" width="24.7265625" style="11" bestFit="1" customWidth="1"/>
    <col min="5122" max="5122" width="18.7265625" style="11" bestFit="1" customWidth="1"/>
    <col min="5123" max="5123" width="8.1796875" style="11" bestFit="1" customWidth="1"/>
    <col min="5124" max="5125" width="8.26953125" style="11" bestFit="1" customWidth="1"/>
    <col min="5126" max="5126" width="7.26953125" style="11" bestFit="1" customWidth="1"/>
    <col min="5127" max="5127" width="23.26953125" style="11" customWidth="1"/>
    <col min="5128" max="5128" width="17.1796875" style="11" bestFit="1" customWidth="1"/>
    <col min="5129" max="5129" width="14.453125" style="11" customWidth="1"/>
    <col min="5130" max="5130" width="28.7265625" style="11" bestFit="1" customWidth="1"/>
    <col min="5131" max="5132" width="8.7265625" style="11"/>
    <col min="5133" max="5133" width="13.26953125" style="11" customWidth="1"/>
    <col min="5134" max="5376" width="8.7265625" style="11"/>
    <col min="5377" max="5377" width="24.7265625" style="11" bestFit="1" customWidth="1"/>
    <col min="5378" max="5378" width="18.7265625" style="11" bestFit="1" customWidth="1"/>
    <col min="5379" max="5379" width="8.1796875" style="11" bestFit="1" customWidth="1"/>
    <col min="5380" max="5381" width="8.26953125" style="11" bestFit="1" customWidth="1"/>
    <col min="5382" max="5382" width="7.26953125" style="11" bestFit="1" customWidth="1"/>
    <col min="5383" max="5383" width="23.26953125" style="11" customWidth="1"/>
    <col min="5384" max="5384" width="17.1796875" style="11" bestFit="1" customWidth="1"/>
    <col min="5385" max="5385" width="14.453125" style="11" customWidth="1"/>
    <col min="5386" max="5386" width="28.7265625" style="11" bestFit="1" customWidth="1"/>
    <col min="5387" max="5388" width="8.7265625" style="11"/>
    <col min="5389" max="5389" width="13.26953125" style="11" customWidth="1"/>
    <col min="5390" max="5632" width="8.7265625" style="11"/>
    <col min="5633" max="5633" width="24.7265625" style="11" bestFit="1" customWidth="1"/>
    <col min="5634" max="5634" width="18.7265625" style="11" bestFit="1" customWidth="1"/>
    <col min="5635" max="5635" width="8.1796875" style="11" bestFit="1" customWidth="1"/>
    <col min="5636" max="5637" width="8.26953125" style="11" bestFit="1" customWidth="1"/>
    <col min="5638" max="5638" width="7.26953125" style="11" bestFit="1" customWidth="1"/>
    <col min="5639" max="5639" width="23.26953125" style="11" customWidth="1"/>
    <col min="5640" max="5640" width="17.1796875" style="11" bestFit="1" customWidth="1"/>
    <col min="5641" max="5641" width="14.453125" style="11" customWidth="1"/>
    <col min="5642" max="5642" width="28.7265625" style="11" bestFit="1" customWidth="1"/>
    <col min="5643" max="5644" width="8.7265625" style="11"/>
    <col min="5645" max="5645" width="13.26953125" style="11" customWidth="1"/>
    <col min="5646" max="5888" width="8.7265625" style="11"/>
    <col min="5889" max="5889" width="24.7265625" style="11" bestFit="1" customWidth="1"/>
    <col min="5890" max="5890" width="18.7265625" style="11" bestFit="1" customWidth="1"/>
    <col min="5891" max="5891" width="8.1796875" style="11" bestFit="1" customWidth="1"/>
    <col min="5892" max="5893" width="8.26953125" style="11" bestFit="1" customWidth="1"/>
    <col min="5894" max="5894" width="7.26953125" style="11" bestFit="1" customWidth="1"/>
    <col min="5895" max="5895" width="23.26953125" style="11" customWidth="1"/>
    <col min="5896" max="5896" width="17.1796875" style="11" bestFit="1" customWidth="1"/>
    <col min="5897" max="5897" width="14.453125" style="11" customWidth="1"/>
    <col min="5898" max="5898" width="28.7265625" style="11" bestFit="1" customWidth="1"/>
    <col min="5899" max="5900" width="8.7265625" style="11"/>
    <col min="5901" max="5901" width="13.26953125" style="11" customWidth="1"/>
    <col min="5902" max="6144" width="8.7265625" style="11"/>
    <col min="6145" max="6145" width="24.7265625" style="11" bestFit="1" customWidth="1"/>
    <col min="6146" max="6146" width="18.7265625" style="11" bestFit="1" customWidth="1"/>
    <col min="6147" max="6147" width="8.1796875" style="11" bestFit="1" customWidth="1"/>
    <col min="6148" max="6149" width="8.26953125" style="11" bestFit="1" customWidth="1"/>
    <col min="6150" max="6150" width="7.26953125" style="11" bestFit="1" customWidth="1"/>
    <col min="6151" max="6151" width="23.26953125" style="11" customWidth="1"/>
    <col min="6152" max="6152" width="17.1796875" style="11" bestFit="1" customWidth="1"/>
    <col min="6153" max="6153" width="14.453125" style="11" customWidth="1"/>
    <col min="6154" max="6154" width="28.7265625" style="11" bestFit="1" customWidth="1"/>
    <col min="6155" max="6156" width="8.7265625" style="11"/>
    <col min="6157" max="6157" width="13.26953125" style="11" customWidth="1"/>
    <col min="6158" max="6400" width="8.7265625" style="11"/>
    <col min="6401" max="6401" width="24.7265625" style="11" bestFit="1" customWidth="1"/>
    <col min="6402" max="6402" width="18.7265625" style="11" bestFit="1" customWidth="1"/>
    <col min="6403" max="6403" width="8.1796875" style="11" bestFit="1" customWidth="1"/>
    <col min="6404" max="6405" width="8.26953125" style="11" bestFit="1" customWidth="1"/>
    <col min="6406" max="6406" width="7.26953125" style="11" bestFit="1" customWidth="1"/>
    <col min="6407" max="6407" width="23.26953125" style="11" customWidth="1"/>
    <col min="6408" max="6408" width="17.1796875" style="11" bestFit="1" customWidth="1"/>
    <col min="6409" max="6409" width="14.453125" style="11" customWidth="1"/>
    <col min="6410" max="6410" width="28.7265625" style="11" bestFit="1" customWidth="1"/>
    <col min="6411" max="6412" width="8.7265625" style="11"/>
    <col min="6413" max="6413" width="13.26953125" style="11" customWidth="1"/>
    <col min="6414" max="6656" width="8.7265625" style="11"/>
    <col min="6657" max="6657" width="24.7265625" style="11" bestFit="1" customWidth="1"/>
    <col min="6658" max="6658" width="18.7265625" style="11" bestFit="1" customWidth="1"/>
    <col min="6659" max="6659" width="8.1796875" style="11" bestFit="1" customWidth="1"/>
    <col min="6660" max="6661" width="8.26953125" style="11" bestFit="1" customWidth="1"/>
    <col min="6662" max="6662" width="7.26953125" style="11" bestFit="1" customWidth="1"/>
    <col min="6663" max="6663" width="23.26953125" style="11" customWidth="1"/>
    <col min="6664" max="6664" width="17.1796875" style="11" bestFit="1" customWidth="1"/>
    <col min="6665" max="6665" width="14.453125" style="11" customWidth="1"/>
    <col min="6666" max="6666" width="28.7265625" style="11" bestFit="1" customWidth="1"/>
    <col min="6667" max="6668" width="8.7265625" style="11"/>
    <col min="6669" max="6669" width="13.26953125" style="11" customWidth="1"/>
    <col min="6670" max="6912" width="8.7265625" style="11"/>
    <col min="6913" max="6913" width="24.7265625" style="11" bestFit="1" customWidth="1"/>
    <col min="6914" max="6914" width="18.7265625" style="11" bestFit="1" customWidth="1"/>
    <col min="6915" max="6915" width="8.1796875" style="11" bestFit="1" customWidth="1"/>
    <col min="6916" max="6917" width="8.26953125" style="11" bestFit="1" customWidth="1"/>
    <col min="6918" max="6918" width="7.26953125" style="11" bestFit="1" customWidth="1"/>
    <col min="6919" max="6919" width="23.26953125" style="11" customWidth="1"/>
    <col min="6920" max="6920" width="17.1796875" style="11" bestFit="1" customWidth="1"/>
    <col min="6921" max="6921" width="14.453125" style="11" customWidth="1"/>
    <col min="6922" max="6922" width="28.7265625" style="11" bestFit="1" customWidth="1"/>
    <col min="6923" max="6924" width="8.7265625" style="11"/>
    <col min="6925" max="6925" width="13.26953125" style="11" customWidth="1"/>
    <col min="6926" max="7168" width="8.7265625" style="11"/>
    <col min="7169" max="7169" width="24.7265625" style="11" bestFit="1" customWidth="1"/>
    <col min="7170" max="7170" width="18.7265625" style="11" bestFit="1" customWidth="1"/>
    <col min="7171" max="7171" width="8.1796875" style="11" bestFit="1" customWidth="1"/>
    <col min="7172" max="7173" width="8.26953125" style="11" bestFit="1" customWidth="1"/>
    <col min="7174" max="7174" width="7.26953125" style="11" bestFit="1" customWidth="1"/>
    <col min="7175" max="7175" width="23.26953125" style="11" customWidth="1"/>
    <col min="7176" max="7176" width="17.1796875" style="11" bestFit="1" customWidth="1"/>
    <col min="7177" max="7177" width="14.453125" style="11" customWidth="1"/>
    <col min="7178" max="7178" width="28.7265625" style="11" bestFit="1" customWidth="1"/>
    <col min="7179" max="7180" width="8.7265625" style="11"/>
    <col min="7181" max="7181" width="13.26953125" style="11" customWidth="1"/>
    <col min="7182" max="7424" width="8.7265625" style="11"/>
    <col min="7425" max="7425" width="24.7265625" style="11" bestFit="1" customWidth="1"/>
    <col min="7426" max="7426" width="18.7265625" style="11" bestFit="1" customWidth="1"/>
    <col min="7427" max="7427" width="8.1796875" style="11" bestFit="1" customWidth="1"/>
    <col min="7428" max="7429" width="8.26953125" style="11" bestFit="1" customWidth="1"/>
    <col min="7430" max="7430" width="7.26953125" style="11" bestFit="1" customWidth="1"/>
    <col min="7431" max="7431" width="23.26953125" style="11" customWidth="1"/>
    <col min="7432" max="7432" width="17.1796875" style="11" bestFit="1" customWidth="1"/>
    <col min="7433" max="7433" width="14.453125" style="11" customWidth="1"/>
    <col min="7434" max="7434" width="28.7265625" style="11" bestFit="1" customWidth="1"/>
    <col min="7435" max="7436" width="8.7265625" style="11"/>
    <col min="7437" max="7437" width="13.26953125" style="11" customWidth="1"/>
    <col min="7438" max="7680" width="8.7265625" style="11"/>
    <col min="7681" max="7681" width="24.7265625" style="11" bestFit="1" customWidth="1"/>
    <col min="7682" max="7682" width="18.7265625" style="11" bestFit="1" customWidth="1"/>
    <col min="7683" max="7683" width="8.1796875" style="11" bestFit="1" customWidth="1"/>
    <col min="7684" max="7685" width="8.26953125" style="11" bestFit="1" customWidth="1"/>
    <col min="7686" max="7686" width="7.26953125" style="11" bestFit="1" customWidth="1"/>
    <col min="7687" max="7687" width="23.26953125" style="11" customWidth="1"/>
    <col min="7688" max="7688" width="17.1796875" style="11" bestFit="1" customWidth="1"/>
    <col min="7689" max="7689" width="14.453125" style="11" customWidth="1"/>
    <col min="7690" max="7690" width="28.7265625" style="11" bestFit="1" customWidth="1"/>
    <col min="7691" max="7692" width="8.7265625" style="11"/>
    <col min="7693" max="7693" width="13.26953125" style="11" customWidth="1"/>
    <col min="7694" max="7936" width="8.7265625" style="11"/>
    <col min="7937" max="7937" width="24.7265625" style="11" bestFit="1" customWidth="1"/>
    <col min="7938" max="7938" width="18.7265625" style="11" bestFit="1" customWidth="1"/>
    <col min="7939" max="7939" width="8.1796875" style="11" bestFit="1" customWidth="1"/>
    <col min="7940" max="7941" width="8.26953125" style="11" bestFit="1" customWidth="1"/>
    <col min="7942" max="7942" width="7.26953125" style="11" bestFit="1" customWidth="1"/>
    <col min="7943" max="7943" width="23.26953125" style="11" customWidth="1"/>
    <col min="7944" max="7944" width="17.1796875" style="11" bestFit="1" customWidth="1"/>
    <col min="7945" max="7945" width="14.453125" style="11" customWidth="1"/>
    <col min="7946" max="7946" width="28.7265625" style="11" bestFit="1" customWidth="1"/>
    <col min="7947" max="7948" width="8.7265625" style="11"/>
    <col min="7949" max="7949" width="13.26953125" style="11" customWidth="1"/>
    <col min="7950" max="8192" width="8.7265625" style="11"/>
    <col min="8193" max="8193" width="24.7265625" style="11" bestFit="1" customWidth="1"/>
    <col min="8194" max="8194" width="18.7265625" style="11" bestFit="1" customWidth="1"/>
    <col min="8195" max="8195" width="8.1796875" style="11" bestFit="1" customWidth="1"/>
    <col min="8196" max="8197" width="8.26953125" style="11" bestFit="1" customWidth="1"/>
    <col min="8198" max="8198" width="7.26953125" style="11" bestFit="1" customWidth="1"/>
    <col min="8199" max="8199" width="23.26953125" style="11" customWidth="1"/>
    <col min="8200" max="8200" width="17.1796875" style="11" bestFit="1" customWidth="1"/>
    <col min="8201" max="8201" width="14.453125" style="11" customWidth="1"/>
    <col min="8202" max="8202" width="28.7265625" style="11" bestFit="1" customWidth="1"/>
    <col min="8203" max="8204" width="8.7265625" style="11"/>
    <col min="8205" max="8205" width="13.26953125" style="11" customWidth="1"/>
    <col min="8206" max="8448" width="8.7265625" style="11"/>
    <col min="8449" max="8449" width="24.7265625" style="11" bestFit="1" customWidth="1"/>
    <col min="8450" max="8450" width="18.7265625" style="11" bestFit="1" customWidth="1"/>
    <col min="8451" max="8451" width="8.1796875" style="11" bestFit="1" customWidth="1"/>
    <col min="8452" max="8453" width="8.26953125" style="11" bestFit="1" customWidth="1"/>
    <col min="8454" max="8454" width="7.26953125" style="11" bestFit="1" customWidth="1"/>
    <col min="8455" max="8455" width="23.26953125" style="11" customWidth="1"/>
    <col min="8456" max="8456" width="17.1796875" style="11" bestFit="1" customWidth="1"/>
    <col min="8457" max="8457" width="14.453125" style="11" customWidth="1"/>
    <col min="8458" max="8458" width="28.7265625" style="11" bestFit="1" customWidth="1"/>
    <col min="8459" max="8460" width="8.7265625" style="11"/>
    <col min="8461" max="8461" width="13.26953125" style="11" customWidth="1"/>
    <col min="8462" max="8704" width="8.7265625" style="11"/>
    <col min="8705" max="8705" width="24.7265625" style="11" bestFit="1" customWidth="1"/>
    <col min="8706" max="8706" width="18.7265625" style="11" bestFit="1" customWidth="1"/>
    <col min="8707" max="8707" width="8.1796875" style="11" bestFit="1" customWidth="1"/>
    <col min="8708" max="8709" width="8.26953125" style="11" bestFit="1" customWidth="1"/>
    <col min="8710" max="8710" width="7.26953125" style="11" bestFit="1" customWidth="1"/>
    <col min="8711" max="8711" width="23.26953125" style="11" customWidth="1"/>
    <col min="8712" max="8712" width="17.1796875" style="11" bestFit="1" customWidth="1"/>
    <col min="8713" max="8713" width="14.453125" style="11" customWidth="1"/>
    <col min="8714" max="8714" width="28.7265625" style="11" bestFit="1" customWidth="1"/>
    <col min="8715" max="8716" width="8.7265625" style="11"/>
    <col min="8717" max="8717" width="13.26953125" style="11" customWidth="1"/>
    <col min="8718" max="8960" width="8.7265625" style="11"/>
    <col min="8961" max="8961" width="24.7265625" style="11" bestFit="1" customWidth="1"/>
    <col min="8962" max="8962" width="18.7265625" style="11" bestFit="1" customWidth="1"/>
    <col min="8963" max="8963" width="8.1796875" style="11" bestFit="1" customWidth="1"/>
    <col min="8964" max="8965" width="8.26953125" style="11" bestFit="1" customWidth="1"/>
    <col min="8966" max="8966" width="7.26953125" style="11" bestFit="1" customWidth="1"/>
    <col min="8967" max="8967" width="23.26953125" style="11" customWidth="1"/>
    <col min="8968" max="8968" width="17.1796875" style="11" bestFit="1" customWidth="1"/>
    <col min="8969" max="8969" width="14.453125" style="11" customWidth="1"/>
    <col min="8970" max="8970" width="28.7265625" style="11" bestFit="1" customWidth="1"/>
    <col min="8971" max="8972" width="8.7265625" style="11"/>
    <col min="8973" max="8973" width="13.26953125" style="11" customWidth="1"/>
    <col min="8974" max="9216" width="8.7265625" style="11"/>
    <col min="9217" max="9217" width="24.7265625" style="11" bestFit="1" customWidth="1"/>
    <col min="9218" max="9218" width="18.7265625" style="11" bestFit="1" customWidth="1"/>
    <col min="9219" max="9219" width="8.1796875" style="11" bestFit="1" customWidth="1"/>
    <col min="9220" max="9221" width="8.26953125" style="11" bestFit="1" customWidth="1"/>
    <col min="9222" max="9222" width="7.26953125" style="11" bestFit="1" customWidth="1"/>
    <col min="9223" max="9223" width="23.26953125" style="11" customWidth="1"/>
    <col min="9224" max="9224" width="17.1796875" style="11" bestFit="1" customWidth="1"/>
    <col min="9225" max="9225" width="14.453125" style="11" customWidth="1"/>
    <col min="9226" max="9226" width="28.7265625" style="11" bestFit="1" customWidth="1"/>
    <col min="9227" max="9228" width="8.7265625" style="11"/>
    <col min="9229" max="9229" width="13.26953125" style="11" customWidth="1"/>
    <col min="9230" max="9472" width="8.7265625" style="11"/>
    <col min="9473" max="9473" width="24.7265625" style="11" bestFit="1" customWidth="1"/>
    <col min="9474" max="9474" width="18.7265625" style="11" bestFit="1" customWidth="1"/>
    <col min="9475" max="9475" width="8.1796875" style="11" bestFit="1" customWidth="1"/>
    <col min="9476" max="9477" width="8.26953125" style="11" bestFit="1" customWidth="1"/>
    <col min="9478" max="9478" width="7.26953125" style="11" bestFit="1" customWidth="1"/>
    <col min="9479" max="9479" width="23.26953125" style="11" customWidth="1"/>
    <col min="9480" max="9480" width="17.1796875" style="11" bestFit="1" customWidth="1"/>
    <col min="9481" max="9481" width="14.453125" style="11" customWidth="1"/>
    <col min="9482" max="9482" width="28.7265625" style="11" bestFit="1" customWidth="1"/>
    <col min="9483" max="9484" width="8.7265625" style="11"/>
    <col min="9485" max="9485" width="13.26953125" style="11" customWidth="1"/>
    <col min="9486" max="9728" width="8.7265625" style="11"/>
    <col min="9729" max="9729" width="24.7265625" style="11" bestFit="1" customWidth="1"/>
    <col min="9730" max="9730" width="18.7265625" style="11" bestFit="1" customWidth="1"/>
    <col min="9731" max="9731" width="8.1796875" style="11" bestFit="1" customWidth="1"/>
    <col min="9732" max="9733" width="8.26953125" style="11" bestFit="1" customWidth="1"/>
    <col min="9734" max="9734" width="7.26953125" style="11" bestFit="1" customWidth="1"/>
    <col min="9735" max="9735" width="23.26953125" style="11" customWidth="1"/>
    <col min="9736" max="9736" width="17.1796875" style="11" bestFit="1" customWidth="1"/>
    <col min="9737" max="9737" width="14.453125" style="11" customWidth="1"/>
    <col min="9738" max="9738" width="28.7265625" style="11" bestFit="1" customWidth="1"/>
    <col min="9739" max="9740" width="8.7265625" style="11"/>
    <col min="9741" max="9741" width="13.26953125" style="11" customWidth="1"/>
    <col min="9742" max="9984" width="8.7265625" style="11"/>
    <col min="9985" max="9985" width="24.7265625" style="11" bestFit="1" customWidth="1"/>
    <col min="9986" max="9986" width="18.7265625" style="11" bestFit="1" customWidth="1"/>
    <col min="9987" max="9987" width="8.1796875" style="11" bestFit="1" customWidth="1"/>
    <col min="9988" max="9989" width="8.26953125" style="11" bestFit="1" customWidth="1"/>
    <col min="9990" max="9990" width="7.26953125" style="11" bestFit="1" customWidth="1"/>
    <col min="9991" max="9991" width="23.26953125" style="11" customWidth="1"/>
    <col min="9992" max="9992" width="17.1796875" style="11" bestFit="1" customWidth="1"/>
    <col min="9993" max="9993" width="14.453125" style="11" customWidth="1"/>
    <col min="9994" max="9994" width="28.7265625" style="11" bestFit="1" customWidth="1"/>
    <col min="9995" max="9996" width="8.7265625" style="11"/>
    <col min="9997" max="9997" width="13.26953125" style="11" customWidth="1"/>
    <col min="9998" max="10240" width="8.7265625" style="11"/>
    <col min="10241" max="10241" width="24.7265625" style="11" bestFit="1" customWidth="1"/>
    <col min="10242" max="10242" width="18.7265625" style="11" bestFit="1" customWidth="1"/>
    <col min="10243" max="10243" width="8.1796875" style="11" bestFit="1" customWidth="1"/>
    <col min="10244" max="10245" width="8.26953125" style="11" bestFit="1" customWidth="1"/>
    <col min="10246" max="10246" width="7.26953125" style="11" bestFit="1" customWidth="1"/>
    <col min="10247" max="10247" width="23.26953125" style="11" customWidth="1"/>
    <col min="10248" max="10248" width="17.1796875" style="11" bestFit="1" customWidth="1"/>
    <col min="10249" max="10249" width="14.453125" style="11" customWidth="1"/>
    <col min="10250" max="10250" width="28.7265625" style="11" bestFit="1" customWidth="1"/>
    <col min="10251" max="10252" width="8.7265625" style="11"/>
    <col min="10253" max="10253" width="13.26953125" style="11" customWidth="1"/>
    <col min="10254" max="10496" width="8.7265625" style="11"/>
    <col min="10497" max="10497" width="24.7265625" style="11" bestFit="1" customWidth="1"/>
    <col min="10498" max="10498" width="18.7265625" style="11" bestFit="1" customWidth="1"/>
    <col min="10499" max="10499" width="8.1796875" style="11" bestFit="1" customWidth="1"/>
    <col min="10500" max="10501" width="8.26953125" style="11" bestFit="1" customWidth="1"/>
    <col min="10502" max="10502" width="7.26953125" style="11" bestFit="1" customWidth="1"/>
    <col min="10503" max="10503" width="23.26953125" style="11" customWidth="1"/>
    <col min="10504" max="10504" width="17.1796875" style="11" bestFit="1" customWidth="1"/>
    <col min="10505" max="10505" width="14.453125" style="11" customWidth="1"/>
    <col min="10506" max="10506" width="28.7265625" style="11" bestFit="1" customWidth="1"/>
    <col min="10507" max="10508" width="8.7265625" style="11"/>
    <col min="10509" max="10509" width="13.26953125" style="11" customWidth="1"/>
    <col min="10510" max="10752" width="8.7265625" style="11"/>
    <col min="10753" max="10753" width="24.7265625" style="11" bestFit="1" customWidth="1"/>
    <col min="10754" max="10754" width="18.7265625" style="11" bestFit="1" customWidth="1"/>
    <col min="10755" max="10755" width="8.1796875" style="11" bestFit="1" customWidth="1"/>
    <col min="10756" max="10757" width="8.26953125" style="11" bestFit="1" customWidth="1"/>
    <col min="10758" max="10758" width="7.26953125" style="11" bestFit="1" customWidth="1"/>
    <col min="10759" max="10759" width="23.26953125" style="11" customWidth="1"/>
    <col min="10760" max="10760" width="17.1796875" style="11" bestFit="1" customWidth="1"/>
    <col min="10761" max="10761" width="14.453125" style="11" customWidth="1"/>
    <col min="10762" max="10762" width="28.7265625" style="11" bestFit="1" customWidth="1"/>
    <col min="10763" max="10764" width="8.7265625" style="11"/>
    <col min="10765" max="10765" width="13.26953125" style="11" customWidth="1"/>
    <col min="10766" max="11008" width="8.7265625" style="11"/>
    <col min="11009" max="11009" width="24.7265625" style="11" bestFit="1" customWidth="1"/>
    <col min="11010" max="11010" width="18.7265625" style="11" bestFit="1" customWidth="1"/>
    <col min="11011" max="11011" width="8.1796875" style="11" bestFit="1" customWidth="1"/>
    <col min="11012" max="11013" width="8.26953125" style="11" bestFit="1" customWidth="1"/>
    <col min="11014" max="11014" width="7.26953125" style="11" bestFit="1" customWidth="1"/>
    <col min="11015" max="11015" width="23.26953125" style="11" customWidth="1"/>
    <col min="11016" max="11016" width="17.1796875" style="11" bestFit="1" customWidth="1"/>
    <col min="11017" max="11017" width="14.453125" style="11" customWidth="1"/>
    <col min="11018" max="11018" width="28.7265625" style="11" bestFit="1" customWidth="1"/>
    <col min="11019" max="11020" width="8.7265625" style="11"/>
    <col min="11021" max="11021" width="13.26953125" style="11" customWidth="1"/>
    <col min="11022" max="11264" width="8.7265625" style="11"/>
    <col min="11265" max="11265" width="24.7265625" style="11" bestFit="1" customWidth="1"/>
    <col min="11266" max="11266" width="18.7265625" style="11" bestFit="1" customWidth="1"/>
    <col min="11267" max="11267" width="8.1796875" style="11" bestFit="1" customWidth="1"/>
    <col min="11268" max="11269" width="8.26953125" style="11" bestFit="1" customWidth="1"/>
    <col min="11270" max="11270" width="7.26953125" style="11" bestFit="1" customWidth="1"/>
    <col min="11271" max="11271" width="23.26953125" style="11" customWidth="1"/>
    <col min="11272" max="11272" width="17.1796875" style="11" bestFit="1" customWidth="1"/>
    <col min="11273" max="11273" width="14.453125" style="11" customWidth="1"/>
    <col min="11274" max="11274" width="28.7265625" style="11" bestFit="1" customWidth="1"/>
    <col min="11275" max="11276" width="8.7265625" style="11"/>
    <col min="11277" max="11277" width="13.26953125" style="11" customWidth="1"/>
    <col min="11278" max="11520" width="8.7265625" style="11"/>
    <col min="11521" max="11521" width="24.7265625" style="11" bestFit="1" customWidth="1"/>
    <col min="11522" max="11522" width="18.7265625" style="11" bestFit="1" customWidth="1"/>
    <col min="11523" max="11523" width="8.1796875" style="11" bestFit="1" customWidth="1"/>
    <col min="11524" max="11525" width="8.26953125" style="11" bestFit="1" customWidth="1"/>
    <col min="11526" max="11526" width="7.26953125" style="11" bestFit="1" customWidth="1"/>
    <col min="11527" max="11527" width="23.26953125" style="11" customWidth="1"/>
    <col min="11528" max="11528" width="17.1796875" style="11" bestFit="1" customWidth="1"/>
    <col min="11529" max="11529" width="14.453125" style="11" customWidth="1"/>
    <col min="11530" max="11530" width="28.7265625" style="11" bestFit="1" customWidth="1"/>
    <col min="11531" max="11532" width="8.7265625" style="11"/>
    <col min="11533" max="11533" width="13.26953125" style="11" customWidth="1"/>
    <col min="11534" max="11776" width="8.7265625" style="11"/>
    <col min="11777" max="11777" width="24.7265625" style="11" bestFit="1" customWidth="1"/>
    <col min="11778" max="11778" width="18.7265625" style="11" bestFit="1" customWidth="1"/>
    <col min="11779" max="11779" width="8.1796875" style="11" bestFit="1" customWidth="1"/>
    <col min="11780" max="11781" width="8.26953125" style="11" bestFit="1" customWidth="1"/>
    <col min="11782" max="11782" width="7.26953125" style="11" bestFit="1" customWidth="1"/>
    <col min="11783" max="11783" width="23.26953125" style="11" customWidth="1"/>
    <col min="11784" max="11784" width="17.1796875" style="11" bestFit="1" customWidth="1"/>
    <col min="11785" max="11785" width="14.453125" style="11" customWidth="1"/>
    <col min="11786" max="11786" width="28.7265625" style="11" bestFit="1" customWidth="1"/>
    <col min="11787" max="11788" width="8.7265625" style="11"/>
    <col min="11789" max="11789" width="13.26953125" style="11" customWidth="1"/>
    <col min="11790" max="12032" width="8.7265625" style="11"/>
    <col min="12033" max="12033" width="24.7265625" style="11" bestFit="1" customWidth="1"/>
    <col min="12034" max="12034" width="18.7265625" style="11" bestFit="1" customWidth="1"/>
    <col min="12035" max="12035" width="8.1796875" style="11" bestFit="1" customWidth="1"/>
    <col min="12036" max="12037" width="8.26953125" style="11" bestFit="1" customWidth="1"/>
    <col min="12038" max="12038" width="7.26953125" style="11" bestFit="1" customWidth="1"/>
    <col min="12039" max="12039" width="23.26953125" style="11" customWidth="1"/>
    <col min="12040" max="12040" width="17.1796875" style="11" bestFit="1" customWidth="1"/>
    <col min="12041" max="12041" width="14.453125" style="11" customWidth="1"/>
    <col min="12042" max="12042" width="28.7265625" style="11" bestFit="1" customWidth="1"/>
    <col min="12043" max="12044" width="8.7265625" style="11"/>
    <col min="12045" max="12045" width="13.26953125" style="11" customWidth="1"/>
    <col min="12046" max="12288" width="8.7265625" style="11"/>
    <col min="12289" max="12289" width="24.7265625" style="11" bestFit="1" customWidth="1"/>
    <col min="12290" max="12290" width="18.7265625" style="11" bestFit="1" customWidth="1"/>
    <col min="12291" max="12291" width="8.1796875" style="11" bestFit="1" customWidth="1"/>
    <col min="12292" max="12293" width="8.26953125" style="11" bestFit="1" customWidth="1"/>
    <col min="12294" max="12294" width="7.26953125" style="11" bestFit="1" customWidth="1"/>
    <col min="12295" max="12295" width="23.26953125" style="11" customWidth="1"/>
    <col min="12296" max="12296" width="17.1796875" style="11" bestFit="1" customWidth="1"/>
    <col min="12297" max="12297" width="14.453125" style="11" customWidth="1"/>
    <col min="12298" max="12298" width="28.7265625" style="11" bestFit="1" customWidth="1"/>
    <col min="12299" max="12300" width="8.7265625" style="11"/>
    <col min="12301" max="12301" width="13.26953125" style="11" customWidth="1"/>
    <col min="12302" max="12544" width="8.7265625" style="11"/>
    <col min="12545" max="12545" width="24.7265625" style="11" bestFit="1" customWidth="1"/>
    <col min="12546" max="12546" width="18.7265625" style="11" bestFit="1" customWidth="1"/>
    <col min="12547" max="12547" width="8.1796875" style="11" bestFit="1" customWidth="1"/>
    <col min="12548" max="12549" width="8.26953125" style="11" bestFit="1" customWidth="1"/>
    <col min="12550" max="12550" width="7.26953125" style="11" bestFit="1" customWidth="1"/>
    <col min="12551" max="12551" width="23.26953125" style="11" customWidth="1"/>
    <col min="12552" max="12552" width="17.1796875" style="11" bestFit="1" customWidth="1"/>
    <col min="12553" max="12553" width="14.453125" style="11" customWidth="1"/>
    <col min="12554" max="12554" width="28.7265625" style="11" bestFit="1" customWidth="1"/>
    <col min="12555" max="12556" width="8.7265625" style="11"/>
    <col min="12557" max="12557" width="13.26953125" style="11" customWidth="1"/>
    <col min="12558" max="12800" width="8.7265625" style="11"/>
    <col min="12801" max="12801" width="24.7265625" style="11" bestFit="1" customWidth="1"/>
    <col min="12802" max="12802" width="18.7265625" style="11" bestFit="1" customWidth="1"/>
    <col min="12803" max="12803" width="8.1796875" style="11" bestFit="1" customWidth="1"/>
    <col min="12804" max="12805" width="8.26953125" style="11" bestFit="1" customWidth="1"/>
    <col min="12806" max="12806" width="7.26953125" style="11" bestFit="1" customWidth="1"/>
    <col min="12807" max="12807" width="23.26953125" style="11" customWidth="1"/>
    <col min="12808" max="12808" width="17.1796875" style="11" bestFit="1" customWidth="1"/>
    <col min="12809" max="12809" width="14.453125" style="11" customWidth="1"/>
    <col min="12810" max="12810" width="28.7265625" style="11" bestFit="1" customWidth="1"/>
    <col min="12811" max="12812" width="8.7265625" style="11"/>
    <col min="12813" max="12813" width="13.26953125" style="11" customWidth="1"/>
    <col min="12814" max="13056" width="8.7265625" style="11"/>
    <col min="13057" max="13057" width="24.7265625" style="11" bestFit="1" customWidth="1"/>
    <col min="13058" max="13058" width="18.7265625" style="11" bestFit="1" customWidth="1"/>
    <col min="13059" max="13059" width="8.1796875" style="11" bestFit="1" customWidth="1"/>
    <col min="13060" max="13061" width="8.26953125" style="11" bestFit="1" customWidth="1"/>
    <col min="13062" max="13062" width="7.26953125" style="11" bestFit="1" customWidth="1"/>
    <col min="13063" max="13063" width="23.26953125" style="11" customWidth="1"/>
    <col min="13064" max="13064" width="17.1796875" style="11" bestFit="1" customWidth="1"/>
    <col min="13065" max="13065" width="14.453125" style="11" customWidth="1"/>
    <col min="13066" max="13066" width="28.7265625" style="11" bestFit="1" customWidth="1"/>
    <col min="13067" max="13068" width="8.7265625" style="11"/>
    <col min="13069" max="13069" width="13.26953125" style="11" customWidth="1"/>
    <col min="13070" max="13312" width="8.7265625" style="11"/>
    <col min="13313" max="13313" width="24.7265625" style="11" bestFit="1" customWidth="1"/>
    <col min="13314" max="13314" width="18.7265625" style="11" bestFit="1" customWidth="1"/>
    <col min="13315" max="13315" width="8.1796875" style="11" bestFit="1" customWidth="1"/>
    <col min="13316" max="13317" width="8.26953125" style="11" bestFit="1" customWidth="1"/>
    <col min="13318" max="13318" width="7.26953125" style="11" bestFit="1" customWidth="1"/>
    <col min="13319" max="13319" width="23.26953125" style="11" customWidth="1"/>
    <col min="13320" max="13320" width="17.1796875" style="11" bestFit="1" customWidth="1"/>
    <col min="13321" max="13321" width="14.453125" style="11" customWidth="1"/>
    <col min="13322" max="13322" width="28.7265625" style="11" bestFit="1" customWidth="1"/>
    <col min="13323" max="13324" width="8.7265625" style="11"/>
    <col min="13325" max="13325" width="13.26953125" style="11" customWidth="1"/>
    <col min="13326" max="13568" width="8.7265625" style="11"/>
    <col min="13569" max="13569" width="24.7265625" style="11" bestFit="1" customWidth="1"/>
    <col min="13570" max="13570" width="18.7265625" style="11" bestFit="1" customWidth="1"/>
    <col min="13571" max="13571" width="8.1796875" style="11" bestFit="1" customWidth="1"/>
    <col min="13572" max="13573" width="8.26953125" style="11" bestFit="1" customWidth="1"/>
    <col min="13574" max="13574" width="7.26953125" style="11" bestFit="1" customWidth="1"/>
    <col min="13575" max="13575" width="23.26953125" style="11" customWidth="1"/>
    <col min="13576" max="13576" width="17.1796875" style="11" bestFit="1" customWidth="1"/>
    <col min="13577" max="13577" width="14.453125" style="11" customWidth="1"/>
    <col min="13578" max="13578" width="28.7265625" style="11" bestFit="1" customWidth="1"/>
    <col min="13579" max="13580" width="8.7265625" style="11"/>
    <col min="13581" max="13581" width="13.26953125" style="11" customWidth="1"/>
    <col min="13582" max="13824" width="8.7265625" style="11"/>
    <col min="13825" max="13825" width="24.7265625" style="11" bestFit="1" customWidth="1"/>
    <col min="13826" max="13826" width="18.7265625" style="11" bestFit="1" customWidth="1"/>
    <col min="13827" max="13827" width="8.1796875" style="11" bestFit="1" customWidth="1"/>
    <col min="13828" max="13829" width="8.26953125" style="11" bestFit="1" customWidth="1"/>
    <col min="13830" max="13830" width="7.26953125" style="11" bestFit="1" customWidth="1"/>
    <col min="13831" max="13831" width="23.26953125" style="11" customWidth="1"/>
    <col min="13832" max="13832" width="17.1796875" style="11" bestFit="1" customWidth="1"/>
    <col min="13833" max="13833" width="14.453125" style="11" customWidth="1"/>
    <col min="13834" max="13834" width="28.7265625" style="11" bestFit="1" customWidth="1"/>
    <col min="13835" max="13836" width="8.7265625" style="11"/>
    <col min="13837" max="13837" width="13.26953125" style="11" customWidth="1"/>
    <col min="13838" max="14080" width="8.7265625" style="11"/>
    <col min="14081" max="14081" width="24.7265625" style="11" bestFit="1" customWidth="1"/>
    <col min="14082" max="14082" width="18.7265625" style="11" bestFit="1" customWidth="1"/>
    <col min="14083" max="14083" width="8.1796875" style="11" bestFit="1" customWidth="1"/>
    <col min="14084" max="14085" width="8.26953125" style="11" bestFit="1" customWidth="1"/>
    <col min="14086" max="14086" width="7.26953125" style="11" bestFit="1" customWidth="1"/>
    <col min="14087" max="14087" width="23.26953125" style="11" customWidth="1"/>
    <col min="14088" max="14088" width="17.1796875" style="11" bestFit="1" customWidth="1"/>
    <col min="14089" max="14089" width="14.453125" style="11" customWidth="1"/>
    <col min="14090" max="14090" width="28.7265625" style="11" bestFit="1" customWidth="1"/>
    <col min="14091" max="14092" width="8.7265625" style="11"/>
    <col min="14093" max="14093" width="13.26953125" style="11" customWidth="1"/>
    <col min="14094" max="14336" width="8.7265625" style="11"/>
    <col min="14337" max="14337" width="24.7265625" style="11" bestFit="1" customWidth="1"/>
    <col min="14338" max="14338" width="18.7265625" style="11" bestFit="1" customWidth="1"/>
    <col min="14339" max="14339" width="8.1796875" style="11" bestFit="1" customWidth="1"/>
    <col min="14340" max="14341" width="8.26953125" style="11" bestFit="1" customWidth="1"/>
    <col min="14342" max="14342" width="7.26953125" style="11" bestFit="1" customWidth="1"/>
    <col min="14343" max="14343" width="23.26953125" style="11" customWidth="1"/>
    <col min="14344" max="14344" width="17.1796875" style="11" bestFit="1" customWidth="1"/>
    <col min="14345" max="14345" width="14.453125" style="11" customWidth="1"/>
    <col min="14346" max="14346" width="28.7265625" style="11" bestFit="1" customWidth="1"/>
    <col min="14347" max="14348" width="8.7265625" style="11"/>
    <col min="14349" max="14349" width="13.26953125" style="11" customWidth="1"/>
    <col min="14350" max="14592" width="8.7265625" style="11"/>
    <col min="14593" max="14593" width="24.7265625" style="11" bestFit="1" customWidth="1"/>
    <col min="14594" max="14594" width="18.7265625" style="11" bestFit="1" customWidth="1"/>
    <col min="14595" max="14595" width="8.1796875" style="11" bestFit="1" customWidth="1"/>
    <col min="14596" max="14597" width="8.26953125" style="11" bestFit="1" customWidth="1"/>
    <col min="14598" max="14598" width="7.26953125" style="11" bestFit="1" customWidth="1"/>
    <col min="14599" max="14599" width="23.26953125" style="11" customWidth="1"/>
    <col min="14600" max="14600" width="17.1796875" style="11" bestFit="1" customWidth="1"/>
    <col min="14601" max="14601" width="14.453125" style="11" customWidth="1"/>
    <col min="14602" max="14602" width="28.7265625" style="11" bestFit="1" customWidth="1"/>
    <col min="14603" max="14604" width="8.7265625" style="11"/>
    <col min="14605" max="14605" width="13.26953125" style="11" customWidth="1"/>
    <col min="14606" max="14848" width="8.7265625" style="11"/>
    <col min="14849" max="14849" width="24.7265625" style="11" bestFit="1" customWidth="1"/>
    <col min="14850" max="14850" width="18.7265625" style="11" bestFit="1" customWidth="1"/>
    <col min="14851" max="14851" width="8.1796875" style="11" bestFit="1" customWidth="1"/>
    <col min="14852" max="14853" width="8.26953125" style="11" bestFit="1" customWidth="1"/>
    <col min="14854" max="14854" width="7.26953125" style="11" bestFit="1" customWidth="1"/>
    <col min="14855" max="14855" width="23.26953125" style="11" customWidth="1"/>
    <col min="14856" max="14856" width="17.1796875" style="11" bestFit="1" customWidth="1"/>
    <col min="14857" max="14857" width="14.453125" style="11" customWidth="1"/>
    <col min="14858" max="14858" width="28.7265625" style="11" bestFit="1" customWidth="1"/>
    <col min="14859" max="14860" width="8.7265625" style="11"/>
    <col min="14861" max="14861" width="13.26953125" style="11" customWidth="1"/>
    <col min="14862" max="15104" width="8.7265625" style="11"/>
    <col min="15105" max="15105" width="24.7265625" style="11" bestFit="1" customWidth="1"/>
    <col min="15106" max="15106" width="18.7265625" style="11" bestFit="1" customWidth="1"/>
    <col min="15107" max="15107" width="8.1796875" style="11" bestFit="1" customWidth="1"/>
    <col min="15108" max="15109" width="8.26953125" style="11" bestFit="1" customWidth="1"/>
    <col min="15110" max="15110" width="7.26953125" style="11" bestFit="1" customWidth="1"/>
    <col min="15111" max="15111" width="23.26953125" style="11" customWidth="1"/>
    <col min="15112" max="15112" width="17.1796875" style="11" bestFit="1" customWidth="1"/>
    <col min="15113" max="15113" width="14.453125" style="11" customWidth="1"/>
    <col min="15114" max="15114" width="28.7265625" style="11" bestFit="1" customWidth="1"/>
    <col min="15115" max="15116" width="8.7265625" style="11"/>
    <col min="15117" max="15117" width="13.26953125" style="11" customWidth="1"/>
    <col min="15118" max="15360" width="8.7265625" style="11"/>
    <col min="15361" max="15361" width="24.7265625" style="11" bestFit="1" customWidth="1"/>
    <col min="15362" max="15362" width="18.7265625" style="11" bestFit="1" customWidth="1"/>
    <col min="15363" max="15363" width="8.1796875" style="11" bestFit="1" customWidth="1"/>
    <col min="15364" max="15365" width="8.26953125" style="11" bestFit="1" customWidth="1"/>
    <col min="15366" max="15366" width="7.26953125" style="11" bestFit="1" customWidth="1"/>
    <col min="15367" max="15367" width="23.26953125" style="11" customWidth="1"/>
    <col min="15368" max="15368" width="17.1796875" style="11" bestFit="1" customWidth="1"/>
    <col min="15369" max="15369" width="14.453125" style="11" customWidth="1"/>
    <col min="15370" max="15370" width="28.7265625" style="11" bestFit="1" customWidth="1"/>
    <col min="15371" max="15372" width="8.7265625" style="11"/>
    <col min="15373" max="15373" width="13.26953125" style="11" customWidth="1"/>
    <col min="15374" max="15616" width="8.7265625" style="11"/>
    <col min="15617" max="15617" width="24.7265625" style="11" bestFit="1" customWidth="1"/>
    <col min="15618" max="15618" width="18.7265625" style="11" bestFit="1" customWidth="1"/>
    <col min="15619" max="15619" width="8.1796875" style="11" bestFit="1" customWidth="1"/>
    <col min="15620" max="15621" width="8.26953125" style="11" bestFit="1" customWidth="1"/>
    <col min="15622" max="15622" width="7.26953125" style="11" bestFit="1" customWidth="1"/>
    <col min="15623" max="15623" width="23.26953125" style="11" customWidth="1"/>
    <col min="15624" max="15624" width="17.1796875" style="11" bestFit="1" customWidth="1"/>
    <col min="15625" max="15625" width="14.453125" style="11" customWidth="1"/>
    <col min="15626" max="15626" width="28.7265625" style="11" bestFit="1" customWidth="1"/>
    <col min="15627" max="15628" width="8.7265625" style="11"/>
    <col min="15629" max="15629" width="13.26953125" style="11" customWidth="1"/>
    <col min="15630" max="15872" width="8.7265625" style="11"/>
    <col min="15873" max="15873" width="24.7265625" style="11" bestFit="1" customWidth="1"/>
    <col min="15874" max="15874" width="18.7265625" style="11" bestFit="1" customWidth="1"/>
    <col min="15875" max="15875" width="8.1796875" style="11" bestFit="1" customWidth="1"/>
    <col min="15876" max="15877" width="8.26953125" style="11" bestFit="1" customWidth="1"/>
    <col min="15878" max="15878" width="7.26953125" style="11" bestFit="1" customWidth="1"/>
    <col min="15879" max="15879" width="23.26953125" style="11" customWidth="1"/>
    <col min="15880" max="15880" width="17.1796875" style="11" bestFit="1" customWidth="1"/>
    <col min="15881" max="15881" width="14.453125" style="11" customWidth="1"/>
    <col min="15882" max="15882" width="28.7265625" style="11" bestFit="1" customWidth="1"/>
    <col min="15883" max="15884" width="8.7265625" style="11"/>
    <col min="15885" max="15885" width="13.26953125" style="11" customWidth="1"/>
    <col min="15886" max="16128" width="8.7265625" style="11"/>
    <col min="16129" max="16129" width="24.7265625" style="11" bestFit="1" customWidth="1"/>
    <col min="16130" max="16130" width="18.7265625" style="11" bestFit="1" customWidth="1"/>
    <col min="16131" max="16131" width="8.1796875" style="11" bestFit="1" customWidth="1"/>
    <col min="16132" max="16133" width="8.26953125" style="11" bestFit="1" customWidth="1"/>
    <col min="16134" max="16134" width="7.26953125" style="11" bestFit="1" customWidth="1"/>
    <col min="16135" max="16135" width="23.26953125" style="11" customWidth="1"/>
    <col min="16136" max="16136" width="17.1796875" style="11" bestFit="1" customWidth="1"/>
    <col min="16137" max="16137" width="14.453125" style="11" customWidth="1"/>
    <col min="16138" max="16138" width="28.7265625" style="11" bestFit="1" customWidth="1"/>
    <col min="16139" max="16140" width="8.7265625" style="11"/>
    <col min="16141" max="16141" width="13.26953125" style="11" customWidth="1"/>
    <col min="16142" max="16384" width="8.7265625" style="11"/>
  </cols>
  <sheetData>
    <row r="1" spans="1:14" s="5" customFormat="1" ht="20.149999999999999" customHeight="1">
      <c r="A1" s="1" t="s">
        <v>0</v>
      </c>
      <c r="B1" s="2" t="s">
        <v>1</v>
      </c>
      <c r="C1" s="2" t="s">
        <v>2</v>
      </c>
      <c r="D1" s="2" t="s">
        <v>3</v>
      </c>
      <c r="E1" s="2" t="s">
        <v>4</v>
      </c>
      <c r="F1" s="2" t="s">
        <v>5</v>
      </c>
      <c r="G1" s="2" t="s">
        <v>6</v>
      </c>
      <c r="H1" s="2" t="s">
        <v>2713</v>
      </c>
      <c r="I1" s="2" t="s">
        <v>2714</v>
      </c>
      <c r="J1" s="2" t="s">
        <v>2715</v>
      </c>
      <c r="K1" s="2" t="s">
        <v>10</v>
      </c>
      <c r="L1" s="2" t="s">
        <v>2716</v>
      </c>
      <c r="M1" s="4" t="s">
        <v>12</v>
      </c>
      <c r="N1" s="461" t="s">
        <v>508</v>
      </c>
    </row>
    <row r="2" spans="1:14" ht="13.5" customHeight="1">
      <c r="A2" s="6" t="s">
        <v>2717</v>
      </c>
      <c r="B2" s="7" t="s">
        <v>14</v>
      </c>
      <c r="C2" s="7"/>
      <c r="D2" s="7">
        <v>1</v>
      </c>
      <c r="E2" s="7">
        <f>E8</f>
        <v>50</v>
      </c>
      <c r="F2" s="7">
        <f>SUM(F3:F8)</f>
        <v>50</v>
      </c>
      <c r="G2" s="9"/>
      <c r="H2" s="9"/>
      <c r="I2" s="9"/>
      <c r="J2" s="7"/>
      <c r="K2" s="7"/>
      <c r="L2" s="7"/>
      <c r="M2" s="17" t="s">
        <v>290</v>
      </c>
      <c r="N2" s="61"/>
    </row>
    <row r="3" spans="1:14" ht="24" customHeight="1">
      <c r="A3" s="12" t="s">
        <v>17</v>
      </c>
      <c r="B3" s="13" t="s">
        <v>18</v>
      </c>
      <c r="C3" s="14">
        <v>1</v>
      </c>
      <c r="D3" s="14">
        <v>1</v>
      </c>
      <c r="E3" s="14">
        <f t="shared" ref="E3:E8" si="0">D3+F3-1</f>
        <v>1</v>
      </c>
      <c r="F3" s="14">
        <v>1</v>
      </c>
      <c r="G3" s="16" t="s">
        <v>19</v>
      </c>
      <c r="H3" s="16"/>
      <c r="I3" s="16"/>
      <c r="J3" s="14"/>
      <c r="K3" s="14"/>
      <c r="L3" s="14"/>
      <c r="M3" s="17" t="s">
        <v>290</v>
      </c>
      <c r="N3" s="61"/>
    </row>
    <row r="4" spans="1:14" ht="20.149999999999999" customHeight="1">
      <c r="A4" s="18" t="s">
        <v>2718</v>
      </c>
      <c r="B4" s="18" t="s">
        <v>2719</v>
      </c>
      <c r="C4" s="19">
        <v>2</v>
      </c>
      <c r="D4" s="19">
        <f>E3+1</f>
        <v>2</v>
      </c>
      <c r="E4" s="19">
        <f t="shared" si="0"/>
        <v>16</v>
      </c>
      <c r="F4" s="19">
        <v>15</v>
      </c>
      <c r="G4" s="18" t="s">
        <v>2720</v>
      </c>
      <c r="H4" s="16"/>
      <c r="I4" s="16"/>
      <c r="J4" s="14"/>
      <c r="K4" s="14"/>
      <c r="L4" s="14"/>
      <c r="M4" s="17"/>
      <c r="N4" s="61"/>
    </row>
    <row r="5" spans="1:14" ht="20.149999999999999" customHeight="1">
      <c r="A5" s="18" t="s">
        <v>2721</v>
      </c>
      <c r="B5" s="18" t="s">
        <v>2722</v>
      </c>
      <c r="C5" s="19">
        <v>3</v>
      </c>
      <c r="D5" s="19">
        <f>E4+1</f>
        <v>17</v>
      </c>
      <c r="E5" s="19">
        <f t="shared" si="0"/>
        <v>26</v>
      </c>
      <c r="F5" s="19">
        <v>10</v>
      </c>
      <c r="G5" s="18" t="s">
        <v>2723</v>
      </c>
      <c r="H5" s="16"/>
      <c r="I5" s="16"/>
      <c r="J5" s="14"/>
      <c r="K5" s="14"/>
      <c r="L5" s="14"/>
      <c r="M5" s="17"/>
      <c r="N5" s="61"/>
    </row>
    <row r="6" spans="1:14" ht="20.149999999999999" customHeight="1">
      <c r="A6" s="18" t="s">
        <v>2724</v>
      </c>
      <c r="B6" s="18" t="s">
        <v>2725</v>
      </c>
      <c r="C6" s="19">
        <v>4</v>
      </c>
      <c r="D6" s="19">
        <f>E5+1</f>
        <v>27</v>
      </c>
      <c r="E6" s="19">
        <f t="shared" si="0"/>
        <v>34</v>
      </c>
      <c r="F6" s="19">
        <v>8</v>
      </c>
      <c r="G6" s="18" t="s">
        <v>2726</v>
      </c>
      <c r="H6" s="16"/>
      <c r="I6" s="16"/>
      <c r="J6" s="14"/>
      <c r="K6" s="14"/>
      <c r="L6" s="14"/>
      <c r="M6" s="17"/>
      <c r="N6" s="61"/>
    </row>
    <row r="7" spans="1:14" ht="20.149999999999999" customHeight="1">
      <c r="A7" s="12" t="s">
        <v>2727</v>
      </c>
      <c r="B7" s="13" t="s">
        <v>2728</v>
      </c>
      <c r="C7" s="14">
        <v>5</v>
      </c>
      <c r="D7" s="19">
        <f>E6+1</f>
        <v>35</v>
      </c>
      <c r="E7" s="14">
        <f t="shared" si="0"/>
        <v>49</v>
      </c>
      <c r="F7" s="14">
        <v>15</v>
      </c>
      <c r="G7" s="26" t="s">
        <v>3115</v>
      </c>
      <c r="H7" s="26"/>
      <c r="I7" s="26"/>
      <c r="J7" s="14"/>
      <c r="K7" s="14"/>
      <c r="L7" s="14"/>
      <c r="M7" s="17" t="s">
        <v>290</v>
      </c>
      <c r="N7" s="61"/>
    </row>
    <row r="8" spans="1:14" s="23" customFormat="1" ht="10">
      <c r="A8" s="18" t="s">
        <v>2729</v>
      </c>
      <c r="B8" s="18" t="s">
        <v>2730</v>
      </c>
      <c r="C8" s="19">
        <v>6</v>
      </c>
      <c r="D8" s="19">
        <f>E7+1</f>
        <v>50</v>
      </c>
      <c r="E8" s="14">
        <f t="shared" si="0"/>
        <v>50</v>
      </c>
      <c r="F8" s="19">
        <v>1</v>
      </c>
      <c r="G8" s="18" t="s">
        <v>2731</v>
      </c>
      <c r="H8" s="20"/>
      <c r="I8" s="20"/>
      <c r="J8" s="18"/>
      <c r="K8" s="19"/>
      <c r="L8" s="19"/>
      <c r="M8" s="21"/>
      <c r="N8" s="22"/>
    </row>
    <row r="9" spans="1:14" ht="20.149999999999999" customHeight="1">
      <c r="A9" s="6" t="s">
        <v>2732</v>
      </c>
      <c r="B9" s="7" t="s">
        <v>14</v>
      </c>
      <c r="C9" s="27" t="s">
        <v>2733</v>
      </c>
      <c r="D9" s="7">
        <v>1</v>
      </c>
      <c r="E9" s="7">
        <f>E98</f>
        <v>509</v>
      </c>
      <c r="F9" s="7">
        <f>SUM(F10:F98)</f>
        <v>513</v>
      </c>
      <c r="G9" s="29"/>
      <c r="H9" s="29"/>
      <c r="I9" s="29"/>
      <c r="J9" s="7"/>
      <c r="K9" s="7"/>
      <c r="L9" s="7"/>
      <c r="M9" s="17" t="s">
        <v>290</v>
      </c>
      <c r="N9" s="61"/>
    </row>
    <row r="10" spans="1:14" ht="24.75" customHeight="1">
      <c r="A10" s="30" t="s">
        <v>2734</v>
      </c>
      <c r="B10" s="13" t="s">
        <v>18</v>
      </c>
      <c r="C10" s="14">
        <v>7</v>
      </c>
      <c r="D10" s="31">
        <v>1</v>
      </c>
      <c r="E10" s="14">
        <f>D10+F10-1</f>
        <v>1</v>
      </c>
      <c r="F10" s="31">
        <v>1</v>
      </c>
      <c r="G10" s="16" t="s">
        <v>38</v>
      </c>
      <c r="H10" s="16"/>
      <c r="I10" s="16"/>
      <c r="J10" s="31"/>
      <c r="K10" s="31"/>
      <c r="L10" s="31"/>
      <c r="M10" s="17" t="s">
        <v>2735</v>
      </c>
      <c r="N10" s="61"/>
    </row>
    <row r="11" spans="1:14" ht="20.149999999999999" customHeight="1">
      <c r="A11" s="645" t="s">
        <v>2736</v>
      </c>
      <c r="B11" s="13" t="s">
        <v>2737</v>
      </c>
      <c r="C11" s="14">
        <v>8</v>
      </c>
      <c r="D11" s="14">
        <f>D10+F10</f>
        <v>2</v>
      </c>
      <c r="E11" s="14">
        <f t="shared" ref="E11:E74" si="1">D11+F11-1</f>
        <v>15</v>
      </c>
      <c r="F11" s="14">
        <v>14</v>
      </c>
      <c r="G11" s="16" t="s">
        <v>2738</v>
      </c>
      <c r="H11" s="16" t="s">
        <v>297</v>
      </c>
      <c r="I11" s="16" t="s">
        <v>2739</v>
      </c>
      <c r="J11" s="71" t="s">
        <v>2740</v>
      </c>
      <c r="K11" s="14" t="s">
        <v>2741</v>
      </c>
      <c r="L11" s="608" t="s">
        <v>2742</v>
      </c>
      <c r="M11" s="17" t="s">
        <v>290</v>
      </c>
      <c r="N11" s="61" t="s">
        <v>2743</v>
      </c>
    </row>
    <row r="12" spans="1:14" ht="30">
      <c r="A12" s="33" t="s">
        <v>2744</v>
      </c>
      <c r="B12" s="13" t="s">
        <v>2730</v>
      </c>
      <c r="C12" s="14">
        <v>9</v>
      </c>
      <c r="D12" s="14">
        <f t="shared" ref="D12:D75" si="2">D11+F11</f>
        <v>16</v>
      </c>
      <c r="E12" s="14">
        <f t="shared" si="1"/>
        <v>16</v>
      </c>
      <c r="F12" s="14">
        <v>1</v>
      </c>
      <c r="G12" s="75" t="s">
        <v>2745</v>
      </c>
      <c r="H12" s="16"/>
      <c r="I12" s="16"/>
      <c r="J12" s="71" t="s">
        <v>2746</v>
      </c>
      <c r="K12" s="14"/>
      <c r="L12" s="608" t="s">
        <v>2747</v>
      </c>
      <c r="M12" s="17"/>
      <c r="N12" s="61" t="s">
        <v>2743</v>
      </c>
    </row>
    <row r="13" spans="1:14" ht="20.149999999999999" customHeight="1">
      <c r="A13" s="33" t="s">
        <v>2748</v>
      </c>
      <c r="B13" s="13" t="s">
        <v>2749</v>
      </c>
      <c r="C13" s="14">
        <v>10</v>
      </c>
      <c r="D13" s="14">
        <f t="shared" si="2"/>
        <v>17</v>
      </c>
      <c r="E13" s="14">
        <f t="shared" si="1"/>
        <v>22</v>
      </c>
      <c r="F13" s="14">
        <v>6</v>
      </c>
      <c r="G13" s="16"/>
      <c r="H13" s="16"/>
      <c r="I13" s="16"/>
      <c r="J13" s="71" t="s">
        <v>2750</v>
      </c>
      <c r="K13" s="14"/>
      <c r="L13" s="608" t="s">
        <v>2751</v>
      </c>
      <c r="M13" s="17"/>
      <c r="N13" s="61" t="s">
        <v>2743</v>
      </c>
    </row>
    <row r="14" spans="1:14" ht="20.5">
      <c r="A14" s="33" t="s">
        <v>2752</v>
      </c>
      <c r="B14" s="13" t="s">
        <v>2753</v>
      </c>
      <c r="C14" s="14">
        <v>11</v>
      </c>
      <c r="D14" s="14">
        <f t="shared" si="2"/>
        <v>23</v>
      </c>
      <c r="E14" s="14">
        <f t="shared" si="1"/>
        <v>28</v>
      </c>
      <c r="F14" s="14">
        <v>6</v>
      </c>
      <c r="G14" s="16" t="s">
        <v>2754</v>
      </c>
      <c r="H14" s="16"/>
      <c r="I14" s="16"/>
      <c r="J14" s="71" t="s">
        <v>2755</v>
      </c>
      <c r="K14" s="14"/>
      <c r="L14" s="608" t="s">
        <v>2756</v>
      </c>
      <c r="M14" s="17"/>
      <c r="N14" s="61" t="s">
        <v>2743</v>
      </c>
    </row>
    <row r="15" spans="1:14" ht="20.149999999999999" customHeight="1">
      <c r="A15" s="33" t="s">
        <v>2757</v>
      </c>
      <c r="B15" s="13" t="s">
        <v>2730</v>
      </c>
      <c r="C15" s="14">
        <v>12</v>
      </c>
      <c r="D15" s="14">
        <f t="shared" si="2"/>
        <v>29</v>
      </c>
      <c r="E15" s="14">
        <f t="shared" si="1"/>
        <v>29</v>
      </c>
      <c r="F15" s="14">
        <v>1</v>
      </c>
      <c r="G15" s="16" t="s">
        <v>2758</v>
      </c>
      <c r="H15" s="16"/>
      <c r="I15" s="16"/>
      <c r="J15" s="71" t="s">
        <v>2759</v>
      </c>
      <c r="K15" s="14"/>
      <c r="L15" s="608" t="s">
        <v>2760</v>
      </c>
      <c r="M15" s="17"/>
      <c r="N15" s="61" t="s">
        <v>2743</v>
      </c>
    </row>
    <row r="16" spans="1:14" ht="40.5">
      <c r="A16" s="33" t="s">
        <v>2761</v>
      </c>
      <c r="B16" s="13" t="s">
        <v>2762</v>
      </c>
      <c r="C16" s="14">
        <v>13</v>
      </c>
      <c r="D16" s="14">
        <f t="shared" si="2"/>
        <v>30</v>
      </c>
      <c r="E16" s="14">
        <f t="shared" si="1"/>
        <v>33</v>
      </c>
      <c r="F16" s="14">
        <v>4</v>
      </c>
      <c r="G16" s="16" t="s">
        <v>2763</v>
      </c>
      <c r="H16" s="16"/>
      <c r="I16" s="16"/>
      <c r="J16" s="71" t="s">
        <v>2764</v>
      </c>
      <c r="K16" s="14"/>
      <c r="L16" s="608" t="s">
        <v>2765</v>
      </c>
      <c r="M16" s="17"/>
      <c r="N16" s="61" t="s">
        <v>2743</v>
      </c>
    </row>
    <row r="17" spans="1:14" ht="20.149999999999999" customHeight="1">
      <c r="A17" s="33" t="s">
        <v>2766</v>
      </c>
      <c r="B17" s="13" t="s">
        <v>2730</v>
      </c>
      <c r="C17" s="14">
        <v>14</v>
      </c>
      <c r="D17" s="14">
        <f t="shared" si="2"/>
        <v>34</v>
      </c>
      <c r="E17" s="14">
        <f t="shared" si="1"/>
        <v>34</v>
      </c>
      <c r="F17" s="14">
        <v>1</v>
      </c>
      <c r="G17" s="16" t="s">
        <v>2767</v>
      </c>
      <c r="H17" s="16"/>
      <c r="I17" s="16"/>
      <c r="J17" s="71" t="s">
        <v>2768</v>
      </c>
      <c r="K17" s="14"/>
      <c r="L17" s="608" t="s">
        <v>2769</v>
      </c>
      <c r="M17" s="17"/>
      <c r="N17" s="61" t="s">
        <v>2743</v>
      </c>
    </row>
    <row r="18" spans="1:14" ht="20.5">
      <c r="A18" s="33" t="s">
        <v>2770</v>
      </c>
      <c r="B18" s="13" t="s">
        <v>2771</v>
      </c>
      <c r="C18" s="14">
        <v>15</v>
      </c>
      <c r="D18" s="14">
        <f t="shared" si="2"/>
        <v>35</v>
      </c>
      <c r="E18" s="14">
        <f t="shared" si="1"/>
        <v>37</v>
      </c>
      <c r="F18" s="14">
        <v>3</v>
      </c>
      <c r="G18" s="16" t="s">
        <v>2772</v>
      </c>
      <c r="H18" s="16"/>
      <c r="I18" s="16"/>
      <c r="J18" s="71" t="s">
        <v>2773</v>
      </c>
      <c r="K18" s="14"/>
      <c r="L18" s="608" t="s">
        <v>2774</v>
      </c>
      <c r="M18" s="17"/>
      <c r="N18" s="61" t="s">
        <v>2743</v>
      </c>
    </row>
    <row r="19" spans="1:14" ht="12.5">
      <c r="A19" s="33" t="s">
        <v>2775</v>
      </c>
      <c r="B19" s="13" t="s">
        <v>2771</v>
      </c>
      <c r="C19" s="14">
        <v>16</v>
      </c>
      <c r="D19" s="14">
        <f t="shared" si="2"/>
        <v>38</v>
      </c>
      <c r="E19" s="14">
        <f t="shared" si="1"/>
        <v>40</v>
      </c>
      <c r="F19" s="14">
        <v>3</v>
      </c>
      <c r="G19" s="16" t="s">
        <v>308</v>
      </c>
      <c r="H19" s="16"/>
      <c r="I19" s="16"/>
      <c r="J19" s="71" t="s">
        <v>2776</v>
      </c>
      <c r="K19" s="14"/>
      <c r="L19" s="608" t="s">
        <v>2777</v>
      </c>
      <c r="M19" s="17"/>
      <c r="N19" s="61" t="s">
        <v>2743</v>
      </c>
    </row>
    <row r="20" spans="1:14" ht="20.149999999999999" customHeight="1">
      <c r="A20" s="33" t="s">
        <v>2778</v>
      </c>
      <c r="B20" s="13" t="s">
        <v>2771</v>
      </c>
      <c r="C20" s="14">
        <v>17</v>
      </c>
      <c r="D20" s="14">
        <f t="shared" si="2"/>
        <v>41</v>
      </c>
      <c r="E20" s="14">
        <f t="shared" si="1"/>
        <v>43</v>
      </c>
      <c r="F20" s="14">
        <v>3</v>
      </c>
      <c r="G20" s="16" t="s">
        <v>2779</v>
      </c>
      <c r="H20" s="16"/>
      <c r="I20" s="16"/>
      <c r="J20" s="71" t="s">
        <v>2780</v>
      </c>
      <c r="K20" s="14"/>
      <c r="L20" s="608" t="s">
        <v>2781</v>
      </c>
      <c r="M20" s="17"/>
      <c r="N20" s="61" t="s">
        <v>2743</v>
      </c>
    </row>
    <row r="21" spans="1:14" ht="20.149999999999999" customHeight="1">
      <c r="A21" s="33" t="s">
        <v>2782</v>
      </c>
      <c r="B21" s="13" t="s">
        <v>2749</v>
      </c>
      <c r="C21" s="14">
        <v>18</v>
      </c>
      <c r="D21" s="14">
        <f t="shared" si="2"/>
        <v>44</v>
      </c>
      <c r="E21" s="14">
        <f t="shared" si="1"/>
        <v>49</v>
      </c>
      <c r="F21" s="14">
        <v>6</v>
      </c>
      <c r="G21" s="16"/>
      <c r="H21" s="16"/>
      <c r="I21" s="16"/>
      <c r="J21" s="71" t="s">
        <v>2783</v>
      </c>
      <c r="K21" s="14"/>
      <c r="L21" s="608" t="s">
        <v>2784</v>
      </c>
      <c r="M21" s="17"/>
      <c r="N21" s="61" t="s">
        <v>2743</v>
      </c>
    </row>
    <row r="22" spans="1:14" ht="24" customHeight="1">
      <c r="A22" s="33" t="s">
        <v>2785</v>
      </c>
      <c r="B22" s="13" t="s">
        <v>2725</v>
      </c>
      <c r="C22" s="14">
        <v>19</v>
      </c>
      <c r="D22" s="14">
        <f t="shared" si="2"/>
        <v>50</v>
      </c>
      <c r="E22" s="14">
        <f t="shared" si="1"/>
        <v>57</v>
      </c>
      <c r="F22" s="14">
        <v>8</v>
      </c>
      <c r="G22" s="16"/>
      <c r="H22" s="16"/>
      <c r="I22" s="16"/>
      <c r="J22" s="71" t="s">
        <v>2786</v>
      </c>
      <c r="K22" s="14"/>
      <c r="L22" s="608" t="s">
        <v>2787</v>
      </c>
      <c r="M22" s="17"/>
      <c r="N22" s="61" t="s">
        <v>2743</v>
      </c>
    </row>
    <row r="23" spans="1:14" ht="50.25" customHeight="1">
      <c r="A23" s="33" t="s">
        <v>2788</v>
      </c>
      <c r="B23" s="13" t="s">
        <v>2730</v>
      </c>
      <c r="C23" s="14">
        <v>20</v>
      </c>
      <c r="D23" s="14">
        <f t="shared" si="2"/>
        <v>58</v>
      </c>
      <c r="E23" s="14">
        <f t="shared" si="1"/>
        <v>58</v>
      </c>
      <c r="F23" s="14">
        <v>1</v>
      </c>
      <c r="G23" s="16" t="s">
        <v>2789</v>
      </c>
      <c r="H23" s="16"/>
      <c r="I23" s="16"/>
      <c r="J23" s="71" t="s">
        <v>2790</v>
      </c>
      <c r="K23" s="14"/>
      <c r="L23" s="608" t="s">
        <v>2791</v>
      </c>
      <c r="M23" s="17"/>
      <c r="N23" s="61" t="s">
        <v>2743</v>
      </c>
    </row>
    <row r="24" spans="1:14" ht="12.5">
      <c r="A24" s="33" t="s">
        <v>2792</v>
      </c>
      <c r="B24" s="13" t="s">
        <v>2730</v>
      </c>
      <c r="C24" s="14">
        <v>21</v>
      </c>
      <c r="D24" s="14">
        <f t="shared" si="2"/>
        <v>59</v>
      </c>
      <c r="E24" s="14">
        <f t="shared" si="1"/>
        <v>59</v>
      </c>
      <c r="F24" s="14">
        <v>1</v>
      </c>
      <c r="G24" s="16" t="s">
        <v>2793</v>
      </c>
      <c r="H24" s="16"/>
      <c r="I24" s="16"/>
      <c r="J24" s="71" t="s">
        <v>2794</v>
      </c>
      <c r="K24" s="14"/>
      <c r="L24" s="608" t="s">
        <v>2795</v>
      </c>
      <c r="M24" s="17"/>
      <c r="N24" s="61" t="s">
        <v>2743</v>
      </c>
    </row>
    <row r="25" spans="1:14" ht="20.5">
      <c r="A25" s="33" t="s">
        <v>2796</v>
      </c>
      <c r="B25" s="609" t="s">
        <v>2725</v>
      </c>
      <c r="C25" s="14">
        <v>22</v>
      </c>
      <c r="D25" s="14">
        <f t="shared" si="2"/>
        <v>60</v>
      </c>
      <c r="E25" s="14">
        <f t="shared" si="1"/>
        <v>67</v>
      </c>
      <c r="F25" s="183">
        <v>8</v>
      </c>
      <c r="G25" s="188" t="s">
        <v>2797</v>
      </c>
      <c r="H25" s="16"/>
      <c r="I25" s="16"/>
      <c r="J25" s="71" t="s">
        <v>2798</v>
      </c>
      <c r="K25" s="14"/>
      <c r="L25" s="608" t="s">
        <v>2799</v>
      </c>
      <c r="M25" s="17"/>
      <c r="N25" s="61" t="s">
        <v>2743</v>
      </c>
    </row>
    <row r="26" spans="1:14" ht="58.5" customHeight="1">
      <c r="A26" s="33" t="s">
        <v>2800</v>
      </c>
      <c r="B26" s="13" t="s">
        <v>2801</v>
      </c>
      <c r="C26" s="14">
        <v>23</v>
      </c>
      <c r="D26" s="14">
        <f t="shared" si="2"/>
        <v>68</v>
      </c>
      <c r="E26" s="14">
        <f t="shared" si="1"/>
        <v>70</v>
      </c>
      <c r="F26" s="14">
        <v>3</v>
      </c>
      <c r="G26" s="16" t="s">
        <v>2802</v>
      </c>
      <c r="H26" s="16"/>
      <c r="I26" s="16"/>
      <c r="J26" s="71" t="s">
        <v>2803</v>
      </c>
      <c r="K26" s="14"/>
      <c r="L26" s="608" t="s">
        <v>2804</v>
      </c>
      <c r="M26" s="17"/>
      <c r="N26" s="61" t="s">
        <v>2743</v>
      </c>
    </row>
    <row r="27" spans="1:14" ht="40.5">
      <c r="A27" s="33" t="s">
        <v>2805</v>
      </c>
      <c r="B27" s="13" t="s">
        <v>2762</v>
      </c>
      <c r="C27" s="14">
        <v>24</v>
      </c>
      <c r="D27" s="14">
        <f t="shared" si="2"/>
        <v>71</v>
      </c>
      <c r="E27" s="14">
        <f t="shared" si="1"/>
        <v>74</v>
      </c>
      <c r="F27" s="14">
        <v>4</v>
      </c>
      <c r="G27" s="16" t="s">
        <v>2806</v>
      </c>
      <c r="H27" s="16"/>
      <c r="I27" s="16"/>
      <c r="J27" s="71" t="s">
        <v>2807</v>
      </c>
      <c r="K27" s="14"/>
      <c r="L27" s="36">
        <v>1545</v>
      </c>
      <c r="M27" s="17"/>
      <c r="N27" s="61" t="s">
        <v>2743</v>
      </c>
    </row>
    <row r="28" spans="1:14" ht="20.5">
      <c r="A28" s="33" t="s">
        <v>2808</v>
      </c>
      <c r="B28" s="13" t="s">
        <v>2730</v>
      </c>
      <c r="C28" s="14">
        <v>25</v>
      </c>
      <c r="D28" s="14">
        <f t="shared" si="2"/>
        <v>75</v>
      </c>
      <c r="E28" s="14">
        <f t="shared" si="1"/>
        <v>75</v>
      </c>
      <c r="F28" s="14">
        <v>1</v>
      </c>
      <c r="G28" s="16" t="s">
        <v>2809</v>
      </c>
      <c r="H28" s="16"/>
      <c r="I28" s="16"/>
      <c r="J28" s="71" t="s">
        <v>2810</v>
      </c>
      <c r="K28" s="14"/>
      <c r="L28" s="608" t="s">
        <v>2811</v>
      </c>
      <c r="M28" s="17"/>
      <c r="N28" s="61" t="s">
        <v>2743</v>
      </c>
    </row>
    <row r="29" spans="1:14" ht="33" customHeight="1">
      <c r="A29" s="646" t="s">
        <v>2812</v>
      </c>
      <c r="B29" s="13" t="s">
        <v>2813</v>
      </c>
      <c r="C29" s="14">
        <v>26</v>
      </c>
      <c r="D29" s="14">
        <f t="shared" si="2"/>
        <v>76</v>
      </c>
      <c r="E29" s="14">
        <f t="shared" si="1"/>
        <v>77</v>
      </c>
      <c r="F29" s="14">
        <v>2</v>
      </c>
      <c r="G29" s="610" t="s">
        <v>3147</v>
      </c>
      <c r="H29" s="16"/>
      <c r="I29" s="16"/>
      <c r="J29" s="71" t="s">
        <v>2814</v>
      </c>
      <c r="K29" s="14"/>
      <c r="L29" s="608" t="s">
        <v>2815</v>
      </c>
      <c r="M29" s="17"/>
      <c r="N29" s="61" t="s">
        <v>2743</v>
      </c>
    </row>
    <row r="30" spans="1:14" ht="20.149999999999999" customHeight="1">
      <c r="A30" s="33" t="s">
        <v>2816</v>
      </c>
      <c r="B30" s="13" t="s">
        <v>2730</v>
      </c>
      <c r="C30" s="14">
        <v>27</v>
      </c>
      <c r="D30" s="14">
        <f t="shared" si="2"/>
        <v>78</v>
      </c>
      <c r="E30" s="14">
        <f t="shared" si="1"/>
        <v>78</v>
      </c>
      <c r="F30" s="14">
        <v>1</v>
      </c>
      <c r="G30" s="16" t="s">
        <v>2817</v>
      </c>
      <c r="H30" s="16"/>
      <c r="I30" s="16"/>
      <c r="J30" s="71" t="s">
        <v>2818</v>
      </c>
      <c r="K30" s="14"/>
      <c r="L30" s="608" t="s">
        <v>2819</v>
      </c>
      <c r="M30" s="17"/>
      <c r="N30" s="11" t="s">
        <v>2743</v>
      </c>
    </row>
    <row r="31" spans="1:14" ht="98.25" customHeight="1">
      <c r="A31" s="33" t="s">
        <v>2820</v>
      </c>
      <c r="B31" s="13" t="s">
        <v>2730</v>
      </c>
      <c r="C31" s="14">
        <v>28</v>
      </c>
      <c r="D31" s="14">
        <f t="shared" si="2"/>
        <v>79</v>
      </c>
      <c r="E31" s="14">
        <f t="shared" si="1"/>
        <v>79</v>
      </c>
      <c r="F31" s="14">
        <v>1</v>
      </c>
      <c r="G31" s="16" t="s">
        <v>2821</v>
      </c>
      <c r="H31" s="16"/>
      <c r="I31" s="16"/>
      <c r="J31" s="71" t="s">
        <v>2822</v>
      </c>
      <c r="K31" s="14"/>
      <c r="L31" s="608" t="s">
        <v>2823</v>
      </c>
      <c r="M31" s="17"/>
      <c r="N31" s="11" t="s">
        <v>2743</v>
      </c>
    </row>
    <row r="32" spans="1:14" ht="40.5">
      <c r="A32" s="33" t="s">
        <v>2824</v>
      </c>
      <c r="B32" s="13" t="s">
        <v>2730</v>
      </c>
      <c r="C32" s="14">
        <v>29</v>
      </c>
      <c r="D32" s="14">
        <f t="shared" si="2"/>
        <v>80</v>
      </c>
      <c r="E32" s="14">
        <f t="shared" si="1"/>
        <v>80</v>
      </c>
      <c r="F32" s="14">
        <v>1</v>
      </c>
      <c r="G32" s="16" t="s">
        <v>2825</v>
      </c>
      <c r="H32" s="16"/>
      <c r="I32" s="16"/>
      <c r="J32" s="71" t="s">
        <v>2826</v>
      </c>
      <c r="K32" s="14"/>
      <c r="L32" s="608" t="s">
        <v>2827</v>
      </c>
      <c r="M32" s="17"/>
      <c r="N32" s="11" t="s">
        <v>2743</v>
      </c>
    </row>
    <row r="33" spans="1:14" ht="40.5">
      <c r="A33" s="33" t="s">
        <v>2828</v>
      </c>
      <c r="B33" s="13" t="s">
        <v>2829</v>
      </c>
      <c r="C33" s="14">
        <v>30</v>
      </c>
      <c r="D33" s="14">
        <f t="shared" si="2"/>
        <v>81</v>
      </c>
      <c r="E33" s="14">
        <f t="shared" si="1"/>
        <v>81</v>
      </c>
      <c r="F33" s="14">
        <v>1</v>
      </c>
      <c r="G33" s="16" t="s">
        <v>2830</v>
      </c>
      <c r="H33" s="16"/>
      <c r="I33" s="16"/>
      <c r="J33" s="71" t="s">
        <v>2831</v>
      </c>
      <c r="K33" s="14"/>
      <c r="L33" s="608" t="s">
        <v>2832</v>
      </c>
      <c r="M33" s="17"/>
      <c r="N33" s="11" t="s">
        <v>2743</v>
      </c>
    </row>
    <row r="34" spans="1:14" ht="24" customHeight="1">
      <c r="A34" s="33" t="s">
        <v>2833</v>
      </c>
      <c r="B34" s="13" t="s">
        <v>2801</v>
      </c>
      <c r="C34" s="14">
        <v>31</v>
      </c>
      <c r="D34" s="14">
        <f t="shared" si="2"/>
        <v>82</v>
      </c>
      <c r="E34" s="14">
        <f t="shared" si="1"/>
        <v>84</v>
      </c>
      <c r="F34" s="14">
        <v>3</v>
      </c>
      <c r="G34" s="16" t="s">
        <v>2834</v>
      </c>
      <c r="H34" s="16"/>
      <c r="I34" s="16"/>
      <c r="J34" s="71" t="s">
        <v>2835</v>
      </c>
      <c r="K34" s="14"/>
      <c r="L34" s="608" t="s">
        <v>2836</v>
      </c>
      <c r="M34" s="17"/>
      <c r="N34" s="11" t="s">
        <v>2743</v>
      </c>
    </row>
    <row r="35" spans="1:14" ht="28">
      <c r="A35" s="715" t="s">
        <v>2837</v>
      </c>
      <c r="B35" s="611" t="s">
        <v>2838</v>
      </c>
      <c r="C35" s="14">
        <v>32</v>
      </c>
      <c r="D35" s="14">
        <f t="shared" si="2"/>
        <v>85</v>
      </c>
      <c r="E35" s="14">
        <f t="shared" si="1"/>
        <v>96</v>
      </c>
      <c r="F35" s="612">
        <v>12</v>
      </c>
      <c r="G35" s="613" t="s">
        <v>2839</v>
      </c>
      <c r="H35" s="16"/>
      <c r="I35" s="16"/>
      <c r="J35" s="71" t="s">
        <v>2840</v>
      </c>
      <c r="K35" s="14"/>
      <c r="L35" s="608" t="s">
        <v>2841</v>
      </c>
      <c r="M35" s="17"/>
      <c r="N35" s="11" t="s">
        <v>2743</v>
      </c>
    </row>
    <row r="36" spans="1:14" ht="20.149999999999999" customHeight="1">
      <c r="A36" s="33" t="s">
        <v>2842</v>
      </c>
      <c r="B36" s="13" t="s">
        <v>2813</v>
      </c>
      <c r="C36" s="14">
        <v>33</v>
      </c>
      <c r="D36" s="14">
        <f t="shared" si="2"/>
        <v>97</v>
      </c>
      <c r="E36" s="14">
        <f t="shared" si="1"/>
        <v>98</v>
      </c>
      <c r="F36" s="14">
        <v>2</v>
      </c>
      <c r="G36" s="16"/>
      <c r="H36" s="16"/>
      <c r="I36" s="16"/>
      <c r="J36" s="71" t="s">
        <v>2843</v>
      </c>
      <c r="K36" s="14"/>
      <c r="L36" s="608" t="s">
        <v>2844</v>
      </c>
      <c r="M36" s="17"/>
      <c r="N36" s="11" t="s">
        <v>2743</v>
      </c>
    </row>
    <row r="37" spans="1:14" ht="20.149999999999999" customHeight="1">
      <c r="A37" s="33" t="s">
        <v>2845</v>
      </c>
      <c r="B37" s="13" t="s">
        <v>2813</v>
      </c>
      <c r="C37" s="14">
        <v>34</v>
      </c>
      <c r="D37" s="14">
        <f t="shared" si="2"/>
        <v>99</v>
      </c>
      <c r="E37" s="14">
        <f t="shared" si="1"/>
        <v>100</v>
      </c>
      <c r="F37" s="14">
        <v>2</v>
      </c>
      <c r="G37" s="16"/>
      <c r="H37" s="16"/>
      <c r="I37" s="16"/>
      <c r="J37" s="71" t="s">
        <v>2846</v>
      </c>
      <c r="K37" s="14"/>
      <c r="L37" s="608" t="s">
        <v>2847</v>
      </c>
      <c r="M37" s="17"/>
      <c r="N37" s="11" t="s">
        <v>2743</v>
      </c>
    </row>
    <row r="38" spans="1:14" ht="20.149999999999999" customHeight="1">
      <c r="A38" s="33" t="s">
        <v>2848</v>
      </c>
      <c r="B38" s="13" t="s">
        <v>2771</v>
      </c>
      <c r="C38" s="14">
        <v>35</v>
      </c>
      <c r="D38" s="14">
        <f t="shared" si="2"/>
        <v>101</v>
      </c>
      <c r="E38" s="14">
        <f t="shared" si="1"/>
        <v>103</v>
      </c>
      <c r="F38" s="14">
        <v>3</v>
      </c>
      <c r="G38" s="16" t="s">
        <v>2849</v>
      </c>
      <c r="H38" s="16"/>
      <c r="I38" s="16"/>
      <c r="J38" s="71" t="s">
        <v>2850</v>
      </c>
      <c r="K38" s="14"/>
      <c r="L38" s="608" t="s">
        <v>2851</v>
      </c>
      <c r="M38" s="17"/>
      <c r="N38" s="11" t="s">
        <v>2743</v>
      </c>
    </row>
    <row r="39" spans="1:14" ht="20.149999999999999" customHeight="1">
      <c r="A39" s="646" t="s">
        <v>2852</v>
      </c>
      <c r="B39" s="13" t="s">
        <v>2853</v>
      </c>
      <c r="C39" s="14">
        <v>36</v>
      </c>
      <c r="D39" s="14">
        <f t="shared" si="2"/>
        <v>104</v>
      </c>
      <c r="E39" s="14">
        <f t="shared" si="1"/>
        <v>114</v>
      </c>
      <c r="F39" s="14">
        <v>11</v>
      </c>
      <c r="G39" s="16"/>
      <c r="H39" s="16"/>
      <c r="I39" s="16"/>
      <c r="J39" s="71" t="s">
        <v>2854</v>
      </c>
      <c r="K39" s="14"/>
      <c r="L39" s="608" t="s">
        <v>2855</v>
      </c>
      <c r="M39" s="17"/>
      <c r="N39" s="11" t="s">
        <v>2743</v>
      </c>
    </row>
    <row r="40" spans="1:14" ht="20.149999999999999" customHeight="1">
      <c r="A40" s="646" t="s">
        <v>1639</v>
      </c>
      <c r="B40" s="13" t="s">
        <v>2853</v>
      </c>
      <c r="C40" s="14">
        <v>37</v>
      </c>
      <c r="D40" s="14">
        <f t="shared" si="2"/>
        <v>115</v>
      </c>
      <c r="E40" s="14">
        <f t="shared" si="1"/>
        <v>125</v>
      </c>
      <c r="F40" s="14">
        <v>11</v>
      </c>
      <c r="G40" s="16"/>
      <c r="H40" s="16"/>
      <c r="I40" s="16"/>
      <c r="J40" s="71" t="s">
        <v>2856</v>
      </c>
      <c r="K40" s="14"/>
      <c r="L40" s="608" t="s">
        <v>2857</v>
      </c>
      <c r="M40" s="17"/>
      <c r="N40" s="11" t="s">
        <v>2743</v>
      </c>
    </row>
    <row r="41" spans="1:14" ht="30.5">
      <c r="A41" s="646" t="s">
        <v>2858</v>
      </c>
      <c r="B41" s="13" t="s">
        <v>2813</v>
      </c>
      <c r="C41" s="14">
        <v>38</v>
      </c>
      <c r="D41" s="14">
        <f t="shared" si="2"/>
        <v>126</v>
      </c>
      <c r="E41" s="14">
        <f t="shared" si="1"/>
        <v>127</v>
      </c>
      <c r="F41" s="14">
        <v>2</v>
      </c>
      <c r="G41" s="16" t="s">
        <v>3148</v>
      </c>
      <c r="H41" s="16"/>
      <c r="I41" s="16"/>
      <c r="J41" s="71" t="s">
        <v>2859</v>
      </c>
      <c r="K41" s="14"/>
      <c r="L41" s="608" t="s">
        <v>2860</v>
      </c>
      <c r="M41" s="17"/>
      <c r="N41" s="11" t="s">
        <v>2743</v>
      </c>
    </row>
    <row r="42" spans="1:14" ht="20.5">
      <c r="A42" s="33" t="s">
        <v>2861</v>
      </c>
      <c r="B42" s="13" t="s">
        <v>2862</v>
      </c>
      <c r="C42" s="14">
        <v>39</v>
      </c>
      <c r="D42" s="14">
        <f t="shared" si="2"/>
        <v>128</v>
      </c>
      <c r="E42" s="14">
        <f t="shared" si="1"/>
        <v>129</v>
      </c>
      <c r="F42" s="14">
        <v>2</v>
      </c>
      <c r="G42" s="16" t="s">
        <v>2863</v>
      </c>
      <c r="H42" s="16"/>
      <c r="I42" s="16"/>
      <c r="J42" s="71" t="s">
        <v>2864</v>
      </c>
      <c r="K42" s="14"/>
      <c r="L42" s="608" t="s">
        <v>2865</v>
      </c>
      <c r="M42" s="17"/>
      <c r="N42" s="11" t="s">
        <v>2743</v>
      </c>
    </row>
    <row r="43" spans="1:14" ht="20.5">
      <c r="A43" s="33" t="s">
        <v>2866</v>
      </c>
      <c r="B43" s="609" t="s">
        <v>2725</v>
      </c>
      <c r="C43" s="14">
        <v>40</v>
      </c>
      <c r="D43" s="14">
        <f t="shared" si="2"/>
        <v>130</v>
      </c>
      <c r="E43" s="14">
        <f t="shared" si="1"/>
        <v>137</v>
      </c>
      <c r="F43" s="183">
        <v>8</v>
      </c>
      <c r="G43" s="188" t="s">
        <v>2867</v>
      </c>
      <c r="H43" s="16"/>
      <c r="I43" s="16"/>
      <c r="J43" s="71" t="s">
        <v>2868</v>
      </c>
      <c r="K43" s="14"/>
      <c r="L43" s="608" t="s">
        <v>2869</v>
      </c>
      <c r="M43" s="17"/>
      <c r="N43" s="11" t="s">
        <v>2743</v>
      </c>
    </row>
    <row r="44" spans="1:14" ht="20.5">
      <c r="A44" s="646" t="s">
        <v>1660</v>
      </c>
      <c r="B44" s="609" t="s">
        <v>2725</v>
      </c>
      <c r="C44" s="14">
        <v>41</v>
      </c>
      <c r="D44" s="14">
        <f t="shared" si="2"/>
        <v>138</v>
      </c>
      <c r="E44" s="14">
        <f t="shared" si="1"/>
        <v>145</v>
      </c>
      <c r="F44" s="183">
        <v>8</v>
      </c>
      <c r="G44" s="188" t="s">
        <v>2870</v>
      </c>
      <c r="H44" s="16"/>
      <c r="I44" s="16"/>
      <c r="J44" s="71" t="s">
        <v>2871</v>
      </c>
      <c r="K44" s="14"/>
      <c r="L44" s="608" t="s">
        <v>2872</v>
      </c>
      <c r="M44" s="17"/>
      <c r="N44" s="11" t="s">
        <v>2743</v>
      </c>
    </row>
    <row r="45" spans="1:14" ht="20.5">
      <c r="A45" s="646" t="s">
        <v>384</v>
      </c>
      <c r="B45" s="609" t="s">
        <v>2725</v>
      </c>
      <c r="C45" s="14">
        <v>42</v>
      </c>
      <c r="D45" s="14">
        <f t="shared" si="2"/>
        <v>146</v>
      </c>
      <c r="E45" s="14">
        <f t="shared" si="1"/>
        <v>153</v>
      </c>
      <c r="F45" s="183">
        <v>8</v>
      </c>
      <c r="G45" s="188" t="s">
        <v>2873</v>
      </c>
      <c r="H45" s="16"/>
      <c r="I45" s="16"/>
      <c r="J45" s="71" t="s">
        <v>2874</v>
      </c>
      <c r="K45" s="14"/>
      <c r="L45" s="608" t="s">
        <v>2875</v>
      </c>
      <c r="M45" s="17"/>
      <c r="N45" s="11" t="s">
        <v>2743</v>
      </c>
    </row>
    <row r="46" spans="1:14" ht="152.25" customHeight="1">
      <c r="A46" s="33" t="s">
        <v>2876</v>
      </c>
      <c r="B46" s="13" t="s">
        <v>2730</v>
      </c>
      <c r="C46" s="14">
        <v>43</v>
      </c>
      <c r="D46" s="14">
        <f t="shared" si="2"/>
        <v>154</v>
      </c>
      <c r="E46" s="14">
        <f t="shared" si="1"/>
        <v>154</v>
      </c>
      <c r="F46" s="14">
        <v>1</v>
      </c>
      <c r="G46" s="16" t="s">
        <v>2877</v>
      </c>
      <c r="H46" s="16"/>
      <c r="I46" s="16"/>
      <c r="J46" s="71" t="s">
        <v>2878</v>
      </c>
      <c r="K46" s="14"/>
      <c r="L46" s="608" t="s">
        <v>2879</v>
      </c>
      <c r="M46" s="17"/>
      <c r="N46" s="11" t="s">
        <v>2743</v>
      </c>
    </row>
    <row r="47" spans="1:14" ht="20.5">
      <c r="A47" s="33" t="s">
        <v>2880</v>
      </c>
      <c r="B47" s="609" t="s">
        <v>2725</v>
      </c>
      <c r="C47" s="14">
        <v>44</v>
      </c>
      <c r="D47" s="14">
        <f t="shared" si="2"/>
        <v>155</v>
      </c>
      <c r="E47" s="14">
        <f t="shared" si="1"/>
        <v>162</v>
      </c>
      <c r="F47" s="183">
        <v>8</v>
      </c>
      <c r="G47" s="188" t="s">
        <v>2881</v>
      </c>
      <c r="H47" s="16"/>
      <c r="I47" s="16"/>
      <c r="J47" s="71" t="s">
        <v>2882</v>
      </c>
      <c r="K47" s="14"/>
      <c r="L47" s="608" t="s">
        <v>2883</v>
      </c>
      <c r="M47" s="17"/>
      <c r="N47" s="11" t="s">
        <v>2743</v>
      </c>
    </row>
    <row r="48" spans="1:14" ht="20.5">
      <c r="A48" s="646" t="s">
        <v>2884</v>
      </c>
      <c r="B48" s="609" t="s">
        <v>2725</v>
      </c>
      <c r="C48" s="14">
        <v>45</v>
      </c>
      <c r="D48" s="14">
        <f t="shared" si="2"/>
        <v>163</v>
      </c>
      <c r="E48" s="14">
        <f t="shared" si="1"/>
        <v>170</v>
      </c>
      <c r="F48" s="183">
        <v>8</v>
      </c>
      <c r="G48" s="188" t="s">
        <v>2885</v>
      </c>
      <c r="H48" s="16"/>
      <c r="I48" s="16"/>
      <c r="J48" s="71" t="s">
        <v>2886</v>
      </c>
      <c r="K48" s="14"/>
      <c r="L48" s="608" t="s">
        <v>2887</v>
      </c>
      <c r="M48" s="17"/>
      <c r="N48" s="11" t="s">
        <v>2743</v>
      </c>
    </row>
    <row r="49" spans="1:14" ht="20.149999999999999" customHeight="1">
      <c r="A49" s="646" t="s">
        <v>2888</v>
      </c>
      <c r="B49" s="13" t="s">
        <v>2889</v>
      </c>
      <c r="C49" s="14">
        <v>46</v>
      </c>
      <c r="D49" s="14">
        <f t="shared" si="2"/>
        <v>171</v>
      </c>
      <c r="E49" s="14">
        <f t="shared" si="1"/>
        <v>181</v>
      </c>
      <c r="F49" s="14">
        <v>11</v>
      </c>
      <c r="G49" s="16"/>
      <c r="H49" s="16"/>
      <c r="I49" s="16"/>
      <c r="J49" s="71" t="s">
        <v>2890</v>
      </c>
      <c r="K49" s="14"/>
      <c r="L49" s="608" t="s">
        <v>2891</v>
      </c>
      <c r="M49" s="17"/>
      <c r="N49" s="11" t="s">
        <v>2743</v>
      </c>
    </row>
    <row r="50" spans="1:14" ht="20.5">
      <c r="A50" s="33" t="s">
        <v>2892</v>
      </c>
      <c r="B50" s="13" t="s">
        <v>2893</v>
      </c>
      <c r="C50" s="14">
        <v>47</v>
      </c>
      <c r="D50" s="14">
        <f t="shared" si="2"/>
        <v>182</v>
      </c>
      <c r="E50" s="14">
        <f t="shared" si="1"/>
        <v>182</v>
      </c>
      <c r="F50" s="14">
        <v>1</v>
      </c>
      <c r="G50" s="16" t="s">
        <v>2894</v>
      </c>
      <c r="H50" s="16"/>
      <c r="I50" s="16"/>
      <c r="J50" s="71" t="s">
        <v>2895</v>
      </c>
      <c r="K50" s="14"/>
      <c r="L50" s="608" t="s">
        <v>2896</v>
      </c>
      <c r="M50" s="17"/>
      <c r="N50" s="11" t="s">
        <v>2743</v>
      </c>
    </row>
    <row r="51" spans="1:14" ht="20.149999999999999" customHeight="1">
      <c r="A51" s="646" t="s">
        <v>2897</v>
      </c>
      <c r="B51" s="13" t="s">
        <v>2813</v>
      </c>
      <c r="C51" s="14">
        <v>48</v>
      </c>
      <c r="D51" s="14">
        <f t="shared" si="2"/>
        <v>183</v>
      </c>
      <c r="E51" s="14">
        <f t="shared" si="1"/>
        <v>184</v>
      </c>
      <c r="F51" s="14">
        <v>2</v>
      </c>
      <c r="G51" s="16" t="s">
        <v>2898</v>
      </c>
      <c r="H51" s="16"/>
      <c r="I51" s="16"/>
      <c r="J51" s="71" t="s">
        <v>2899</v>
      </c>
      <c r="K51" s="14"/>
      <c r="L51" s="608" t="s">
        <v>2900</v>
      </c>
      <c r="M51" s="17"/>
      <c r="N51" s="11" t="s">
        <v>2743</v>
      </c>
    </row>
    <row r="52" spans="1:14" ht="20.149999999999999" customHeight="1">
      <c r="A52" s="33" t="s">
        <v>2901</v>
      </c>
      <c r="B52" s="13" t="s">
        <v>2771</v>
      </c>
      <c r="C52" s="14">
        <v>49</v>
      </c>
      <c r="D52" s="14">
        <f t="shared" si="2"/>
        <v>185</v>
      </c>
      <c r="E52" s="14">
        <f t="shared" si="1"/>
        <v>187</v>
      </c>
      <c r="F52" s="14">
        <v>3</v>
      </c>
      <c r="G52" s="16"/>
      <c r="H52" s="16"/>
      <c r="I52" s="16"/>
      <c r="J52" s="71" t="s">
        <v>2902</v>
      </c>
      <c r="K52" s="14"/>
      <c r="L52" s="608" t="s">
        <v>2903</v>
      </c>
      <c r="M52" s="17"/>
      <c r="N52" s="11" t="s">
        <v>2743</v>
      </c>
    </row>
    <row r="53" spans="1:14" ht="20.149999999999999" customHeight="1">
      <c r="A53" s="33" t="s">
        <v>2904</v>
      </c>
      <c r="B53" s="13" t="s">
        <v>2905</v>
      </c>
      <c r="C53" s="14">
        <v>50</v>
      </c>
      <c r="D53" s="14">
        <f t="shared" si="2"/>
        <v>188</v>
      </c>
      <c r="E53" s="14">
        <f t="shared" si="1"/>
        <v>197</v>
      </c>
      <c r="F53" s="14">
        <v>10</v>
      </c>
      <c r="G53" s="16"/>
      <c r="H53" s="16"/>
      <c r="I53" s="16"/>
      <c r="J53" s="71" t="s">
        <v>2906</v>
      </c>
      <c r="K53" s="14"/>
      <c r="L53" s="36" t="s">
        <v>2907</v>
      </c>
      <c r="M53" s="17"/>
      <c r="N53" s="11" t="s">
        <v>2743</v>
      </c>
    </row>
    <row r="54" spans="1:14" ht="20.5">
      <c r="A54" s="33" t="s">
        <v>2908</v>
      </c>
      <c r="B54" s="13" t="s">
        <v>2730</v>
      </c>
      <c r="C54" s="14">
        <v>51</v>
      </c>
      <c r="D54" s="14">
        <f t="shared" si="2"/>
        <v>198</v>
      </c>
      <c r="E54" s="14">
        <f t="shared" si="1"/>
        <v>198</v>
      </c>
      <c r="F54" s="14">
        <v>1</v>
      </c>
      <c r="G54" s="16" t="s">
        <v>2909</v>
      </c>
      <c r="H54" s="16"/>
      <c r="I54" s="16"/>
      <c r="J54" s="71" t="s">
        <v>2910</v>
      </c>
      <c r="K54" s="14"/>
      <c r="L54" s="36" t="s">
        <v>2911</v>
      </c>
      <c r="M54" s="17"/>
      <c r="N54" s="11" t="s">
        <v>2743</v>
      </c>
    </row>
    <row r="55" spans="1:14" ht="20.149999999999999" customHeight="1">
      <c r="A55" s="33" t="s">
        <v>2912</v>
      </c>
      <c r="B55" s="13" t="s">
        <v>2730</v>
      </c>
      <c r="C55" s="14">
        <v>52</v>
      </c>
      <c r="D55" s="14">
        <f t="shared" si="2"/>
        <v>199</v>
      </c>
      <c r="E55" s="14">
        <f t="shared" si="1"/>
        <v>199</v>
      </c>
      <c r="F55" s="14">
        <v>1</v>
      </c>
      <c r="G55" s="16" t="s">
        <v>2913</v>
      </c>
      <c r="H55" s="16"/>
      <c r="I55" s="16"/>
      <c r="J55" s="71" t="s">
        <v>2914</v>
      </c>
      <c r="K55" s="14"/>
      <c r="L55" s="36" t="s">
        <v>2915</v>
      </c>
      <c r="M55" s="17"/>
      <c r="N55" s="11" t="s">
        <v>2743</v>
      </c>
    </row>
    <row r="56" spans="1:14" ht="20.5">
      <c r="A56" s="33" t="s">
        <v>2916</v>
      </c>
      <c r="B56" s="609" t="s">
        <v>2725</v>
      </c>
      <c r="C56" s="14">
        <v>53</v>
      </c>
      <c r="D56" s="14">
        <f t="shared" si="2"/>
        <v>200</v>
      </c>
      <c r="E56" s="14">
        <f t="shared" si="1"/>
        <v>207</v>
      </c>
      <c r="F56" s="183">
        <v>8</v>
      </c>
      <c r="G56" s="188" t="s">
        <v>2917</v>
      </c>
      <c r="H56" s="16"/>
      <c r="I56" s="16"/>
      <c r="J56" s="71" t="s">
        <v>2918</v>
      </c>
      <c r="K56" s="14"/>
      <c r="L56" s="36" t="s">
        <v>2919</v>
      </c>
      <c r="M56" s="17"/>
      <c r="N56" s="11" t="s">
        <v>2743</v>
      </c>
    </row>
    <row r="57" spans="1:14" ht="20.149999999999999" customHeight="1">
      <c r="A57" s="33" t="s">
        <v>2920</v>
      </c>
      <c r="B57" s="13" t="s">
        <v>2730</v>
      </c>
      <c r="C57" s="14">
        <v>54</v>
      </c>
      <c r="D57" s="14">
        <f t="shared" si="2"/>
        <v>208</v>
      </c>
      <c r="E57" s="14">
        <f t="shared" si="1"/>
        <v>208</v>
      </c>
      <c r="F57" s="14">
        <v>1</v>
      </c>
      <c r="G57" s="16" t="s">
        <v>2921</v>
      </c>
      <c r="H57" s="16"/>
      <c r="I57" s="16"/>
      <c r="J57" s="71" t="s">
        <v>2922</v>
      </c>
      <c r="K57" s="14"/>
      <c r="L57" s="36" t="s">
        <v>2923</v>
      </c>
      <c r="M57" s="17"/>
      <c r="N57" s="11" t="s">
        <v>2743</v>
      </c>
    </row>
    <row r="58" spans="1:14" ht="20.149999999999999" customHeight="1">
      <c r="A58" s="33" t="s">
        <v>2924</v>
      </c>
      <c r="B58" s="13" t="s">
        <v>2749</v>
      </c>
      <c r="C58" s="14">
        <v>55</v>
      </c>
      <c r="D58" s="14">
        <f t="shared" si="2"/>
        <v>209</v>
      </c>
      <c r="E58" s="14">
        <f t="shared" si="1"/>
        <v>214</v>
      </c>
      <c r="F58" s="14">
        <v>6</v>
      </c>
      <c r="G58" s="16"/>
      <c r="H58" s="16"/>
      <c r="I58" s="16"/>
      <c r="J58" s="71" t="s">
        <v>2925</v>
      </c>
      <c r="K58" s="14"/>
      <c r="L58" s="36" t="s">
        <v>2926</v>
      </c>
      <c r="M58" s="17"/>
      <c r="N58" s="11" t="s">
        <v>2743</v>
      </c>
    </row>
    <row r="59" spans="1:14" ht="20.149999999999999" customHeight="1">
      <c r="A59" s="33" t="s">
        <v>2927</v>
      </c>
      <c r="B59" s="13" t="s">
        <v>2771</v>
      </c>
      <c r="C59" s="14">
        <v>56</v>
      </c>
      <c r="D59" s="14">
        <f t="shared" si="2"/>
        <v>215</v>
      </c>
      <c r="E59" s="14">
        <f t="shared" si="1"/>
        <v>217</v>
      </c>
      <c r="F59" s="14">
        <v>3</v>
      </c>
      <c r="G59" s="16"/>
      <c r="H59" s="16"/>
      <c r="I59" s="16"/>
      <c r="J59" s="71" t="s">
        <v>2928</v>
      </c>
      <c r="K59" s="14"/>
      <c r="L59" s="36" t="s">
        <v>2929</v>
      </c>
      <c r="M59" s="17"/>
      <c r="N59" s="11" t="s">
        <v>2743</v>
      </c>
    </row>
    <row r="60" spans="1:14" ht="82.5" customHeight="1">
      <c r="A60" s="646" t="s">
        <v>483</v>
      </c>
      <c r="B60" s="13" t="s">
        <v>2829</v>
      </c>
      <c r="C60" s="14">
        <v>57</v>
      </c>
      <c r="D60" s="14">
        <f t="shared" si="2"/>
        <v>218</v>
      </c>
      <c r="E60" s="14">
        <f t="shared" si="1"/>
        <v>218</v>
      </c>
      <c r="F60" s="14">
        <v>1</v>
      </c>
      <c r="G60" s="16" t="s">
        <v>2930</v>
      </c>
      <c r="H60" s="16"/>
      <c r="I60" s="16"/>
      <c r="J60" s="71" t="s">
        <v>2931</v>
      </c>
      <c r="K60" s="14"/>
      <c r="L60" s="36" t="s">
        <v>2932</v>
      </c>
      <c r="M60" s="17"/>
      <c r="N60" s="11" t="s">
        <v>2743</v>
      </c>
    </row>
    <row r="61" spans="1:14" ht="20.5">
      <c r="A61" s="646" t="s">
        <v>2933</v>
      </c>
      <c r="B61" s="13" t="s">
        <v>2862</v>
      </c>
      <c r="C61" s="14">
        <v>58</v>
      </c>
      <c r="D61" s="14">
        <f t="shared" si="2"/>
        <v>219</v>
      </c>
      <c r="E61" s="14">
        <f t="shared" si="1"/>
        <v>220</v>
      </c>
      <c r="F61" s="14">
        <v>2</v>
      </c>
      <c r="G61" s="16" t="s">
        <v>2934</v>
      </c>
      <c r="H61" s="16"/>
      <c r="I61" s="16"/>
      <c r="J61" s="71" t="s">
        <v>2935</v>
      </c>
      <c r="K61" s="14"/>
      <c r="L61" s="36" t="s">
        <v>2936</v>
      </c>
      <c r="M61" s="17"/>
      <c r="N61" s="11" t="s">
        <v>2743</v>
      </c>
    </row>
    <row r="62" spans="1:14" ht="20.5">
      <c r="A62" s="33" t="s">
        <v>2937</v>
      </c>
      <c r="B62" s="609" t="s">
        <v>2725</v>
      </c>
      <c r="C62" s="14">
        <v>59</v>
      </c>
      <c r="D62" s="14">
        <f t="shared" si="2"/>
        <v>221</v>
      </c>
      <c r="E62" s="14">
        <f t="shared" si="1"/>
        <v>228</v>
      </c>
      <c r="F62" s="183">
        <v>8</v>
      </c>
      <c r="G62" s="188" t="s">
        <v>2938</v>
      </c>
      <c r="H62" s="16"/>
      <c r="I62" s="16"/>
      <c r="J62" s="71" t="s">
        <v>2939</v>
      </c>
      <c r="K62" s="14"/>
      <c r="L62" s="36" t="s">
        <v>2940</v>
      </c>
      <c r="M62" s="17"/>
      <c r="N62" s="11" t="s">
        <v>2743</v>
      </c>
    </row>
    <row r="63" spans="1:14" ht="20.149999999999999" customHeight="1">
      <c r="A63" s="33" t="s">
        <v>2941</v>
      </c>
      <c r="B63" s="13" t="s">
        <v>2829</v>
      </c>
      <c r="C63" s="14">
        <v>60</v>
      </c>
      <c r="D63" s="14">
        <f t="shared" si="2"/>
        <v>229</v>
      </c>
      <c r="E63" s="14">
        <f t="shared" si="1"/>
        <v>229</v>
      </c>
      <c r="F63" s="14">
        <v>1</v>
      </c>
      <c r="G63" s="16" t="s">
        <v>2942</v>
      </c>
      <c r="H63" s="16"/>
      <c r="I63" s="16"/>
      <c r="J63" s="71" t="s">
        <v>2943</v>
      </c>
      <c r="K63" s="14"/>
      <c r="L63" s="36" t="s">
        <v>2944</v>
      </c>
      <c r="M63" s="17"/>
      <c r="N63" s="11" t="s">
        <v>2743</v>
      </c>
    </row>
    <row r="64" spans="1:14" ht="20.5">
      <c r="A64" s="33" t="s">
        <v>2945</v>
      </c>
      <c r="B64" s="609" t="s">
        <v>2749</v>
      </c>
      <c r="C64" s="14">
        <v>61</v>
      </c>
      <c r="D64" s="14">
        <f t="shared" si="2"/>
        <v>230</v>
      </c>
      <c r="E64" s="14">
        <f t="shared" si="1"/>
        <v>235</v>
      </c>
      <c r="F64" s="183">
        <v>6</v>
      </c>
      <c r="G64" s="188" t="s">
        <v>2946</v>
      </c>
      <c r="H64" s="16"/>
      <c r="I64" s="16"/>
      <c r="J64" s="71" t="s">
        <v>2947</v>
      </c>
      <c r="K64" s="14"/>
      <c r="L64" s="36" t="s">
        <v>2948</v>
      </c>
      <c r="M64" s="17"/>
      <c r="N64" s="11" t="s">
        <v>2743</v>
      </c>
    </row>
    <row r="65" spans="1:14" ht="20.149999999999999" customHeight="1">
      <c r="A65" s="33" t="s">
        <v>2949</v>
      </c>
      <c r="B65" s="609" t="s">
        <v>2749</v>
      </c>
      <c r="C65" s="14">
        <v>62</v>
      </c>
      <c r="D65" s="14">
        <f t="shared" si="2"/>
        <v>236</v>
      </c>
      <c r="E65" s="14">
        <f t="shared" si="1"/>
        <v>241</v>
      </c>
      <c r="F65" s="183">
        <v>6</v>
      </c>
      <c r="G65" s="188"/>
      <c r="H65" s="16"/>
      <c r="I65" s="16"/>
      <c r="J65" s="71" t="s">
        <v>2950</v>
      </c>
      <c r="K65" s="14"/>
      <c r="L65" s="36" t="s">
        <v>2951</v>
      </c>
      <c r="M65" s="17"/>
      <c r="N65" s="11" t="s">
        <v>2743</v>
      </c>
    </row>
    <row r="66" spans="1:14" ht="80.5">
      <c r="A66" s="33" t="s">
        <v>2952</v>
      </c>
      <c r="B66" s="13" t="s">
        <v>2730</v>
      </c>
      <c r="C66" s="14">
        <v>63</v>
      </c>
      <c r="D66" s="14">
        <f t="shared" si="2"/>
        <v>242</v>
      </c>
      <c r="E66" s="14">
        <f t="shared" si="1"/>
        <v>242</v>
      </c>
      <c r="F66" s="14">
        <v>1</v>
      </c>
      <c r="G66" s="16" t="s">
        <v>2953</v>
      </c>
      <c r="H66" s="16"/>
      <c r="I66" s="16"/>
      <c r="J66" s="71" t="s">
        <v>2954</v>
      </c>
      <c r="K66" s="14"/>
      <c r="L66" s="36" t="s">
        <v>2955</v>
      </c>
      <c r="M66" s="17"/>
      <c r="N66" s="11" t="s">
        <v>2743</v>
      </c>
    </row>
    <row r="67" spans="1:14" ht="12.5">
      <c r="A67" s="33" t="s">
        <v>2956</v>
      </c>
      <c r="B67" s="13" t="s">
        <v>2801</v>
      </c>
      <c r="C67" s="14">
        <v>64</v>
      </c>
      <c r="D67" s="14">
        <f t="shared" si="2"/>
        <v>243</v>
      </c>
      <c r="E67" s="14">
        <f t="shared" si="1"/>
        <v>245</v>
      </c>
      <c r="F67" s="14">
        <v>3</v>
      </c>
      <c r="G67" s="16" t="s">
        <v>2957</v>
      </c>
      <c r="H67" s="16" t="s">
        <v>297</v>
      </c>
      <c r="I67" s="16"/>
      <c r="J67" s="76" t="s">
        <v>2958</v>
      </c>
      <c r="K67" s="14"/>
      <c r="L67" s="179" t="s">
        <v>2959</v>
      </c>
      <c r="M67" s="17" t="s">
        <v>290</v>
      </c>
      <c r="N67" s="11" t="s">
        <v>2743</v>
      </c>
    </row>
    <row r="68" spans="1:14" ht="20.149999999999999" customHeight="1">
      <c r="A68" s="33" t="s">
        <v>2960</v>
      </c>
      <c r="B68" s="13" t="s">
        <v>2730</v>
      </c>
      <c r="C68" s="14">
        <v>65</v>
      </c>
      <c r="D68" s="14">
        <f t="shared" si="2"/>
        <v>246</v>
      </c>
      <c r="E68" s="14">
        <f t="shared" si="1"/>
        <v>246</v>
      </c>
      <c r="F68" s="14">
        <v>1</v>
      </c>
      <c r="G68" s="74" t="s">
        <v>2961</v>
      </c>
      <c r="H68" s="16" t="s">
        <v>297</v>
      </c>
      <c r="I68" s="16"/>
      <c r="J68" s="76" t="s">
        <v>2962</v>
      </c>
      <c r="K68" s="14"/>
      <c r="L68" s="36" t="s">
        <v>2963</v>
      </c>
      <c r="M68" s="17" t="s">
        <v>290</v>
      </c>
      <c r="N68" s="11" t="s">
        <v>2743</v>
      </c>
    </row>
    <row r="69" spans="1:14" ht="20.149999999999999" customHeight="1">
      <c r="A69" s="646" t="s">
        <v>2964</v>
      </c>
      <c r="B69" s="13" t="s">
        <v>2737</v>
      </c>
      <c r="C69" s="14">
        <v>66</v>
      </c>
      <c r="D69" s="14">
        <f t="shared" si="2"/>
        <v>247</v>
      </c>
      <c r="E69" s="14">
        <f t="shared" si="1"/>
        <v>260</v>
      </c>
      <c r="F69" s="14">
        <v>14</v>
      </c>
      <c r="G69" s="74" t="s">
        <v>2965</v>
      </c>
      <c r="H69" s="16" t="s">
        <v>297</v>
      </c>
      <c r="I69" s="16"/>
      <c r="J69" s="71" t="s">
        <v>2966</v>
      </c>
      <c r="K69" s="14"/>
      <c r="L69" s="179" t="s">
        <v>2967</v>
      </c>
      <c r="M69" s="17" t="s">
        <v>290</v>
      </c>
      <c r="N69" s="11" t="s">
        <v>2743</v>
      </c>
    </row>
    <row r="70" spans="1:14" ht="30.5">
      <c r="A70" s="33" t="s">
        <v>2775</v>
      </c>
      <c r="B70" s="13" t="s">
        <v>2829</v>
      </c>
      <c r="C70" s="14">
        <v>67</v>
      </c>
      <c r="D70" s="14">
        <f t="shared" si="2"/>
        <v>261</v>
      </c>
      <c r="E70" s="14">
        <f t="shared" si="1"/>
        <v>261</v>
      </c>
      <c r="F70" s="14">
        <v>1</v>
      </c>
      <c r="G70" s="16" t="s">
        <v>2968</v>
      </c>
      <c r="H70" s="16" t="s">
        <v>297</v>
      </c>
      <c r="I70" s="16"/>
      <c r="J70" s="61" t="s">
        <v>2969</v>
      </c>
      <c r="K70" s="14"/>
      <c r="L70" s="36" t="s">
        <v>2970</v>
      </c>
      <c r="M70" s="17" t="s">
        <v>290</v>
      </c>
      <c r="N70" s="11" t="s">
        <v>2743</v>
      </c>
    </row>
    <row r="71" spans="1:14" ht="20.149999999999999" customHeight="1">
      <c r="A71" s="33" t="s">
        <v>2971</v>
      </c>
      <c r="B71" s="13" t="s">
        <v>2737</v>
      </c>
      <c r="C71" s="14">
        <v>68</v>
      </c>
      <c r="D71" s="14">
        <f t="shared" si="2"/>
        <v>262</v>
      </c>
      <c r="E71" s="14">
        <f t="shared" si="1"/>
        <v>275</v>
      </c>
      <c r="F71" s="14">
        <v>14</v>
      </c>
      <c r="G71" s="16"/>
      <c r="H71" s="16" t="s">
        <v>297</v>
      </c>
      <c r="I71" s="16"/>
      <c r="J71" s="76" t="s">
        <v>2972</v>
      </c>
      <c r="K71" s="14"/>
      <c r="L71" s="179" t="s">
        <v>2973</v>
      </c>
      <c r="M71" s="17" t="s">
        <v>290</v>
      </c>
      <c r="N71" s="11" t="s">
        <v>2743</v>
      </c>
    </row>
    <row r="72" spans="1:14" ht="20.149999999999999" customHeight="1">
      <c r="A72" s="33" t="s">
        <v>2974</v>
      </c>
      <c r="B72" s="13" t="s">
        <v>2813</v>
      </c>
      <c r="C72" s="14">
        <v>69</v>
      </c>
      <c r="D72" s="14">
        <f t="shared" si="2"/>
        <v>276</v>
      </c>
      <c r="E72" s="14">
        <f t="shared" si="1"/>
        <v>277</v>
      </c>
      <c r="F72" s="14">
        <v>2</v>
      </c>
      <c r="G72" s="16"/>
      <c r="H72" s="16" t="s">
        <v>297</v>
      </c>
      <c r="I72" s="16"/>
      <c r="J72" s="61" t="s">
        <v>2975</v>
      </c>
      <c r="K72" s="14"/>
      <c r="L72" s="36" t="s">
        <v>2976</v>
      </c>
      <c r="M72" s="17" t="s">
        <v>290</v>
      </c>
      <c r="N72" s="11" t="s">
        <v>2743</v>
      </c>
    </row>
    <row r="73" spans="1:14" ht="20.5">
      <c r="A73" s="33" t="s">
        <v>2977</v>
      </c>
      <c r="B73" s="609" t="s">
        <v>2725</v>
      </c>
      <c r="C73" s="14">
        <v>70</v>
      </c>
      <c r="D73" s="14">
        <f t="shared" si="2"/>
        <v>278</v>
      </c>
      <c r="E73" s="14">
        <f t="shared" si="1"/>
        <v>285</v>
      </c>
      <c r="F73" s="183">
        <v>8</v>
      </c>
      <c r="G73" s="188" t="s">
        <v>2978</v>
      </c>
      <c r="H73" s="16" t="s">
        <v>297</v>
      </c>
      <c r="I73" s="16"/>
      <c r="J73" s="76" t="s">
        <v>2979</v>
      </c>
      <c r="K73" s="14"/>
      <c r="L73" s="179" t="s">
        <v>2980</v>
      </c>
      <c r="M73" s="17" t="s">
        <v>290</v>
      </c>
      <c r="N73" s="11" t="s">
        <v>2743</v>
      </c>
    </row>
    <row r="74" spans="1:14" ht="20.149999999999999" customHeight="1">
      <c r="A74" s="33" t="s">
        <v>669</v>
      </c>
      <c r="B74" s="13" t="s">
        <v>2722</v>
      </c>
      <c r="C74" s="14">
        <v>71</v>
      </c>
      <c r="D74" s="14">
        <f t="shared" si="2"/>
        <v>286</v>
      </c>
      <c r="E74" s="14">
        <f t="shared" si="1"/>
        <v>295</v>
      </c>
      <c r="F74" s="14">
        <v>10</v>
      </c>
      <c r="G74" s="16"/>
      <c r="H74" s="16" t="s">
        <v>297</v>
      </c>
      <c r="I74" s="16"/>
      <c r="J74" s="61" t="s">
        <v>2981</v>
      </c>
      <c r="K74" s="14"/>
      <c r="L74" s="36" t="s">
        <v>2982</v>
      </c>
      <c r="M74" s="17" t="s">
        <v>290</v>
      </c>
      <c r="N74" s="11" t="s">
        <v>2743</v>
      </c>
    </row>
    <row r="75" spans="1:14" ht="20.5">
      <c r="A75" s="646" t="s">
        <v>3149</v>
      </c>
      <c r="B75" s="609" t="s">
        <v>2725</v>
      </c>
      <c r="C75" s="14">
        <v>72</v>
      </c>
      <c r="D75" s="14">
        <f t="shared" si="2"/>
        <v>296</v>
      </c>
      <c r="E75" s="14">
        <f t="shared" ref="E75:E92" si="3">D75+F75-1</f>
        <v>303</v>
      </c>
      <c r="F75" s="183">
        <v>8</v>
      </c>
      <c r="G75" s="188" t="s">
        <v>2870</v>
      </c>
      <c r="H75" s="16" t="s">
        <v>297</v>
      </c>
      <c r="I75" s="16"/>
      <c r="J75" s="61" t="s">
        <v>2871</v>
      </c>
      <c r="K75" s="14"/>
      <c r="L75" s="179" t="s">
        <v>2983</v>
      </c>
      <c r="M75" s="17" t="s">
        <v>290</v>
      </c>
      <c r="N75" s="11" t="s">
        <v>2743</v>
      </c>
    </row>
    <row r="76" spans="1:14" ht="20.149999999999999" customHeight="1">
      <c r="A76" s="33" t="s">
        <v>2984</v>
      </c>
      <c r="B76" s="13" t="s">
        <v>2905</v>
      </c>
      <c r="C76" s="14">
        <v>73</v>
      </c>
      <c r="D76" s="14">
        <f t="shared" ref="D76:D95" si="4">D75+F75</f>
        <v>304</v>
      </c>
      <c r="E76" s="14">
        <f t="shared" si="3"/>
        <v>313</v>
      </c>
      <c r="F76" s="14">
        <v>10</v>
      </c>
      <c r="G76" s="16"/>
      <c r="H76" s="16" t="s">
        <v>297</v>
      </c>
      <c r="I76" s="16"/>
      <c r="J76" s="61" t="s">
        <v>2854</v>
      </c>
      <c r="K76" s="14"/>
      <c r="L76" s="36" t="s">
        <v>2985</v>
      </c>
      <c r="M76" s="17" t="s">
        <v>290</v>
      </c>
      <c r="N76" s="11" t="s">
        <v>2743</v>
      </c>
    </row>
    <row r="77" spans="1:14" ht="12.5">
      <c r="A77" s="33" t="s">
        <v>2986</v>
      </c>
      <c r="B77" s="13" t="s">
        <v>2905</v>
      </c>
      <c r="C77" s="14">
        <v>74</v>
      </c>
      <c r="D77" s="14">
        <f t="shared" si="4"/>
        <v>314</v>
      </c>
      <c r="E77" s="14">
        <f t="shared" si="3"/>
        <v>323</v>
      </c>
      <c r="F77" s="14">
        <v>10</v>
      </c>
      <c r="G77" s="16"/>
      <c r="H77" s="16" t="s">
        <v>297</v>
      </c>
      <c r="I77" s="16"/>
      <c r="J77" s="61" t="s">
        <v>2856</v>
      </c>
      <c r="K77" s="14"/>
      <c r="L77" s="179" t="s">
        <v>2987</v>
      </c>
      <c r="M77" s="17" t="s">
        <v>290</v>
      </c>
      <c r="N77" s="11" t="s">
        <v>2743</v>
      </c>
    </row>
    <row r="78" spans="1:14" ht="20.5">
      <c r="A78" s="33" t="s">
        <v>2988</v>
      </c>
      <c r="B78" s="609" t="s">
        <v>2725</v>
      </c>
      <c r="C78" s="14">
        <v>75</v>
      </c>
      <c r="D78" s="14">
        <f t="shared" si="4"/>
        <v>324</v>
      </c>
      <c r="E78" s="14">
        <f t="shared" si="3"/>
        <v>331</v>
      </c>
      <c r="F78" s="183">
        <v>8</v>
      </c>
      <c r="G78" s="188" t="s">
        <v>2989</v>
      </c>
      <c r="H78" s="16" t="s">
        <v>297</v>
      </c>
      <c r="I78" s="16"/>
      <c r="J78" s="33" t="s">
        <v>2990</v>
      </c>
      <c r="K78" s="14"/>
      <c r="L78" s="36" t="s">
        <v>2991</v>
      </c>
      <c r="M78" s="17"/>
      <c r="N78" s="11" t="s">
        <v>2743</v>
      </c>
    </row>
    <row r="79" spans="1:14" ht="50.5">
      <c r="A79" s="646" t="s">
        <v>2992</v>
      </c>
      <c r="B79" s="13" t="s">
        <v>2730</v>
      </c>
      <c r="C79" s="14">
        <v>76</v>
      </c>
      <c r="D79" s="14">
        <f t="shared" si="4"/>
        <v>332</v>
      </c>
      <c r="E79" s="14">
        <f t="shared" si="3"/>
        <v>332</v>
      </c>
      <c r="F79" s="14">
        <v>1</v>
      </c>
      <c r="G79" s="16" t="s">
        <v>3150</v>
      </c>
      <c r="H79" s="16" t="s">
        <v>2993</v>
      </c>
      <c r="I79" s="16"/>
      <c r="J79" s="33" t="s">
        <v>2994</v>
      </c>
      <c r="K79" s="14"/>
      <c r="L79" s="179" t="s">
        <v>2995</v>
      </c>
      <c r="M79" s="17" t="s">
        <v>290</v>
      </c>
      <c r="N79" s="11" t="s">
        <v>2743</v>
      </c>
    </row>
    <row r="80" spans="1:14" ht="20.149999999999999" customHeight="1">
      <c r="A80" s="33" t="s">
        <v>2996</v>
      </c>
      <c r="B80" s="13" t="s">
        <v>2853</v>
      </c>
      <c r="C80" s="14">
        <v>77</v>
      </c>
      <c r="D80" s="14">
        <f t="shared" si="4"/>
        <v>333</v>
      </c>
      <c r="E80" s="14">
        <f t="shared" si="3"/>
        <v>343</v>
      </c>
      <c r="F80" s="14">
        <v>11</v>
      </c>
      <c r="G80" s="16"/>
      <c r="H80" s="16"/>
      <c r="I80" s="16"/>
      <c r="J80" s="33" t="s">
        <v>2997</v>
      </c>
      <c r="K80" s="14"/>
      <c r="L80" s="179" t="s">
        <v>2998</v>
      </c>
      <c r="M80" s="17"/>
      <c r="N80" s="11" t="s">
        <v>2743</v>
      </c>
    </row>
    <row r="81" spans="1:14" ht="20.149999999999999" customHeight="1">
      <c r="A81" s="33" t="s">
        <v>2999</v>
      </c>
      <c r="B81" s="13" t="s">
        <v>2905</v>
      </c>
      <c r="C81" s="14">
        <v>78</v>
      </c>
      <c r="D81" s="14">
        <f t="shared" si="4"/>
        <v>344</v>
      </c>
      <c r="E81" s="14">
        <f t="shared" si="3"/>
        <v>353</v>
      </c>
      <c r="F81" s="14">
        <v>10</v>
      </c>
      <c r="G81" s="16"/>
      <c r="H81" s="16"/>
      <c r="I81" s="16"/>
      <c r="J81" s="33" t="s">
        <v>3000</v>
      </c>
      <c r="K81" s="14"/>
      <c r="L81" s="179" t="s">
        <v>3001</v>
      </c>
      <c r="M81" s="17"/>
      <c r="N81" s="11" t="s">
        <v>2743</v>
      </c>
    </row>
    <row r="82" spans="1:14" ht="20.149999999999999" customHeight="1">
      <c r="A82" s="33" t="s">
        <v>3002</v>
      </c>
      <c r="B82" s="13" t="s">
        <v>2905</v>
      </c>
      <c r="C82" s="14">
        <v>79</v>
      </c>
      <c r="D82" s="14">
        <f t="shared" si="4"/>
        <v>354</v>
      </c>
      <c r="E82" s="14">
        <f t="shared" si="3"/>
        <v>363</v>
      </c>
      <c r="F82" s="14">
        <v>10</v>
      </c>
      <c r="G82" s="16"/>
      <c r="H82" s="16"/>
      <c r="I82" s="16"/>
      <c r="J82" s="33" t="s">
        <v>3003</v>
      </c>
      <c r="K82" s="14"/>
      <c r="L82" s="179" t="s">
        <v>3004</v>
      </c>
      <c r="M82" s="17"/>
      <c r="N82" s="11" t="s">
        <v>2743</v>
      </c>
    </row>
    <row r="83" spans="1:14" ht="20.149999999999999" customHeight="1">
      <c r="A83" s="33" t="s">
        <v>3005</v>
      </c>
      <c r="B83" s="13" t="s">
        <v>2905</v>
      </c>
      <c r="C83" s="14">
        <v>80</v>
      </c>
      <c r="D83" s="14">
        <f t="shared" si="4"/>
        <v>364</v>
      </c>
      <c r="E83" s="14">
        <f t="shared" si="3"/>
        <v>373</v>
      </c>
      <c r="F83" s="14">
        <v>10</v>
      </c>
      <c r="G83" s="16"/>
      <c r="H83" s="16"/>
      <c r="I83" s="16"/>
      <c r="J83" s="33" t="s">
        <v>3006</v>
      </c>
      <c r="K83" s="14"/>
      <c r="L83" s="179" t="s">
        <v>3007</v>
      </c>
      <c r="M83" s="17"/>
      <c r="N83" s="11" t="s">
        <v>2743</v>
      </c>
    </row>
    <row r="84" spans="1:14" ht="20.149999999999999" customHeight="1">
      <c r="A84" s="33" t="s">
        <v>3008</v>
      </c>
      <c r="B84" s="13" t="s">
        <v>2905</v>
      </c>
      <c r="C84" s="14">
        <v>81</v>
      </c>
      <c r="D84" s="14">
        <f t="shared" si="4"/>
        <v>374</v>
      </c>
      <c r="E84" s="14">
        <f t="shared" si="3"/>
        <v>383</v>
      </c>
      <c r="F84" s="14">
        <v>10</v>
      </c>
      <c r="G84" s="16"/>
      <c r="H84" s="16"/>
      <c r="I84" s="16"/>
      <c r="J84" s="33" t="s">
        <v>3009</v>
      </c>
      <c r="K84" s="14"/>
      <c r="L84" s="179" t="s">
        <v>3010</v>
      </c>
      <c r="M84" s="17"/>
      <c r="N84" s="11" t="s">
        <v>2743</v>
      </c>
    </row>
    <row r="85" spans="1:14" ht="20.149999999999999" customHeight="1">
      <c r="A85" s="33" t="s">
        <v>3011</v>
      </c>
      <c r="B85" s="13" t="s">
        <v>2905</v>
      </c>
      <c r="C85" s="14">
        <v>82</v>
      </c>
      <c r="D85" s="14">
        <f t="shared" si="4"/>
        <v>384</v>
      </c>
      <c r="E85" s="14">
        <f t="shared" si="3"/>
        <v>393</v>
      </c>
      <c r="F85" s="14">
        <v>10</v>
      </c>
      <c r="G85" s="16"/>
      <c r="H85" s="16"/>
      <c r="I85" s="16"/>
      <c r="J85" s="33" t="s">
        <v>3012</v>
      </c>
      <c r="K85" s="14"/>
      <c r="L85" s="179" t="s">
        <v>3013</v>
      </c>
      <c r="M85" s="17"/>
      <c r="N85" s="11" t="s">
        <v>2743</v>
      </c>
    </row>
    <row r="86" spans="1:14" ht="20.149999999999999" customHeight="1">
      <c r="A86" s="33" t="s">
        <v>3014</v>
      </c>
      <c r="B86" s="13" t="s">
        <v>2905</v>
      </c>
      <c r="C86" s="14">
        <v>83</v>
      </c>
      <c r="D86" s="14">
        <f t="shared" si="4"/>
        <v>394</v>
      </c>
      <c r="E86" s="14">
        <f t="shared" si="3"/>
        <v>403</v>
      </c>
      <c r="F86" s="14">
        <v>10</v>
      </c>
      <c r="G86" s="33" t="s">
        <v>3015</v>
      </c>
      <c r="H86" s="16"/>
      <c r="I86" s="16"/>
      <c r="J86" s="33"/>
      <c r="K86" s="14"/>
      <c r="L86" s="179" t="s">
        <v>3016</v>
      </c>
      <c r="M86" s="17"/>
      <c r="N86" s="11" t="s">
        <v>2743</v>
      </c>
    </row>
    <row r="87" spans="1:14" ht="20.149999999999999" customHeight="1">
      <c r="A87" s="33" t="s">
        <v>3017</v>
      </c>
      <c r="B87" s="13" t="s">
        <v>2905</v>
      </c>
      <c r="C87" s="14">
        <v>84</v>
      </c>
      <c r="D87" s="14">
        <f t="shared" si="4"/>
        <v>404</v>
      </c>
      <c r="E87" s="14">
        <f t="shared" si="3"/>
        <v>413</v>
      </c>
      <c r="F87" s="14">
        <v>10</v>
      </c>
      <c r="G87" s="16"/>
      <c r="H87" s="16" t="s">
        <v>297</v>
      </c>
      <c r="I87" s="16"/>
      <c r="J87" s="61" t="s">
        <v>3018</v>
      </c>
      <c r="K87" s="14"/>
      <c r="L87" s="36" t="s">
        <v>3019</v>
      </c>
      <c r="M87" s="17" t="s">
        <v>290</v>
      </c>
      <c r="N87" s="11" t="s">
        <v>2743</v>
      </c>
    </row>
    <row r="88" spans="1:14" ht="20.149999999999999" customHeight="1">
      <c r="A88" s="33" t="s">
        <v>3020</v>
      </c>
      <c r="B88" s="13" t="s">
        <v>2905</v>
      </c>
      <c r="C88" s="14">
        <v>85</v>
      </c>
      <c r="D88" s="14">
        <f t="shared" si="4"/>
        <v>414</v>
      </c>
      <c r="E88" s="14">
        <f t="shared" si="3"/>
        <v>423</v>
      </c>
      <c r="F88" s="14">
        <v>10</v>
      </c>
      <c r="G88" s="16"/>
      <c r="H88" s="16"/>
      <c r="I88" s="16"/>
      <c r="J88" s="61" t="s">
        <v>3021</v>
      </c>
      <c r="K88" s="14"/>
      <c r="L88" s="36" t="s">
        <v>3022</v>
      </c>
      <c r="M88" s="17"/>
      <c r="N88" s="11" t="s">
        <v>2743</v>
      </c>
    </row>
    <row r="89" spans="1:14" ht="20.149999999999999" customHeight="1">
      <c r="A89" s="33" t="s">
        <v>3023</v>
      </c>
      <c r="B89" s="13" t="s">
        <v>2905</v>
      </c>
      <c r="C89" s="14">
        <v>86</v>
      </c>
      <c r="D89" s="14">
        <f t="shared" si="4"/>
        <v>424</v>
      </c>
      <c r="E89" s="14">
        <f t="shared" si="3"/>
        <v>433</v>
      </c>
      <c r="F89" s="14">
        <v>10</v>
      </c>
      <c r="G89" s="16"/>
      <c r="H89" s="16"/>
      <c r="I89" s="16"/>
      <c r="J89" s="61" t="s">
        <v>3024</v>
      </c>
      <c r="K89" s="14"/>
      <c r="L89" s="36" t="s">
        <v>3025</v>
      </c>
      <c r="M89" s="17"/>
      <c r="N89" s="11" t="s">
        <v>2743</v>
      </c>
    </row>
    <row r="90" spans="1:14" ht="20.149999999999999" customHeight="1">
      <c r="A90" s="33" t="s">
        <v>3026</v>
      </c>
      <c r="B90" s="13" t="s">
        <v>3027</v>
      </c>
      <c r="C90" s="14">
        <v>87</v>
      </c>
      <c r="D90" s="14">
        <f t="shared" si="4"/>
        <v>434</v>
      </c>
      <c r="E90" s="14">
        <f t="shared" si="3"/>
        <v>446</v>
      </c>
      <c r="F90" s="14">
        <v>13</v>
      </c>
      <c r="G90" s="16"/>
      <c r="H90" s="16"/>
      <c r="I90" s="16"/>
      <c r="J90" s="61" t="s">
        <v>3028</v>
      </c>
      <c r="K90" s="14"/>
      <c r="L90" s="36" t="s">
        <v>3029</v>
      </c>
      <c r="M90" s="17"/>
      <c r="N90" s="11" t="s">
        <v>2743</v>
      </c>
    </row>
    <row r="91" spans="1:14" ht="20.5">
      <c r="A91" s="33" t="s">
        <v>3030</v>
      </c>
      <c r="B91" s="13" t="s">
        <v>760</v>
      </c>
      <c r="C91" s="14">
        <v>88</v>
      </c>
      <c r="D91" s="14">
        <f t="shared" si="4"/>
        <v>447</v>
      </c>
      <c r="E91" s="14">
        <f t="shared" si="3"/>
        <v>449</v>
      </c>
      <c r="F91" s="14">
        <v>3</v>
      </c>
      <c r="G91" s="16" t="s">
        <v>3031</v>
      </c>
      <c r="H91" s="16"/>
      <c r="I91" s="16"/>
      <c r="J91" s="61" t="s">
        <v>3032</v>
      </c>
      <c r="K91" s="14"/>
      <c r="L91" s="36" t="s">
        <v>3033</v>
      </c>
      <c r="M91" s="17"/>
      <c r="N91" s="11" t="s">
        <v>2743</v>
      </c>
    </row>
    <row r="92" spans="1:14" ht="20.5">
      <c r="A92" s="33" t="s">
        <v>3034</v>
      </c>
      <c r="B92" s="609" t="s">
        <v>3035</v>
      </c>
      <c r="C92" s="14">
        <v>89</v>
      </c>
      <c r="D92" s="14">
        <f t="shared" si="4"/>
        <v>450</v>
      </c>
      <c r="E92" s="14">
        <f t="shared" si="3"/>
        <v>457</v>
      </c>
      <c r="F92" s="14">
        <v>8</v>
      </c>
      <c r="G92" s="188" t="s">
        <v>3036</v>
      </c>
      <c r="H92" s="16"/>
      <c r="I92" s="16"/>
      <c r="J92" s="61" t="s">
        <v>3037</v>
      </c>
      <c r="K92" s="14"/>
      <c r="L92" s="36" t="s">
        <v>3038</v>
      </c>
      <c r="M92" s="17"/>
    </row>
    <row r="93" spans="1:14" ht="30.5">
      <c r="A93" s="33" t="s">
        <v>3039</v>
      </c>
      <c r="B93" s="609" t="s">
        <v>2737</v>
      </c>
      <c r="C93" s="14">
        <v>90</v>
      </c>
      <c r="D93" s="14">
        <f t="shared" si="4"/>
        <v>458</v>
      </c>
      <c r="E93" s="14">
        <f>D93+F93-1</f>
        <v>471</v>
      </c>
      <c r="F93" s="14">
        <v>14</v>
      </c>
      <c r="G93" s="188" t="s">
        <v>3040</v>
      </c>
      <c r="H93" s="16"/>
      <c r="I93" s="16"/>
      <c r="J93" s="61" t="s">
        <v>2740</v>
      </c>
      <c r="K93" s="14"/>
      <c r="L93" s="36" t="s">
        <v>3041</v>
      </c>
      <c r="M93" s="17"/>
    </row>
    <row r="94" spans="1:14" ht="12.5">
      <c r="A94" s="33" t="s">
        <v>3042</v>
      </c>
      <c r="B94" s="609" t="s">
        <v>3043</v>
      </c>
      <c r="C94" s="14">
        <v>91</v>
      </c>
      <c r="D94" s="14">
        <f t="shared" si="4"/>
        <v>472</v>
      </c>
      <c r="E94" s="14">
        <f>D94+F94-1</f>
        <v>474</v>
      </c>
      <c r="F94" s="14">
        <v>3</v>
      </c>
      <c r="G94" s="188"/>
      <c r="H94" s="16"/>
      <c r="I94" s="16"/>
      <c r="J94" s="61" t="s">
        <v>3044</v>
      </c>
      <c r="K94" s="14"/>
      <c r="L94" s="36" t="s">
        <v>3045</v>
      </c>
      <c r="M94" s="17"/>
    </row>
    <row r="95" spans="1:14" ht="12.5">
      <c r="A95" s="646" t="s">
        <v>3046</v>
      </c>
      <c r="B95" s="609" t="s">
        <v>3047</v>
      </c>
      <c r="C95" s="14">
        <v>92</v>
      </c>
      <c r="D95" s="14">
        <f t="shared" si="4"/>
        <v>475</v>
      </c>
      <c r="E95" s="14">
        <f>D95+F95-1</f>
        <v>504</v>
      </c>
      <c r="F95" s="14">
        <v>30</v>
      </c>
      <c r="G95" s="188"/>
      <c r="H95" s="16"/>
      <c r="I95" s="16"/>
      <c r="J95" s="61" t="s">
        <v>3048</v>
      </c>
      <c r="K95" s="14"/>
      <c r="L95" s="36" t="s">
        <v>3049</v>
      </c>
      <c r="M95" s="17"/>
    </row>
    <row r="96" spans="1:14" ht="12.5">
      <c r="A96" s="33" t="s">
        <v>3050</v>
      </c>
      <c r="B96" s="609" t="s">
        <v>2862</v>
      </c>
      <c r="C96" s="14">
        <v>93</v>
      </c>
      <c r="D96" s="14">
        <v>501</v>
      </c>
      <c r="E96" s="14">
        <v>502</v>
      </c>
      <c r="F96" s="14">
        <v>2</v>
      </c>
      <c r="G96" s="188" t="s">
        <v>3051</v>
      </c>
      <c r="H96" s="16"/>
      <c r="I96" s="16"/>
      <c r="J96" s="61" t="s">
        <v>3051</v>
      </c>
      <c r="K96" s="14"/>
      <c r="L96" s="36"/>
      <c r="M96" s="17"/>
    </row>
    <row r="97" spans="1:14" ht="12.5">
      <c r="A97" s="18" t="s">
        <v>3052</v>
      </c>
      <c r="B97" s="609" t="s">
        <v>2749</v>
      </c>
      <c r="C97" s="14">
        <v>94</v>
      </c>
      <c r="D97" s="14">
        <v>503</v>
      </c>
      <c r="E97" s="14">
        <v>508</v>
      </c>
      <c r="F97" s="14">
        <v>6</v>
      </c>
      <c r="G97" s="188" t="s">
        <v>3052</v>
      </c>
      <c r="H97" s="16"/>
      <c r="I97" s="16"/>
      <c r="J97" s="61" t="s">
        <v>3052</v>
      </c>
      <c r="K97" s="14"/>
      <c r="L97" s="36">
        <v>1588</v>
      </c>
      <c r="M97" s="17"/>
    </row>
    <row r="98" spans="1:14" s="23" customFormat="1" ht="10">
      <c r="A98" s="18" t="s">
        <v>2729</v>
      </c>
      <c r="B98" s="18" t="s">
        <v>2730</v>
      </c>
      <c r="C98" s="14">
        <v>95</v>
      </c>
      <c r="D98" s="14">
        <v>509</v>
      </c>
      <c r="E98" s="14">
        <f>D98+F98-1</f>
        <v>509</v>
      </c>
      <c r="F98" s="19">
        <v>1</v>
      </c>
      <c r="G98" s="18" t="s">
        <v>2731</v>
      </c>
      <c r="H98" s="20"/>
      <c r="I98" s="20"/>
      <c r="J98" s="18"/>
      <c r="K98" s="19"/>
      <c r="L98" s="19"/>
      <c r="M98" s="21"/>
      <c r="N98" s="22"/>
    </row>
    <row r="99" spans="1:14" ht="20.149999999999999" customHeight="1">
      <c r="A99" s="6" t="s">
        <v>3053</v>
      </c>
      <c r="B99" s="7" t="s">
        <v>14</v>
      </c>
      <c r="C99" s="27" t="s">
        <v>2733</v>
      </c>
      <c r="D99" s="7">
        <v>1</v>
      </c>
      <c r="E99" s="7">
        <f>E102</f>
        <v>11</v>
      </c>
      <c r="F99" s="7">
        <f>SUM(F100:F102)</f>
        <v>11</v>
      </c>
      <c r="G99" s="29"/>
      <c r="H99" s="29"/>
      <c r="I99" s="29"/>
      <c r="J99" s="7"/>
      <c r="K99" s="41" t="s">
        <v>204</v>
      </c>
      <c r="L99" s="41"/>
      <c r="M99" s="17" t="s">
        <v>290</v>
      </c>
    </row>
    <row r="100" spans="1:14" ht="20.149999999999999" customHeight="1">
      <c r="A100" s="30" t="s">
        <v>2734</v>
      </c>
      <c r="B100" s="13" t="s">
        <v>18</v>
      </c>
      <c r="C100" s="14">
        <v>96</v>
      </c>
      <c r="D100" s="14">
        <v>1</v>
      </c>
      <c r="E100" s="14">
        <v>1</v>
      </c>
      <c r="F100" s="14">
        <v>1</v>
      </c>
      <c r="G100" s="16" t="s">
        <v>205</v>
      </c>
      <c r="H100" s="16"/>
      <c r="I100" s="16"/>
      <c r="J100" s="14"/>
      <c r="K100" s="14"/>
      <c r="L100" s="14"/>
      <c r="M100" s="17" t="s">
        <v>290</v>
      </c>
    </row>
    <row r="101" spans="1:14" ht="20.149999999999999" customHeight="1">
      <c r="A101" s="42" t="s">
        <v>3054</v>
      </c>
      <c r="B101" s="13" t="s">
        <v>207</v>
      </c>
      <c r="C101" s="14">
        <v>97</v>
      </c>
      <c r="D101" s="14">
        <v>2</v>
      </c>
      <c r="E101" s="14">
        <f>D101+F101-1</f>
        <v>10</v>
      </c>
      <c r="F101" s="14">
        <v>9</v>
      </c>
      <c r="G101" s="16" t="s">
        <v>208</v>
      </c>
      <c r="H101" s="16"/>
      <c r="I101" s="16"/>
      <c r="J101" s="14"/>
      <c r="K101" s="14"/>
      <c r="L101" s="14"/>
      <c r="M101" s="17" t="s">
        <v>290</v>
      </c>
    </row>
    <row r="102" spans="1:14" s="23" customFormat="1" ht="10">
      <c r="A102" s="18" t="s">
        <v>2729</v>
      </c>
      <c r="B102" s="18" t="s">
        <v>2730</v>
      </c>
      <c r="C102" s="19">
        <v>98</v>
      </c>
      <c r="D102" s="19">
        <f>E101+1</f>
        <v>11</v>
      </c>
      <c r="E102" s="14">
        <f>D102+F102-1</f>
        <v>11</v>
      </c>
      <c r="F102" s="19">
        <v>1</v>
      </c>
      <c r="G102" s="18" t="s">
        <v>2731</v>
      </c>
      <c r="H102" s="20"/>
      <c r="I102" s="20"/>
      <c r="J102" s="18"/>
      <c r="K102" s="19"/>
      <c r="L102" s="19"/>
      <c r="M102" s="21"/>
      <c r="N102" s="22"/>
    </row>
    <row r="103" spans="1:14" ht="20.149999999999999" customHeight="1">
      <c r="M103" s="47"/>
    </row>
    <row r="104" spans="1:14" ht="20.149999999999999" customHeight="1">
      <c r="M104" s="47"/>
    </row>
    <row r="105" spans="1:14" ht="20.149999999999999" customHeight="1">
      <c r="M105" s="47"/>
    </row>
    <row r="106" spans="1:14" ht="20.149999999999999" customHeight="1">
      <c r="M106" s="47"/>
    </row>
    <row r="107" spans="1:14" ht="20.149999999999999" customHeight="1">
      <c r="M107" s="47"/>
    </row>
    <row r="108" spans="1:14" ht="20.149999999999999" customHeight="1">
      <c r="M108" s="47"/>
    </row>
    <row r="109" spans="1:14" ht="20.149999999999999" customHeight="1">
      <c r="M109" s="47"/>
    </row>
    <row r="110" spans="1:14" ht="20.149999999999999" customHeight="1">
      <c r="M110" s="47"/>
    </row>
    <row r="111" spans="1:14" ht="20.149999999999999" customHeight="1">
      <c r="M111" s="47"/>
    </row>
    <row r="112" spans="1:14" ht="20.149999999999999" customHeight="1">
      <c r="M112" s="47"/>
    </row>
    <row r="113" spans="13:13" ht="20.149999999999999" customHeight="1">
      <c r="M113" s="47"/>
    </row>
    <row r="114" spans="13:13" ht="20.149999999999999" customHeight="1">
      <c r="M114" s="47"/>
    </row>
    <row r="115" spans="13:13" ht="20.149999999999999" customHeight="1">
      <c r="M115" s="47"/>
    </row>
    <row r="116" spans="13:13" ht="20.149999999999999" customHeight="1">
      <c r="M116" s="47"/>
    </row>
    <row r="117" spans="13:13" ht="20.149999999999999" customHeight="1">
      <c r="M117" s="47"/>
    </row>
    <row r="118" spans="13:13" ht="20.149999999999999" customHeight="1">
      <c r="M118" s="47"/>
    </row>
    <row r="119" spans="13:13" ht="20.149999999999999" customHeight="1">
      <c r="M119" s="47"/>
    </row>
    <row r="120" spans="13:13" ht="20.149999999999999" customHeight="1">
      <c r="M120" s="47"/>
    </row>
    <row r="121" spans="13:13" ht="20.149999999999999" customHeight="1">
      <c r="M121" s="47"/>
    </row>
    <row r="122" spans="13:13" ht="20.149999999999999" customHeight="1">
      <c r="M122" s="47"/>
    </row>
    <row r="123" spans="13:13" ht="20.149999999999999" customHeight="1">
      <c r="M123" s="47"/>
    </row>
    <row r="124" spans="13:13" ht="20.149999999999999" customHeight="1">
      <c r="M124" s="47"/>
    </row>
    <row r="125" spans="13:13" ht="20.149999999999999" customHeight="1">
      <c r="M125" s="47"/>
    </row>
    <row r="126" spans="13:13" ht="20.149999999999999" customHeight="1">
      <c r="M126" s="47"/>
    </row>
    <row r="127" spans="13:13" ht="20.149999999999999" customHeight="1">
      <c r="M127" s="47"/>
    </row>
    <row r="128" spans="13:13" ht="20.149999999999999" customHeight="1">
      <c r="M128" s="47"/>
    </row>
    <row r="129" spans="13:13" ht="20.149999999999999" customHeight="1">
      <c r="M129" s="47"/>
    </row>
    <row r="130" spans="13:13" ht="20.149999999999999" customHeight="1">
      <c r="M130" s="47"/>
    </row>
    <row r="131" spans="13:13" ht="20.149999999999999" customHeight="1">
      <c r="M131" s="47"/>
    </row>
    <row r="132" spans="13:13" ht="20.149999999999999" customHeight="1">
      <c r="M132" s="47"/>
    </row>
    <row r="133" spans="13:13" ht="20.149999999999999" customHeight="1">
      <c r="M133" s="47"/>
    </row>
    <row r="134" spans="13:13" ht="20.149999999999999" customHeight="1">
      <c r="M134" s="47"/>
    </row>
    <row r="135" spans="13:13" ht="20.149999999999999" customHeight="1">
      <c r="M135" s="47"/>
    </row>
    <row r="136" spans="13:13" ht="20.149999999999999" customHeight="1">
      <c r="M136" s="47"/>
    </row>
    <row r="137" spans="13:13" ht="20.149999999999999" customHeight="1">
      <c r="M137" s="47"/>
    </row>
    <row r="138" spans="13:13" ht="20.149999999999999" customHeight="1">
      <c r="M138" s="47"/>
    </row>
    <row r="139" spans="13:13" ht="20.149999999999999" customHeight="1">
      <c r="M139" s="47"/>
    </row>
    <row r="140" spans="13:13" ht="20.149999999999999" customHeight="1">
      <c r="M140" s="47"/>
    </row>
    <row r="141" spans="13:13" ht="20.149999999999999" customHeight="1">
      <c r="M141" s="47"/>
    </row>
    <row r="142" spans="13:13" ht="20.149999999999999" customHeight="1">
      <c r="M142" s="47"/>
    </row>
    <row r="143" spans="13:13" ht="20.149999999999999" customHeight="1">
      <c r="M143" s="47"/>
    </row>
    <row r="144" spans="13:13" ht="20.149999999999999" customHeight="1">
      <c r="M144" s="47"/>
    </row>
    <row r="145" spans="13:13" ht="20.149999999999999" customHeight="1">
      <c r="M145" s="47"/>
    </row>
    <row r="146" spans="13:13" ht="20.149999999999999" customHeight="1">
      <c r="M146" s="47"/>
    </row>
    <row r="147" spans="13:13" ht="20.149999999999999" customHeight="1">
      <c r="M147" s="47"/>
    </row>
    <row r="148" spans="13:13" ht="20.149999999999999" customHeight="1">
      <c r="M148" s="47"/>
    </row>
    <row r="149" spans="13:13" ht="20.149999999999999" customHeight="1">
      <c r="M149" s="47"/>
    </row>
    <row r="150" spans="13:13" ht="20.149999999999999" customHeight="1">
      <c r="M150" s="47"/>
    </row>
    <row r="151" spans="13:13" ht="20.149999999999999" customHeight="1">
      <c r="M151" s="47"/>
    </row>
    <row r="152" spans="13:13" ht="20.149999999999999" customHeight="1">
      <c r="M152" s="47"/>
    </row>
    <row r="153" spans="13:13" ht="20.149999999999999" customHeight="1">
      <c r="M153" s="47"/>
    </row>
    <row r="154" spans="13:13" ht="20.149999999999999" customHeight="1">
      <c r="M154" s="47"/>
    </row>
    <row r="155" spans="13:13" ht="20.149999999999999" customHeight="1">
      <c r="M155" s="47"/>
    </row>
    <row r="156" spans="13:13" ht="20.149999999999999" customHeight="1">
      <c r="M156" s="47"/>
    </row>
    <row r="157" spans="13:13" ht="20.149999999999999" customHeight="1">
      <c r="M157" s="47"/>
    </row>
    <row r="158" spans="13:13" ht="20.149999999999999" customHeight="1">
      <c r="M158" s="47"/>
    </row>
    <row r="159" spans="13:13" ht="20.149999999999999" customHeight="1">
      <c r="M159" s="47"/>
    </row>
    <row r="160" spans="13:13" ht="20.149999999999999" customHeight="1">
      <c r="M160" s="47"/>
    </row>
    <row r="161" spans="13:13" ht="20.149999999999999" customHeight="1">
      <c r="M161" s="47"/>
    </row>
    <row r="162" spans="13:13" ht="20.149999999999999" customHeight="1">
      <c r="M162" s="47"/>
    </row>
    <row r="163" spans="13:13" ht="20.149999999999999" customHeight="1">
      <c r="M163" s="47"/>
    </row>
    <row r="164" spans="13:13" ht="20.149999999999999" customHeight="1">
      <c r="M164" s="47"/>
    </row>
    <row r="165" spans="13:13" ht="20.149999999999999" customHeight="1">
      <c r="M165" s="47"/>
    </row>
    <row r="166" spans="13:13" ht="20.149999999999999" customHeight="1">
      <c r="M166" s="47"/>
    </row>
    <row r="167" spans="13:13" ht="20.149999999999999" customHeight="1">
      <c r="M167" s="47"/>
    </row>
    <row r="168" spans="13:13" ht="20.149999999999999" customHeight="1">
      <c r="M168" s="47"/>
    </row>
    <row r="169" spans="13:13" ht="20.149999999999999" customHeight="1">
      <c r="M169" s="47"/>
    </row>
    <row r="170" spans="13:13" ht="20.149999999999999" customHeight="1">
      <c r="M170" s="47"/>
    </row>
    <row r="171" spans="13:13" ht="20.149999999999999" customHeight="1">
      <c r="M171" s="47"/>
    </row>
    <row r="172" spans="13:13" ht="20.149999999999999" customHeight="1">
      <c r="M172" s="47"/>
    </row>
    <row r="173" spans="13:13" ht="20.149999999999999" customHeight="1">
      <c r="M173" s="47"/>
    </row>
    <row r="174" spans="13:13" ht="20.149999999999999" customHeight="1">
      <c r="M174" s="47"/>
    </row>
    <row r="175" spans="13:13" ht="20.149999999999999" customHeight="1">
      <c r="M175" s="47"/>
    </row>
    <row r="176" spans="13:13" ht="20.149999999999999" customHeight="1">
      <c r="M176" s="47"/>
    </row>
    <row r="177" spans="13:13" ht="20.149999999999999" customHeight="1">
      <c r="M177" s="47"/>
    </row>
    <row r="178" spans="13:13" ht="20.149999999999999" customHeight="1">
      <c r="M178" s="47"/>
    </row>
    <row r="179" spans="13:13" ht="20.149999999999999" customHeight="1">
      <c r="M179" s="47"/>
    </row>
    <row r="180" spans="13:13" ht="20.149999999999999" customHeight="1">
      <c r="M180" s="47"/>
    </row>
    <row r="181" spans="13:13" ht="20.149999999999999" customHeight="1">
      <c r="M181" s="47"/>
    </row>
    <row r="182" spans="13:13" ht="20.149999999999999" customHeight="1">
      <c r="M182" s="47"/>
    </row>
    <row r="183" spans="13:13" ht="20.149999999999999" customHeight="1">
      <c r="M183" s="47"/>
    </row>
  </sheetData>
  <dataValidations count="1">
    <dataValidation type="list" allowBlank="1" showInputMessage="1" showErrorMessage="1" sqref="N11:N25 JJ11:JJ25 TF11:TF25 ADB11:ADB25 AMX11:AMX25 AWT11:AWT25 BGP11:BGP25 BQL11:BQL25 CAH11:CAH25 CKD11:CKD25 CTZ11:CTZ25 DDV11:DDV25 DNR11:DNR25 DXN11:DXN25 EHJ11:EHJ25 ERF11:ERF25 FBB11:FBB25 FKX11:FKX25 FUT11:FUT25 GEP11:GEP25 GOL11:GOL25 GYH11:GYH25 HID11:HID25 HRZ11:HRZ25 IBV11:IBV25 ILR11:ILR25 IVN11:IVN25 JFJ11:JFJ25 JPF11:JPF25 JZB11:JZB25 KIX11:KIX25 KST11:KST25 LCP11:LCP25 LML11:LML25 LWH11:LWH25 MGD11:MGD25 MPZ11:MPZ25 MZV11:MZV25 NJR11:NJR25 NTN11:NTN25 ODJ11:ODJ25 ONF11:ONF25 OXB11:OXB25 PGX11:PGX25 PQT11:PQT25 QAP11:QAP25 QKL11:QKL25 QUH11:QUH25 RED11:RED25 RNZ11:RNZ25 RXV11:RXV25 SHR11:SHR25 SRN11:SRN25 TBJ11:TBJ25 TLF11:TLF25 TVB11:TVB25 UEX11:UEX25 UOT11:UOT25 UYP11:UYP25 VIL11:VIL25 VSH11:VSH25 WCD11:WCD25 WLZ11:WLZ25 WVV11:WVV25 N65547:N65561 JJ65547:JJ65561 TF65547:TF65561 ADB65547:ADB65561 AMX65547:AMX65561 AWT65547:AWT65561 BGP65547:BGP65561 BQL65547:BQL65561 CAH65547:CAH65561 CKD65547:CKD65561 CTZ65547:CTZ65561 DDV65547:DDV65561 DNR65547:DNR65561 DXN65547:DXN65561 EHJ65547:EHJ65561 ERF65547:ERF65561 FBB65547:FBB65561 FKX65547:FKX65561 FUT65547:FUT65561 GEP65547:GEP65561 GOL65547:GOL65561 GYH65547:GYH65561 HID65547:HID65561 HRZ65547:HRZ65561 IBV65547:IBV65561 ILR65547:ILR65561 IVN65547:IVN65561 JFJ65547:JFJ65561 JPF65547:JPF65561 JZB65547:JZB65561 KIX65547:KIX65561 KST65547:KST65561 LCP65547:LCP65561 LML65547:LML65561 LWH65547:LWH65561 MGD65547:MGD65561 MPZ65547:MPZ65561 MZV65547:MZV65561 NJR65547:NJR65561 NTN65547:NTN65561 ODJ65547:ODJ65561 ONF65547:ONF65561 OXB65547:OXB65561 PGX65547:PGX65561 PQT65547:PQT65561 QAP65547:QAP65561 QKL65547:QKL65561 QUH65547:QUH65561 RED65547:RED65561 RNZ65547:RNZ65561 RXV65547:RXV65561 SHR65547:SHR65561 SRN65547:SRN65561 TBJ65547:TBJ65561 TLF65547:TLF65561 TVB65547:TVB65561 UEX65547:UEX65561 UOT65547:UOT65561 UYP65547:UYP65561 VIL65547:VIL65561 VSH65547:VSH65561 WCD65547:WCD65561 WLZ65547:WLZ65561 WVV65547:WVV65561 N131083:N131097 JJ131083:JJ131097 TF131083:TF131097 ADB131083:ADB131097 AMX131083:AMX131097 AWT131083:AWT131097 BGP131083:BGP131097 BQL131083:BQL131097 CAH131083:CAH131097 CKD131083:CKD131097 CTZ131083:CTZ131097 DDV131083:DDV131097 DNR131083:DNR131097 DXN131083:DXN131097 EHJ131083:EHJ131097 ERF131083:ERF131097 FBB131083:FBB131097 FKX131083:FKX131097 FUT131083:FUT131097 GEP131083:GEP131097 GOL131083:GOL131097 GYH131083:GYH131097 HID131083:HID131097 HRZ131083:HRZ131097 IBV131083:IBV131097 ILR131083:ILR131097 IVN131083:IVN131097 JFJ131083:JFJ131097 JPF131083:JPF131097 JZB131083:JZB131097 KIX131083:KIX131097 KST131083:KST131097 LCP131083:LCP131097 LML131083:LML131097 LWH131083:LWH131097 MGD131083:MGD131097 MPZ131083:MPZ131097 MZV131083:MZV131097 NJR131083:NJR131097 NTN131083:NTN131097 ODJ131083:ODJ131097 ONF131083:ONF131097 OXB131083:OXB131097 PGX131083:PGX131097 PQT131083:PQT131097 QAP131083:QAP131097 QKL131083:QKL131097 QUH131083:QUH131097 RED131083:RED131097 RNZ131083:RNZ131097 RXV131083:RXV131097 SHR131083:SHR131097 SRN131083:SRN131097 TBJ131083:TBJ131097 TLF131083:TLF131097 TVB131083:TVB131097 UEX131083:UEX131097 UOT131083:UOT131097 UYP131083:UYP131097 VIL131083:VIL131097 VSH131083:VSH131097 WCD131083:WCD131097 WLZ131083:WLZ131097 WVV131083:WVV131097 N196619:N196633 JJ196619:JJ196633 TF196619:TF196633 ADB196619:ADB196633 AMX196619:AMX196633 AWT196619:AWT196633 BGP196619:BGP196633 BQL196619:BQL196633 CAH196619:CAH196633 CKD196619:CKD196633 CTZ196619:CTZ196633 DDV196619:DDV196633 DNR196619:DNR196633 DXN196619:DXN196633 EHJ196619:EHJ196633 ERF196619:ERF196633 FBB196619:FBB196633 FKX196619:FKX196633 FUT196619:FUT196633 GEP196619:GEP196633 GOL196619:GOL196633 GYH196619:GYH196633 HID196619:HID196633 HRZ196619:HRZ196633 IBV196619:IBV196633 ILR196619:ILR196633 IVN196619:IVN196633 JFJ196619:JFJ196633 JPF196619:JPF196633 JZB196619:JZB196633 KIX196619:KIX196633 KST196619:KST196633 LCP196619:LCP196633 LML196619:LML196633 LWH196619:LWH196633 MGD196619:MGD196633 MPZ196619:MPZ196633 MZV196619:MZV196633 NJR196619:NJR196633 NTN196619:NTN196633 ODJ196619:ODJ196633 ONF196619:ONF196633 OXB196619:OXB196633 PGX196619:PGX196633 PQT196619:PQT196633 QAP196619:QAP196633 QKL196619:QKL196633 QUH196619:QUH196633 RED196619:RED196633 RNZ196619:RNZ196633 RXV196619:RXV196633 SHR196619:SHR196633 SRN196619:SRN196633 TBJ196619:TBJ196633 TLF196619:TLF196633 TVB196619:TVB196633 UEX196619:UEX196633 UOT196619:UOT196633 UYP196619:UYP196633 VIL196619:VIL196633 VSH196619:VSH196633 WCD196619:WCD196633 WLZ196619:WLZ196633 WVV196619:WVV196633 N262155:N262169 JJ262155:JJ262169 TF262155:TF262169 ADB262155:ADB262169 AMX262155:AMX262169 AWT262155:AWT262169 BGP262155:BGP262169 BQL262155:BQL262169 CAH262155:CAH262169 CKD262155:CKD262169 CTZ262155:CTZ262169 DDV262155:DDV262169 DNR262155:DNR262169 DXN262155:DXN262169 EHJ262155:EHJ262169 ERF262155:ERF262169 FBB262155:FBB262169 FKX262155:FKX262169 FUT262155:FUT262169 GEP262155:GEP262169 GOL262155:GOL262169 GYH262155:GYH262169 HID262155:HID262169 HRZ262155:HRZ262169 IBV262155:IBV262169 ILR262155:ILR262169 IVN262155:IVN262169 JFJ262155:JFJ262169 JPF262155:JPF262169 JZB262155:JZB262169 KIX262155:KIX262169 KST262155:KST262169 LCP262155:LCP262169 LML262155:LML262169 LWH262155:LWH262169 MGD262155:MGD262169 MPZ262155:MPZ262169 MZV262155:MZV262169 NJR262155:NJR262169 NTN262155:NTN262169 ODJ262155:ODJ262169 ONF262155:ONF262169 OXB262155:OXB262169 PGX262155:PGX262169 PQT262155:PQT262169 QAP262155:QAP262169 QKL262155:QKL262169 QUH262155:QUH262169 RED262155:RED262169 RNZ262155:RNZ262169 RXV262155:RXV262169 SHR262155:SHR262169 SRN262155:SRN262169 TBJ262155:TBJ262169 TLF262155:TLF262169 TVB262155:TVB262169 UEX262155:UEX262169 UOT262155:UOT262169 UYP262155:UYP262169 VIL262155:VIL262169 VSH262155:VSH262169 WCD262155:WCD262169 WLZ262155:WLZ262169 WVV262155:WVV262169 N327691:N327705 JJ327691:JJ327705 TF327691:TF327705 ADB327691:ADB327705 AMX327691:AMX327705 AWT327691:AWT327705 BGP327691:BGP327705 BQL327691:BQL327705 CAH327691:CAH327705 CKD327691:CKD327705 CTZ327691:CTZ327705 DDV327691:DDV327705 DNR327691:DNR327705 DXN327691:DXN327705 EHJ327691:EHJ327705 ERF327691:ERF327705 FBB327691:FBB327705 FKX327691:FKX327705 FUT327691:FUT327705 GEP327691:GEP327705 GOL327691:GOL327705 GYH327691:GYH327705 HID327691:HID327705 HRZ327691:HRZ327705 IBV327691:IBV327705 ILR327691:ILR327705 IVN327691:IVN327705 JFJ327691:JFJ327705 JPF327691:JPF327705 JZB327691:JZB327705 KIX327691:KIX327705 KST327691:KST327705 LCP327691:LCP327705 LML327691:LML327705 LWH327691:LWH327705 MGD327691:MGD327705 MPZ327691:MPZ327705 MZV327691:MZV327705 NJR327691:NJR327705 NTN327691:NTN327705 ODJ327691:ODJ327705 ONF327691:ONF327705 OXB327691:OXB327705 PGX327691:PGX327705 PQT327691:PQT327705 QAP327691:QAP327705 QKL327691:QKL327705 QUH327691:QUH327705 RED327691:RED327705 RNZ327691:RNZ327705 RXV327691:RXV327705 SHR327691:SHR327705 SRN327691:SRN327705 TBJ327691:TBJ327705 TLF327691:TLF327705 TVB327691:TVB327705 UEX327691:UEX327705 UOT327691:UOT327705 UYP327691:UYP327705 VIL327691:VIL327705 VSH327691:VSH327705 WCD327691:WCD327705 WLZ327691:WLZ327705 WVV327691:WVV327705 N393227:N393241 JJ393227:JJ393241 TF393227:TF393241 ADB393227:ADB393241 AMX393227:AMX393241 AWT393227:AWT393241 BGP393227:BGP393241 BQL393227:BQL393241 CAH393227:CAH393241 CKD393227:CKD393241 CTZ393227:CTZ393241 DDV393227:DDV393241 DNR393227:DNR393241 DXN393227:DXN393241 EHJ393227:EHJ393241 ERF393227:ERF393241 FBB393227:FBB393241 FKX393227:FKX393241 FUT393227:FUT393241 GEP393227:GEP393241 GOL393227:GOL393241 GYH393227:GYH393241 HID393227:HID393241 HRZ393227:HRZ393241 IBV393227:IBV393241 ILR393227:ILR393241 IVN393227:IVN393241 JFJ393227:JFJ393241 JPF393227:JPF393241 JZB393227:JZB393241 KIX393227:KIX393241 KST393227:KST393241 LCP393227:LCP393241 LML393227:LML393241 LWH393227:LWH393241 MGD393227:MGD393241 MPZ393227:MPZ393241 MZV393227:MZV393241 NJR393227:NJR393241 NTN393227:NTN393241 ODJ393227:ODJ393241 ONF393227:ONF393241 OXB393227:OXB393241 PGX393227:PGX393241 PQT393227:PQT393241 QAP393227:QAP393241 QKL393227:QKL393241 QUH393227:QUH393241 RED393227:RED393241 RNZ393227:RNZ393241 RXV393227:RXV393241 SHR393227:SHR393241 SRN393227:SRN393241 TBJ393227:TBJ393241 TLF393227:TLF393241 TVB393227:TVB393241 UEX393227:UEX393241 UOT393227:UOT393241 UYP393227:UYP393241 VIL393227:VIL393241 VSH393227:VSH393241 WCD393227:WCD393241 WLZ393227:WLZ393241 WVV393227:WVV393241 N458763:N458777 JJ458763:JJ458777 TF458763:TF458777 ADB458763:ADB458777 AMX458763:AMX458777 AWT458763:AWT458777 BGP458763:BGP458777 BQL458763:BQL458777 CAH458763:CAH458777 CKD458763:CKD458777 CTZ458763:CTZ458777 DDV458763:DDV458777 DNR458763:DNR458777 DXN458763:DXN458777 EHJ458763:EHJ458777 ERF458763:ERF458777 FBB458763:FBB458777 FKX458763:FKX458777 FUT458763:FUT458777 GEP458763:GEP458777 GOL458763:GOL458777 GYH458763:GYH458777 HID458763:HID458777 HRZ458763:HRZ458777 IBV458763:IBV458777 ILR458763:ILR458777 IVN458763:IVN458777 JFJ458763:JFJ458777 JPF458763:JPF458777 JZB458763:JZB458777 KIX458763:KIX458777 KST458763:KST458777 LCP458763:LCP458777 LML458763:LML458777 LWH458763:LWH458777 MGD458763:MGD458777 MPZ458763:MPZ458777 MZV458763:MZV458777 NJR458763:NJR458777 NTN458763:NTN458777 ODJ458763:ODJ458777 ONF458763:ONF458777 OXB458763:OXB458777 PGX458763:PGX458777 PQT458763:PQT458777 QAP458763:QAP458777 QKL458763:QKL458777 QUH458763:QUH458777 RED458763:RED458777 RNZ458763:RNZ458777 RXV458763:RXV458777 SHR458763:SHR458777 SRN458763:SRN458777 TBJ458763:TBJ458777 TLF458763:TLF458777 TVB458763:TVB458777 UEX458763:UEX458777 UOT458763:UOT458777 UYP458763:UYP458777 VIL458763:VIL458777 VSH458763:VSH458777 WCD458763:WCD458777 WLZ458763:WLZ458777 WVV458763:WVV458777 N524299:N524313 JJ524299:JJ524313 TF524299:TF524313 ADB524299:ADB524313 AMX524299:AMX524313 AWT524299:AWT524313 BGP524299:BGP524313 BQL524299:BQL524313 CAH524299:CAH524313 CKD524299:CKD524313 CTZ524299:CTZ524313 DDV524299:DDV524313 DNR524299:DNR524313 DXN524299:DXN524313 EHJ524299:EHJ524313 ERF524299:ERF524313 FBB524299:FBB524313 FKX524299:FKX524313 FUT524299:FUT524313 GEP524299:GEP524313 GOL524299:GOL524313 GYH524299:GYH524313 HID524299:HID524313 HRZ524299:HRZ524313 IBV524299:IBV524313 ILR524299:ILR524313 IVN524299:IVN524313 JFJ524299:JFJ524313 JPF524299:JPF524313 JZB524299:JZB524313 KIX524299:KIX524313 KST524299:KST524313 LCP524299:LCP524313 LML524299:LML524313 LWH524299:LWH524313 MGD524299:MGD524313 MPZ524299:MPZ524313 MZV524299:MZV524313 NJR524299:NJR524313 NTN524299:NTN524313 ODJ524299:ODJ524313 ONF524299:ONF524313 OXB524299:OXB524313 PGX524299:PGX524313 PQT524299:PQT524313 QAP524299:QAP524313 QKL524299:QKL524313 QUH524299:QUH524313 RED524299:RED524313 RNZ524299:RNZ524313 RXV524299:RXV524313 SHR524299:SHR524313 SRN524299:SRN524313 TBJ524299:TBJ524313 TLF524299:TLF524313 TVB524299:TVB524313 UEX524299:UEX524313 UOT524299:UOT524313 UYP524299:UYP524313 VIL524299:VIL524313 VSH524299:VSH524313 WCD524299:WCD524313 WLZ524299:WLZ524313 WVV524299:WVV524313 N589835:N589849 JJ589835:JJ589849 TF589835:TF589849 ADB589835:ADB589849 AMX589835:AMX589849 AWT589835:AWT589849 BGP589835:BGP589849 BQL589835:BQL589849 CAH589835:CAH589849 CKD589835:CKD589849 CTZ589835:CTZ589849 DDV589835:DDV589849 DNR589835:DNR589849 DXN589835:DXN589849 EHJ589835:EHJ589849 ERF589835:ERF589849 FBB589835:FBB589849 FKX589835:FKX589849 FUT589835:FUT589849 GEP589835:GEP589849 GOL589835:GOL589849 GYH589835:GYH589849 HID589835:HID589849 HRZ589835:HRZ589849 IBV589835:IBV589849 ILR589835:ILR589849 IVN589835:IVN589849 JFJ589835:JFJ589849 JPF589835:JPF589849 JZB589835:JZB589849 KIX589835:KIX589849 KST589835:KST589849 LCP589835:LCP589849 LML589835:LML589849 LWH589835:LWH589849 MGD589835:MGD589849 MPZ589835:MPZ589849 MZV589835:MZV589849 NJR589835:NJR589849 NTN589835:NTN589849 ODJ589835:ODJ589849 ONF589835:ONF589849 OXB589835:OXB589849 PGX589835:PGX589849 PQT589835:PQT589849 QAP589835:QAP589849 QKL589835:QKL589849 QUH589835:QUH589849 RED589835:RED589849 RNZ589835:RNZ589849 RXV589835:RXV589849 SHR589835:SHR589849 SRN589835:SRN589849 TBJ589835:TBJ589849 TLF589835:TLF589849 TVB589835:TVB589849 UEX589835:UEX589849 UOT589835:UOT589849 UYP589835:UYP589849 VIL589835:VIL589849 VSH589835:VSH589849 WCD589835:WCD589849 WLZ589835:WLZ589849 WVV589835:WVV589849 N655371:N655385 JJ655371:JJ655385 TF655371:TF655385 ADB655371:ADB655385 AMX655371:AMX655385 AWT655371:AWT655385 BGP655371:BGP655385 BQL655371:BQL655385 CAH655371:CAH655385 CKD655371:CKD655385 CTZ655371:CTZ655385 DDV655371:DDV655385 DNR655371:DNR655385 DXN655371:DXN655385 EHJ655371:EHJ655385 ERF655371:ERF655385 FBB655371:FBB655385 FKX655371:FKX655385 FUT655371:FUT655385 GEP655371:GEP655385 GOL655371:GOL655385 GYH655371:GYH655385 HID655371:HID655385 HRZ655371:HRZ655385 IBV655371:IBV655385 ILR655371:ILR655385 IVN655371:IVN655385 JFJ655371:JFJ655385 JPF655371:JPF655385 JZB655371:JZB655385 KIX655371:KIX655385 KST655371:KST655385 LCP655371:LCP655385 LML655371:LML655385 LWH655371:LWH655385 MGD655371:MGD655385 MPZ655371:MPZ655385 MZV655371:MZV655385 NJR655371:NJR655385 NTN655371:NTN655385 ODJ655371:ODJ655385 ONF655371:ONF655385 OXB655371:OXB655385 PGX655371:PGX655385 PQT655371:PQT655385 QAP655371:QAP655385 QKL655371:QKL655385 QUH655371:QUH655385 RED655371:RED655385 RNZ655371:RNZ655385 RXV655371:RXV655385 SHR655371:SHR655385 SRN655371:SRN655385 TBJ655371:TBJ655385 TLF655371:TLF655385 TVB655371:TVB655385 UEX655371:UEX655385 UOT655371:UOT655385 UYP655371:UYP655385 VIL655371:VIL655385 VSH655371:VSH655385 WCD655371:WCD655385 WLZ655371:WLZ655385 WVV655371:WVV655385 N720907:N720921 JJ720907:JJ720921 TF720907:TF720921 ADB720907:ADB720921 AMX720907:AMX720921 AWT720907:AWT720921 BGP720907:BGP720921 BQL720907:BQL720921 CAH720907:CAH720921 CKD720907:CKD720921 CTZ720907:CTZ720921 DDV720907:DDV720921 DNR720907:DNR720921 DXN720907:DXN720921 EHJ720907:EHJ720921 ERF720907:ERF720921 FBB720907:FBB720921 FKX720907:FKX720921 FUT720907:FUT720921 GEP720907:GEP720921 GOL720907:GOL720921 GYH720907:GYH720921 HID720907:HID720921 HRZ720907:HRZ720921 IBV720907:IBV720921 ILR720907:ILR720921 IVN720907:IVN720921 JFJ720907:JFJ720921 JPF720907:JPF720921 JZB720907:JZB720921 KIX720907:KIX720921 KST720907:KST720921 LCP720907:LCP720921 LML720907:LML720921 LWH720907:LWH720921 MGD720907:MGD720921 MPZ720907:MPZ720921 MZV720907:MZV720921 NJR720907:NJR720921 NTN720907:NTN720921 ODJ720907:ODJ720921 ONF720907:ONF720921 OXB720907:OXB720921 PGX720907:PGX720921 PQT720907:PQT720921 QAP720907:QAP720921 QKL720907:QKL720921 QUH720907:QUH720921 RED720907:RED720921 RNZ720907:RNZ720921 RXV720907:RXV720921 SHR720907:SHR720921 SRN720907:SRN720921 TBJ720907:TBJ720921 TLF720907:TLF720921 TVB720907:TVB720921 UEX720907:UEX720921 UOT720907:UOT720921 UYP720907:UYP720921 VIL720907:VIL720921 VSH720907:VSH720921 WCD720907:WCD720921 WLZ720907:WLZ720921 WVV720907:WVV720921 N786443:N786457 JJ786443:JJ786457 TF786443:TF786457 ADB786443:ADB786457 AMX786443:AMX786457 AWT786443:AWT786457 BGP786443:BGP786457 BQL786443:BQL786457 CAH786443:CAH786457 CKD786443:CKD786457 CTZ786443:CTZ786457 DDV786443:DDV786457 DNR786443:DNR786457 DXN786443:DXN786457 EHJ786443:EHJ786457 ERF786443:ERF786457 FBB786443:FBB786457 FKX786443:FKX786457 FUT786443:FUT786457 GEP786443:GEP786457 GOL786443:GOL786457 GYH786443:GYH786457 HID786443:HID786457 HRZ786443:HRZ786457 IBV786443:IBV786457 ILR786443:ILR786457 IVN786443:IVN786457 JFJ786443:JFJ786457 JPF786443:JPF786457 JZB786443:JZB786457 KIX786443:KIX786457 KST786443:KST786457 LCP786443:LCP786457 LML786443:LML786457 LWH786443:LWH786457 MGD786443:MGD786457 MPZ786443:MPZ786457 MZV786443:MZV786457 NJR786443:NJR786457 NTN786443:NTN786457 ODJ786443:ODJ786457 ONF786443:ONF786457 OXB786443:OXB786457 PGX786443:PGX786457 PQT786443:PQT786457 QAP786443:QAP786457 QKL786443:QKL786457 QUH786443:QUH786457 RED786443:RED786457 RNZ786443:RNZ786457 RXV786443:RXV786457 SHR786443:SHR786457 SRN786443:SRN786457 TBJ786443:TBJ786457 TLF786443:TLF786457 TVB786443:TVB786457 UEX786443:UEX786457 UOT786443:UOT786457 UYP786443:UYP786457 VIL786443:VIL786457 VSH786443:VSH786457 WCD786443:WCD786457 WLZ786443:WLZ786457 WVV786443:WVV786457 N851979:N851993 JJ851979:JJ851993 TF851979:TF851993 ADB851979:ADB851993 AMX851979:AMX851993 AWT851979:AWT851993 BGP851979:BGP851993 BQL851979:BQL851993 CAH851979:CAH851993 CKD851979:CKD851993 CTZ851979:CTZ851993 DDV851979:DDV851993 DNR851979:DNR851993 DXN851979:DXN851993 EHJ851979:EHJ851993 ERF851979:ERF851993 FBB851979:FBB851993 FKX851979:FKX851993 FUT851979:FUT851993 GEP851979:GEP851993 GOL851979:GOL851993 GYH851979:GYH851993 HID851979:HID851993 HRZ851979:HRZ851993 IBV851979:IBV851993 ILR851979:ILR851993 IVN851979:IVN851993 JFJ851979:JFJ851993 JPF851979:JPF851993 JZB851979:JZB851993 KIX851979:KIX851993 KST851979:KST851993 LCP851979:LCP851993 LML851979:LML851993 LWH851979:LWH851993 MGD851979:MGD851993 MPZ851979:MPZ851993 MZV851979:MZV851993 NJR851979:NJR851993 NTN851979:NTN851993 ODJ851979:ODJ851993 ONF851979:ONF851993 OXB851979:OXB851993 PGX851979:PGX851993 PQT851979:PQT851993 QAP851979:QAP851993 QKL851979:QKL851993 QUH851979:QUH851993 RED851979:RED851993 RNZ851979:RNZ851993 RXV851979:RXV851993 SHR851979:SHR851993 SRN851979:SRN851993 TBJ851979:TBJ851993 TLF851979:TLF851993 TVB851979:TVB851993 UEX851979:UEX851993 UOT851979:UOT851993 UYP851979:UYP851993 VIL851979:VIL851993 VSH851979:VSH851993 WCD851979:WCD851993 WLZ851979:WLZ851993 WVV851979:WVV851993 N917515:N917529 JJ917515:JJ917529 TF917515:TF917529 ADB917515:ADB917529 AMX917515:AMX917529 AWT917515:AWT917529 BGP917515:BGP917529 BQL917515:BQL917529 CAH917515:CAH917529 CKD917515:CKD917529 CTZ917515:CTZ917529 DDV917515:DDV917529 DNR917515:DNR917529 DXN917515:DXN917529 EHJ917515:EHJ917529 ERF917515:ERF917529 FBB917515:FBB917529 FKX917515:FKX917529 FUT917515:FUT917529 GEP917515:GEP917529 GOL917515:GOL917529 GYH917515:GYH917529 HID917515:HID917529 HRZ917515:HRZ917529 IBV917515:IBV917529 ILR917515:ILR917529 IVN917515:IVN917529 JFJ917515:JFJ917529 JPF917515:JPF917529 JZB917515:JZB917529 KIX917515:KIX917529 KST917515:KST917529 LCP917515:LCP917529 LML917515:LML917529 LWH917515:LWH917529 MGD917515:MGD917529 MPZ917515:MPZ917529 MZV917515:MZV917529 NJR917515:NJR917529 NTN917515:NTN917529 ODJ917515:ODJ917529 ONF917515:ONF917529 OXB917515:OXB917529 PGX917515:PGX917529 PQT917515:PQT917529 QAP917515:QAP917529 QKL917515:QKL917529 QUH917515:QUH917529 RED917515:RED917529 RNZ917515:RNZ917529 RXV917515:RXV917529 SHR917515:SHR917529 SRN917515:SRN917529 TBJ917515:TBJ917529 TLF917515:TLF917529 TVB917515:TVB917529 UEX917515:UEX917529 UOT917515:UOT917529 UYP917515:UYP917529 VIL917515:VIL917529 VSH917515:VSH917529 WCD917515:WCD917529 WLZ917515:WLZ917529 WVV917515:WVV917529 N983051:N983065 JJ983051:JJ983065 TF983051:TF983065 ADB983051:ADB983065 AMX983051:AMX983065 AWT983051:AWT983065 BGP983051:BGP983065 BQL983051:BQL983065 CAH983051:CAH983065 CKD983051:CKD983065 CTZ983051:CTZ983065 DDV983051:DDV983065 DNR983051:DNR983065 DXN983051:DXN983065 EHJ983051:EHJ983065 ERF983051:ERF983065 FBB983051:FBB983065 FKX983051:FKX983065 FUT983051:FUT983065 GEP983051:GEP983065 GOL983051:GOL983065 GYH983051:GYH983065 HID983051:HID983065 HRZ983051:HRZ983065 IBV983051:IBV983065 ILR983051:ILR983065 IVN983051:IVN983065 JFJ983051:JFJ983065 JPF983051:JPF983065 JZB983051:JZB983065 KIX983051:KIX983065 KST983051:KST983065 LCP983051:LCP983065 LML983051:LML983065 LWH983051:LWH983065 MGD983051:MGD983065 MPZ983051:MPZ983065 MZV983051:MZV983065 NJR983051:NJR983065 NTN983051:NTN983065 ODJ983051:ODJ983065 ONF983051:ONF983065 OXB983051:OXB983065 PGX983051:PGX983065 PQT983051:PQT983065 QAP983051:QAP983065 QKL983051:QKL983065 QUH983051:QUH983065 RED983051:RED983065 RNZ983051:RNZ983065 RXV983051:RXV983065 SHR983051:SHR983065 SRN983051:SRN983065 TBJ983051:TBJ983065 TLF983051:TLF983065 TVB983051:TVB983065 UEX983051:UEX983065 UOT983051:UOT983065 UYP983051:UYP983065 VIL983051:VIL983065 VSH983051:VSH983065 WCD983051:WCD983065 WLZ983051:WLZ983065 WVV983051:WVV983065" xr:uid="{A1AFD12C-D5CA-464C-B7C2-3DC5F7193BD8}">
      <formula1>"Y,N"</formula1>
    </dataValidation>
  </dataValidations>
  <pageMargins left="0.75" right="0.75" top="1" bottom="1" header="0.5" footer="0.5"/>
  <pageSetup paperSize="9" orientation="portrait" verticalDpi="300" r:id="rId1"/>
  <headerFooter alignWithMargins="0">
    <oddHeader>&amp;L&amp;"Arial"&amp;9&amp;K0078D7 INTERNAL&amp;1#_x000D_</oddHead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52FF-473C-4856-AB48-94EA529483A5}">
  <dimension ref="A1:M28"/>
  <sheetViews>
    <sheetView topLeftCell="A3" workbookViewId="0">
      <selection activeCell="J23" sqref="J23"/>
    </sheetView>
  </sheetViews>
  <sheetFormatPr defaultRowHeight="12.5"/>
  <cols>
    <col min="1" max="1" width="13.26953125" customWidth="1"/>
    <col min="7" max="7" width="23.453125" customWidth="1"/>
    <col min="9" max="9" width="12.1796875" customWidth="1"/>
    <col min="10" max="10" width="36.7265625" customWidth="1"/>
    <col min="13" max="13" width="20.36328125" customWidth="1"/>
  </cols>
  <sheetData>
    <row r="1" spans="1:13" s="5" customFormat="1" ht="20.149999999999999" customHeight="1">
      <c r="A1" s="461" t="s">
        <v>0</v>
      </c>
      <c r="B1" s="461" t="s">
        <v>3151</v>
      </c>
      <c r="C1" s="461" t="s">
        <v>2</v>
      </c>
      <c r="D1" s="461" t="s">
        <v>3</v>
      </c>
      <c r="E1" s="461" t="s">
        <v>4</v>
      </c>
      <c r="F1" s="461" t="s">
        <v>5</v>
      </c>
      <c r="G1" s="461" t="s">
        <v>6</v>
      </c>
      <c r="H1" s="461" t="s">
        <v>505</v>
      </c>
      <c r="I1" s="461" t="s">
        <v>506</v>
      </c>
      <c r="J1" s="461" t="s">
        <v>0</v>
      </c>
      <c r="K1" s="461" t="s">
        <v>10</v>
      </c>
      <c r="L1" s="461" t="s">
        <v>507</v>
      </c>
      <c r="M1" s="461" t="s">
        <v>12</v>
      </c>
    </row>
    <row r="2" spans="1:13" s="11" customFormat="1" ht="37" customHeight="1">
      <c r="A2" s="716" t="s">
        <v>3152</v>
      </c>
      <c r="B2" s="7" t="s">
        <v>14</v>
      </c>
      <c r="C2" s="7"/>
      <c r="D2" s="7">
        <v>1</v>
      </c>
      <c r="E2" s="7" t="e">
        <v>#REF!</v>
      </c>
      <c r="F2" s="7">
        <v>49</v>
      </c>
      <c r="G2" s="9" t="s">
        <v>510</v>
      </c>
      <c r="H2" s="9"/>
      <c r="I2" s="9"/>
      <c r="J2" s="7"/>
      <c r="K2" s="7"/>
      <c r="L2" s="7"/>
      <c r="M2" s="168" t="s">
        <v>3153</v>
      </c>
    </row>
    <row r="3" spans="1:13" ht="64" customHeight="1">
      <c r="A3" s="717" t="s">
        <v>17</v>
      </c>
      <c r="B3" s="717" t="s">
        <v>18</v>
      </c>
      <c r="C3" s="717">
        <v>1</v>
      </c>
      <c r="D3" s="717">
        <v>1</v>
      </c>
      <c r="E3" s="717">
        <v>1</v>
      </c>
      <c r="F3" s="717">
        <v>1</v>
      </c>
      <c r="G3" s="717" t="s">
        <v>3154</v>
      </c>
      <c r="H3" s="717"/>
      <c r="I3" s="717"/>
      <c r="J3" s="717"/>
      <c r="K3" s="717"/>
      <c r="L3" s="717"/>
      <c r="M3" s="717" t="s">
        <v>3153</v>
      </c>
    </row>
    <row r="4" spans="1:13" ht="25">
      <c r="A4" s="717" t="s">
        <v>513</v>
      </c>
      <c r="B4" s="717" t="s">
        <v>514</v>
      </c>
      <c r="C4" s="717">
        <v>2</v>
      </c>
      <c r="D4" s="717">
        <v>2</v>
      </c>
      <c r="E4" s="717">
        <v>16</v>
      </c>
      <c r="F4" s="717">
        <v>15</v>
      </c>
      <c r="G4" s="717" t="s">
        <v>3155</v>
      </c>
      <c r="H4" s="717"/>
      <c r="I4" s="717"/>
      <c r="J4" s="717"/>
      <c r="K4" s="717"/>
      <c r="L4" s="717"/>
      <c r="M4" s="717"/>
    </row>
    <row r="5" spans="1:13">
      <c r="A5" s="717" t="s">
        <v>516</v>
      </c>
      <c r="B5" s="717" t="s">
        <v>517</v>
      </c>
      <c r="C5" s="717">
        <v>3</v>
      </c>
      <c r="D5" s="717">
        <v>17</v>
      </c>
      <c r="E5" s="717">
        <v>26</v>
      </c>
      <c r="F5" s="717">
        <v>10</v>
      </c>
      <c r="G5" s="717" t="s">
        <v>518</v>
      </c>
      <c r="H5" s="717"/>
      <c r="I5" s="717"/>
      <c r="J5" s="717"/>
      <c r="K5" s="717"/>
      <c r="L5" s="717"/>
      <c r="M5" s="717"/>
    </row>
    <row r="6" spans="1:13">
      <c r="A6" s="717" t="s">
        <v>215</v>
      </c>
      <c r="B6" s="717" t="s">
        <v>216</v>
      </c>
      <c r="C6" s="717">
        <v>4</v>
      </c>
      <c r="D6" s="717">
        <v>27</v>
      </c>
      <c r="E6" s="717">
        <v>34</v>
      </c>
      <c r="F6" s="717">
        <v>8</v>
      </c>
      <c r="G6" s="717" t="s">
        <v>519</v>
      </c>
      <c r="H6" s="717"/>
      <c r="I6" s="717"/>
      <c r="J6" s="717"/>
      <c r="K6" s="717"/>
      <c r="L6" s="717"/>
      <c r="M6" s="717"/>
    </row>
    <row r="7" spans="1:13" ht="13">
      <c r="A7" s="717" t="s">
        <v>520</v>
      </c>
      <c r="B7" s="717" t="s">
        <v>514</v>
      </c>
      <c r="C7" s="717">
        <v>5</v>
      </c>
      <c r="D7" s="717">
        <v>35</v>
      </c>
      <c r="E7" s="717">
        <v>49</v>
      </c>
      <c r="F7" s="717">
        <v>15</v>
      </c>
      <c r="G7" s="718" t="s">
        <v>3156</v>
      </c>
      <c r="H7" s="717"/>
      <c r="I7" s="717"/>
      <c r="J7" s="717"/>
      <c r="K7" s="717"/>
      <c r="L7" s="717"/>
      <c r="M7" s="717" t="s">
        <v>3153</v>
      </c>
    </row>
    <row r="8" spans="1:13" s="11" customFormat="1" ht="20.149999999999999" customHeight="1">
      <c r="A8" s="716" t="s">
        <v>3157</v>
      </c>
      <c r="B8" s="7" t="s">
        <v>14</v>
      </c>
      <c r="C8" s="27"/>
      <c r="D8" s="7">
        <v>1</v>
      </c>
      <c r="E8" s="7" t="e">
        <v>#REF!</v>
      </c>
      <c r="F8" s="7">
        <v>57</v>
      </c>
      <c r="G8" s="29"/>
      <c r="H8" s="29"/>
      <c r="I8" s="29"/>
      <c r="J8" s="7"/>
      <c r="K8" s="7"/>
      <c r="L8" s="7"/>
      <c r="M8" s="168" t="s">
        <v>3153</v>
      </c>
    </row>
    <row r="9" spans="1:13" ht="25.5">
      <c r="A9" s="718" t="s">
        <v>17</v>
      </c>
      <c r="B9" s="717" t="s">
        <v>18</v>
      </c>
      <c r="C9" s="717">
        <v>7</v>
      </c>
      <c r="D9" s="718">
        <v>1</v>
      </c>
      <c r="E9" s="717">
        <v>1</v>
      </c>
      <c r="F9" s="718">
        <v>1</v>
      </c>
      <c r="G9" s="717" t="s">
        <v>3158</v>
      </c>
      <c r="H9" s="717"/>
      <c r="I9" s="717"/>
      <c r="J9" s="717"/>
      <c r="K9" s="717"/>
      <c r="L9" s="717"/>
      <c r="M9" s="717" t="s">
        <v>511</v>
      </c>
    </row>
    <row r="10" spans="1:13">
      <c r="A10" s="757" t="s">
        <v>862</v>
      </c>
      <c r="B10" s="756" t="s">
        <v>536</v>
      </c>
      <c r="C10" s="756">
        <v>8</v>
      </c>
      <c r="D10" s="756">
        <v>2</v>
      </c>
      <c r="E10" s="756">
        <v>12</v>
      </c>
      <c r="F10" s="756">
        <v>11</v>
      </c>
      <c r="G10" s="756" t="s">
        <v>3159</v>
      </c>
      <c r="H10" s="756"/>
      <c r="I10" s="717" t="s">
        <v>3160</v>
      </c>
      <c r="J10" s="719" t="s">
        <v>3163</v>
      </c>
      <c r="K10" s="756"/>
      <c r="L10" s="756">
        <v>1298</v>
      </c>
      <c r="M10" s="756"/>
    </row>
    <row r="11" spans="1:13">
      <c r="A11" s="757"/>
      <c r="B11" s="756"/>
      <c r="C11" s="756"/>
      <c r="D11" s="756"/>
      <c r="E11" s="756"/>
      <c r="F11" s="756"/>
      <c r="G11" s="756"/>
      <c r="H11" s="756"/>
      <c r="I11" s="717" t="s">
        <v>3161</v>
      </c>
      <c r="J11" s="719" t="s">
        <v>3164</v>
      </c>
      <c r="K11" s="756"/>
      <c r="L11" s="756"/>
      <c r="M11" s="756"/>
    </row>
    <row r="12" spans="1:13">
      <c r="A12" s="757"/>
      <c r="B12" s="756"/>
      <c r="C12" s="756"/>
      <c r="D12" s="756"/>
      <c r="E12" s="756"/>
      <c r="F12" s="756"/>
      <c r="G12" s="756"/>
      <c r="H12" s="756"/>
      <c r="I12" s="717" t="s">
        <v>3162</v>
      </c>
      <c r="J12" s="719" t="s">
        <v>3165</v>
      </c>
      <c r="K12" s="756"/>
      <c r="L12" s="756"/>
      <c r="M12" s="756"/>
    </row>
    <row r="13" spans="1:13">
      <c r="A13" s="757" t="s">
        <v>1609</v>
      </c>
      <c r="B13" s="756" t="s">
        <v>528</v>
      </c>
      <c r="C13" s="756">
        <v>9</v>
      </c>
      <c r="D13" s="756">
        <v>13</v>
      </c>
      <c r="E13" s="756">
        <v>26</v>
      </c>
      <c r="F13" s="756">
        <v>14</v>
      </c>
      <c r="G13" s="756" t="s">
        <v>3159</v>
      </c>
      <c r="H13" s="756" t="s">
        <v>526</v>
      </c>
      <c r="I13" s="717" t="s">
        <v>3160</v>
      </c>
      <c r="J13" s="717" t="s">
        <v>3166</v>
      </c>
      <c r="K13" s="756" t="s">
        <v>3168</v>
      </c>
      <c r="L13" s="756"/>
      <c r="M13" s="756" t="s">
        <v>3153</v>
      </c>
    </row>
    <row r="14" spans="1:13">
      <c r="A14" s="757"/>
      <c r="B14" s="756"/>
      <c r="C14" s="756"/>
      <c r="D14" s="756"/>
      <c r="E14" s="756"/>
      <c r="F14" s="756"/>
      <c r="G14" s="756"/>
      <c r="H14" s="756"/>
      <c r="I14" s="717" t="s">
        <v>3161</v>
      </c>
      <c r="J14" s="717" t="s">
        <v>3167</v>
      </c>
      <c r="K14" s="756"/>
      <c r="L14" s="756"/>
      <c r="M14" s="756"/>
    </row>
    <row r="15" spans="1:13">
      <c r="A15" s="757"/>
      <c r="B15" s="756"/>
      <c r="C15" s="756"/>
      <c r="D15" s="756"/>
      <c r="E15" s="756"/>
      <c r="F15" s="756"/>
      <c r="G15" s="756"/>
      <c r="H15" s="756"/>
      <c r="I15" s="717" t="s">
        <v>3162</v>
      </c>
      <c r="J15" s="717"/>
      <c r="K15" s="756"/>
      <c r="L15" s="756"/>
      <c r="M15" s="756"/>
    </row>
    <row r="16" spans="1:13" ht="65.5" customHeight="1">
      <c r="A16" s="756" t="s">
        <v>3169</v>
      </c>
      <c r="B16" s="756" t="s">
        <v>540</v>
      </c>
      <c r="C16" s="756">
        <v>10</v>
      </c>
      <c r="D16" s="756">
        <v>27</v>
      </c>
      <c r="E16" s="756">
        <v>56</v>
      </c>
      <c r="F16" s="756">
        <v>30</v>
      </c>
      <c r="G16" s="756" t="s">
        <v>3061</v>
      </c>
      <c r="H16" s="756"/>
      <c r="I16" s="756" t="s">
        <v>3170</v>
      </c>
      <c r="J16" s="719" t="s">
        <v>3171</v>
      </c>
      <c r="K16" s="756"/>
      <c r="L16" s="756">
        <v>1297</v>
      </c>
      <c r="M16" s="756"/>
    </row>
    <row r="17" spans="1:13" ht="63" customHeight="1">
      <c r="A17" s="756"/>
      <c r="B17" s="756"/>
      <c r="C17" s="756"/>
      <c r="D17" s="756"/>
      <c r="E17" s="756"/>
      <c r="F17" s="756"/>
      <c r="G17" s="756"/>
      <c r="H17" s="756"/>
      <c r="I17" s="756"/>
      <c r="J17" s="719" t="s">
        <v>3172</v>
      </c>
      <c r="K17" s="756"/>
      <c r="L17" s="756"/>
      <c r="M17" s="756"/>
    </row>
    <row r="18" spans="1:13">
      <c r="A18" s="756"/>
      <c r="B18" s="756"/>
      <c r="C18" s="756"/>
      <c r="D18" s="756"/>
      <c r="E18" s="756"/>
      <c r="F18" s="756"/>
      <c r="G18" s="756"/>
      <c r="H18" s="756"/>
      <c r="I18" s="756"/>
      <c r="J18" s="719" t="s">
        <v>3173</v>
      </c>
      <c r="K18" s="756"/>
      <c r="L18" s="756"/>
      <c r="M18" s="756"/>
    </row>
    <row r="19" spans="1:13" ht="55.5" customHeight="1">
      <c r="A19" s="756"/>
      <c r="B19" s="756"/>
      <c r="C19" s="756"/>
      <c r="D19" s="756"/>
      <c r="E19" s="756"/>
      <c r="F19" s="756"/>
      <c r="G19" s="756"/>
      <c r="H19" s="756"/>
      <c r="I19" s="756"/>
      <c r="J19" s="719" t="s">
        <v>3174</v>
      </c>
      <c r="K19" s="756"/>
      <c r="L19" s="756"/>
      <c r="M19" s="756"/>
    </row>
    <row r="20" spans="1:13">
      <c r="A20" s="756" t="s">
        <v>3175</v>
      </c>
      <c r="B20" s="756" t="s">
        <v>558</v>
      </c>
      <c r="C20" s="756">
        <v>11</v>
      </c>
      <c r="D20" s="756">
        <v>57</v>
      </c>
      <c r="E20" s="756">
        <v>57</v>
      </c>
      <c r="F20" s="756">
        <v>1</v>
      </c>
      <c r="G20" s="756" t="s">
        <v>3176</v>
      </c>
      <c r="H20" s="756"/>
      <c r="I20" s="756"/>
      <c r="J20" s="719" t="s">
        <v>3177</v>
      </c>
      <c r="K20" s="756"/>
      <c r="L20" s="756">
        <v>3068</v>
      </c>
      <c r="M20" s="756"/>
    </row>
    <row r="21" spans="1:13">
      <c r="A21" s="756"/>
      <c r="B21" s="756"/>
      <c r="C21" s="756"/>
      <c r="D21" s="756"/>
      <c r="E21" s="756"/>
      <c r="F21" s="756"/>
      <c r="G21" s="756"/>
      <c r="H21" s="756"/>
      <c r="I21" s="756"/>
      <c r="J21" s="719" t="s">
        <v>3178</v>
      </c>
      <c r="K21" s="756"/>
      <c r="L21" s="756"/>
      <c r="M21" s="756"/>
    </row>
    <row r="22" spans="1:13">
      <c r="A22" s="756"/>
      <c r="B22" s="756"/>
      <c r="C22" s="756"/>
      <c r="D22" s="756"/>
      <c r="E22" s="756"/>
      <c r="F22" s="756"/>
      <c r="G22" s="756"/>
      <c r="H22" s="756"/>
      <c r="I22" s="756"/>
      <c r="J22" s="719" t="s">
        <v>3179</v>
      </c>
      <c r="K22" s="756"/>
      <c r="L22" s="756"/>
      <c r="M22" s="756"/>
    </row>
    <row r="23" spans="1:13">
      <c r="A23" s="756"/>
      <c r="B23" s="756"/>
      <c r="C23" s="756"/>
      <c r="D23" s="756"/>
      <c r="E23" s="756"/>
      <c r="F23" s="756"/>
      <c r="G23" s="756"/>
      <c r="H23" s="756"/>
      <c r="I23" s="756"/>
      <c r="J23" s="719" t="s">
        <v>3180</v>
      </c>
      <c r="K23" s="756"/>
      <c r="L23" s="756"/>
      <c r="M23" s="756"/>
    </row>
    <row r="24" spans="1:13">
      <c r="A24" s="756"/>
      <c r="B24" s="756"/>
      <c r="C24" s="756"/>
      <c r="D24" s="756"/>
      <c r="E24" s="756"/>
      <c r="F24" s="756"/>
      <c r="G24" s="756"/>
      <c r="H24" s="756"/>
      <c r="I24" s="756"/>
      <c r="J24" s="719" t="s">
        <v>3181</v>
      </c>
      <c r="K24" s="756"/>
      <c r="L24" s="756"/>
      <c r="M24" s="756"/>
    </row>
    <row r="25" spans="1:13">
      <c r="A25" s="756"/>
      <c r="B25" s="756"/>
      <c r="C25" s="756"/>
      <c r="D25" s="756"/>
      <c r="E25" s="756"/>
      <c r="F25" s="756"/>
      <c r="G25" s="756"/>
      <c r="H25" s="756"/>
      <c r="I25" s="756"/>
      <c r="J25" s="719" t="s">
        <v>3182</v>
      </c>
      <c r="K25" s="756"/>
      <c r="L25" s="756"/>
      <c r="M25" s="756"/>
    </row>
    <row r="26" spans="1:13" ht="26">
      <c r="A26" s="718" t="s">
        <v>3183</v>
      </c>
      <c r="B26" s="718" t="s">
        <v>14</v>
      </c>
      <c r="C26" s="717"/>
      <c r="D26" s="718">
        <v>1</v>
      </c>
      <c r="E26" s="718" t="e">
        <v>#REF!</v>
      </c>
      <c r="F26" s="718">
        <v>10</v>
      </c>
      <c r="G26" s="717"/>
      <c r="H26" s="717"/>
      <c r="I26" s="717"/>
      <c r="J26" s="717"/>
      <c r="K26" s="717"/>
      <c r="L26" s="717"/>
      <c r="M26" s="717" t="s">
        <v>3153</v>
      </c>
    </row>
    <row r="27" spans="1:13" ht="25.5">
      <c r="A27" s="718" t="s">
        <v>17</v>
      </c>
      <c r="B27" s="717" t="s">
        <v>18</v>
      </c>
      <c r="C27" s="717">
        <v>13</v>
      </c>
      <c r="D27" s="717">
        <v>1</v>
      </c>
      <c r="E27" s="717">
        <v>1</v>
      </c>
      <c r="F27" s="717">
        <v>1</v>
      </c>
      <c r="G27" s="717" t="s">
        <v>3184</v>
      </c>
      <c r="H27" s="717"/>
      <c r="I27" s="717"/>
      <c r="J27" s="717"/>
      <c r="K27" s="717"/>
      <c r="L27" s="717"/>
      <c r="M27" s="717" t="s">
        <v>3153</v>
      </c>
    </row>
    <row r="28" spans="1:13" ht="37.5">
      <c r="A28" s="717" t="s">
        <v>3185</v>
      </c>
      <c r="B28" s="717" t="s">
        <v>207</v>
      </c>
      <c r="C28" s="717">
        <v>14</v>
      </c>
      <c r="D28" s="717">
        <v>2</v>
      </c>
      <c r="E28" s="717">
        <v>10</v>
      </c>
      <c r="F28" s="717">
        <v>9</v>
      </c>
      <c r="G28" s="717" t="s">
        <v>3186</v>
      </c>
      <c r="H28" s="717"/>
      <c r="I28" s="717"/>
      <c r="J28" s="717"/>
      <c r="K28" s="717"/>
      <c r="L28" s="717"/>
      <c r="M28" s="717" t="s">
        <v>3153</v>
      </c>
    </row>
  </sheetData>
  <mergeCells count="46">
    <mergeCell ref="F10:F12"/>
    <mergeCell ref="A10:A12"/>
    <mergeCell ref="B10:B12"/>
    <mergeCell ref="C10:C12"/>
    <mergeCell ref="D10:D12"/>
    <mergeCell ref="E10:E12"/>
    <mergeCell ref="A13:A15"/>
    <mergeCell ref="B13:B15"/>
    <mergeCell ref="C13:C15"/>
    <mergeCell ref="D13:D15"/>
    <mergeCell ref="E13:E15"/>
    <mergeCell ref="M13:M15"/>
    <mergeCell ref="G10:G12"/>
    <mergeCell ref="H10:H12"/>
    <mergeCell ref="K10:K12"/>
    <mergeCell ref="L10:L12"/>
    <mergeCell ref="M10:M12"/>
    <mergeCell ref="F13:F15"/>
    <mergeCell ref="G13:G15"/>
    <mergeCell ref="H13:H15"/>
    <mergeCell ref="K13:K15"/>
    <mergeCell ref="L13:L15"/>
    <mergeCell ref="M16:M19"/>
    <mergeCell ref="A16:A19"/>
    <mergeCell ref="B16:B19"/>
    <mergeCell ref="C16:C19"/>
    <mergeCell ref="D16:D19"/>
    <mergeCell ref="E16:E19"/>
    <mergeCell ref="F16:F19"/>
    <mergeCell ref="G16:G19"/>
    <mergeCell ref="H16:H19"/>
    <mergeCell ref="I16:I19"/>
    <mergeCell ref="K16:K19"/>
    <mergeCell ref="L16:L19"/>
    <mergeCell ref="M20:M25"/>
    <mergeCell ref="A20:A25"/>
    <mergeCell ref="B20:B25"/>
    <mergeCell ref="C20:C25"/>
    <mergeCell ref="D20:D25"/>
    <mergeCell ref="E20:E25"/>
    <mergeCell ref="F20:F25"/>
    <mergeCell ref="G20:G25"/>
    <mergeCell ref="H20:H25"/>
    <mergeCell ref="I20:I25"/>
    <mergeCell ref="K20:K25"/>
    <mergeCell ref="L20:L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EF23-A559-4A9F-8A0B-72CDFDC284BA}">
  <dimension ref="A1:N95"/>
  <sheetViews>
    <sheetView workbookViewId="0">
      <selection activeCell="A11" sqref="A11"/>
    </sheetView>
  </sheetViews>
  <sheetFormatPr defaultRowHeight="10"/>
  <cols>
    <col min="1" max="1" width="32.26953125" style="43" customWidth="1"/>
    <col min="2" max="2" width="18.7265625" style="44" bestFit="1" customWidth="1"/>
    <col min="3" max="3" width="8.1796875" style="44" bestFit="1" customWidth="1"/>
    <col min="4" max="5" width="8.26953125" style="44" bestFit="1" customWidth="1"/>
    <col min="6" max="6" width="7.26953125" style="44" bestFit="1" customWidth="1"/>
    <col min="7" max="7" width="23.26953125" style="45" customWidth="1"/>
    <col min="8" max="8" width="17.1796875" style="46" bestFit="1" customWidth="1"/>
    <col min="9" max="9" width="23.26953125" style="46" customWidth="1"/>
    <col min="10" max="10" width="28.7265625" style="44" bestFit="1" customWidth="1"/>
    <col min="11" max="11" width="8.7265625" style="44"/>
    <col min="12" max="12" width="17.54296875" style="44" bestFit="1" customWidth="1"/>
    <col min="13" max="13" width="13.26953125" style="11" customWidth="1"/>
    <col min="14" max="256" width="8.7265625" style="11"/>
    <col min="257" max="257" width="32.26953125" style="11" customWidth="1"/>
    <col min="258" max="258" width="18.7265625" style="11" bestFit="1" customWidth="1"/>
    <col min="259" max="259" width="8.1796875" style="11" bestFit="1" customWidth="1"/>
    <col min="260" max="261" width="8.26953125" style="11" bestFit="1" customWidth="1"/>
    <col min="262" max="262" width="7.26953125" style="11" bestFit="1" customWidth="1"/>
    <col min="263" max="263" width="23.26953125" style="11" customWidth="1"/>
    <col min="264" max="264" width="17.1796875" style="11" bestFit="1" customWidth="1"/>
    <col min="265" max="265" width="23.26953125" style="11" customWidth="1"/>
    <col min="266" max="266" width="28.7265625" style="11" bestFit="1" customWidth="1"/>
    <col min="267" max="267" width="8.7265625" style="11"/>
    <col min="268" max="268" width="17.54296875" style="11" bestFit="1" customWidth="1"/>
    <col min="269" max="269" width="13.26953125" style="11" customWidth="1"/>
    <col min="270" max="512" width="8.7265625" style="11"/>
    <col min="513" max="513" width="32.26953125" style="11" customWidth="1"/>
    <col min="514" max="514" width="18.7265625" style="11" bestFit="1" customWidth="1"/>
    <col min="515" max="515" width="8.1796875" style="11" bestFit="1" customWidth="1"/>
    <col min="516" max="517" width="8.26953125" style="11" bestFit="1" customWidth="1"/>
    <col min="518" max="518" width="7.26953125" style="11" bestFit="1" customWidth="1"/>
    <col min="519" max="519" width="23.26953125" style="11" customWidth="1"/>
    <col min="520" max="520" width="17.1796875" style="11" bestFit="1" customWidth="1"/>
    <col min="521" max="521" width="23.26953125" style="11" customWidth="1"/>
    <col min="522" max="522" width="28.7265625" style="11" bestFit="1" customWidth="1"/>
    <col min="523" max="523" width="8.7265625" style="11"/>
    <col min="524" max="524" width="17.54296875" style="11" bestFit="1" customWidth="1"/>
    <col min="525" max="525" width="13.26953125" style="11" customWidth="1"/>
    <col min="526" max="768" width="8.7265625" style="11"/>
    <col min="769" max="769" width="32.26953125" style="11" customWidth="1"/>
    <col min="770" max="770" width="18.7265625" style="11" bestFit="1" customWidth="1"/>
    <col min="771" max="771" width="8.1796875" style="11" bestFit="1" customWidth="1"/>
    <col min="772" max="773" width="8.26953125" style="11" bestFit="1" customWidth="1"/>
    <col min="774" max="774" width="7.26953125" style="11" bestFit="1" customWidth="1"/>
    <col min="775" max="775" width="23.26953125" style="11" customWidth="1"/>
    <col min="776" max="776" width="17.1796875" style="11" bestFit="1" customWidth="1"/>
    <col min="777" max="777" width="23.26953125" style="11" customWidth="1"/>
    <col min="778" max="778" width="28.7265625" style="11" bestFit="1" customWidth="1"/>
    <col min="779" max="779" width="8.7265625" style="11"/>
    <col min="780" max="780" width="17.54296875" style="11" bestFit="1" customWidth="1"/>
    <col min="781" max="781" width="13.26953125" style="11" customWidth="1"/>
    <col min="782" max="1024" width="8.7265625" style="11"/>
    <col min="1025" max="1025" width="32.26953125" style="11" customWidth="1"/>
    <col min="1026" max="1026" width="18.7265625" style="11" bestFit="1" customWidth="1"/>
    <col min="1027" max="1027" width="8.1796875" style="11" bestFit="1" customWidth="1"/>
    <col min="1028" max="1029" width="8.26953125" style="11" bestFit="1" customWidth="1"/>
    <col min="1030" max="1030" width="7.26953125" style="11" bestFit="1" customWidth="1"/>
    <col min="1031" max="1031" width="23.26953125" style="11" customWidth="1"/>
    <col min="1032" max="1032" width="17.1796875" style="11" bestFit="1" customWidth="1"/>
    <col min="1033" max="1033" width="23.26953125" style="11" customWidth="1"/>
    <col min="1034" max="1034" width="28.7265625" style="11" bestFit="1" customWidth="1"/>
    <col min="1035" max="1035" width="8.7265625" style="11"/>
    <col min="1036" max="1036" width="17.54296875" style="11" bestFit="1" customWidth="1"/>
    <col min="1037" max="1037" width="13.26953125" style="11" customWidth="1"/>
    <col min="1038" max="1280" width="8.7265625" style="11"/>
    <col min="1281" max="1281" width="32.26953125" style="11" customWidth="1"/>
    <col min="1282" max="1282" width="18.7265625" style="11" bestFit="1" customWidth="1"/>
    <col min="1283" max="1283" width="8.1796875" style="11" bestFit="1" customWidth="1"/>
    <col min="1284" max="1285" width="8.26953125" style="11" bestFit="1" customWidth="1"/>
    <col min="1286" max="1286" width="7.26953125" style="11" bestFit="1" customWidth="1"/>
    <col min="1287" max="1287" width="23.26953125" style="11" customWidth="1"/>
    <col min="1288" max="1288" width="17.1796875" style="11" bestFit="1" customWidth="1"/>
    <col min="1289" max="1289" width="23.26953125" style="11" customWidth="1"/>
    <col min="1290" max="1290" width="28.7265625" style="11" bestFit="1" customWidth="1"/>
    <col min="1291" max="1291" width="8.7265625" style="11"/>
    <col min="1292" max="1292" width="17.54296875" style="11" bestFit="1" customWidth="1"/>
    <col min="1293" max="1293" width="13.26953125" style="11" customWidth="1"/>
    <col min="1294" max="1536" width="8.7265625" style="11"/>
    <col min="1537" max="1537" width="32.26953125" style="11" customWidth="1"/>
    <col min="1538" max="1538" width="18.7265625" style="11" bestFit="1" customWidth="1"/>
    <col min="1539" max="1539" width="8.1796875" style="11" bestFit="1" customWidth="1"/>
    <col min="1540" max="1541" width="8.26953125" style="11" bestFit="1" customWidth="1"/>
    <col min="1542" max="1542" width="7.26953125" style="11" bestFit="1" customWidth="1"/>
    <col min="1543" max="1543" width="23.26953125" style="11" customWidth="1"/>
    <col min="1544" max="1544" width="17.1796875" style="11" bestFit="1" customWidth="1"/>
    <col min="1545" max="1545" width="23.26953125" style="11" customWidth="1"/>
    <col min="1546" max="1546" width="28.7265625" style="11" bestFit="1" customWidth="1"/>
    <col min="1547" max="1547" width="8.7265625" style="11"/>
    <col min="1548" max="1548" width="17.54296875" style="11" bestFit="1" customWidth="1"/>
    <col min="1549" max="1549" width="13.26953125" style="11" customWidth="1"/>
    <col min="1550" max="1792" width="8.7265625" style="11"/>
    <col min="1793" max="1793" width="32.26953125" style="11" customWidth="1"/>
    <col min="1794" max="1794" width="18.7265625" style="11" bestFit="1" customWidth="1"/>
    <col min="1795" max="1795" width="8.1796875" style="11" bestFit="1" customWidth="1"/>
    <col min="1796" max="1797" width="8.26953125" style="11" bestFit="1" customWidth="1"/>
    <col min="1798" max="1798" width="7.26953125" style="11" bestFit="1" customWidth="1"/>
    <col min="1799" max="1799" width="23.26953125" style="11" customWidth="1"/>
    <col min="1800" max="1800" width="17.1796875" style="11" bestFit="1" customWidth="1"/>
    <col min="1801" max="1801" width="23.26953125" style="11" customWidth="1"/>
    <col min="1802" max="1802" width="28.7265625" style="11" bestFit="1" customWidth="1"/>
    <col min="1803" max="1803" width="8.7265625" style="11"/>
    <col min="1804" max="1804" width="17.54296875" style="11" bestFit="1" customWidth="1"/>
    <col min="1805" max="1805" width="13.26953125" style="11" customWidth="1"/>
    <col min="1806" max="2048" width="8.7265625" style="11"/>
    <col min="2049" max="2049" width="32.26953125" style="11" customWidth="1"/>
    <col min="2050" max="2050" width="18.7265625" style="11" bestFit="1" customWidth="1"/>
    <col min="2051" max="2051" width="8.1796875" style="11" bestFit="1" customWidth="1"/>
    <col min="2052" max="2053" width="8.26953125" style="11" bestFit="1" customWidth="1"/>
    <col min="2054" max="2054" width="7.26953125" style="11" bestFit="1" customWidth="1"/>
    <col min="2055" max="2055" width="23.26953125" style="11" customWidth="1"/>
    <col min="2056" max="2056" width="17.1796875" style="11" bestFit="1" customWidth="1"/>
    <col min="2057" max="2057" width="23.26953125" style="11" customWidth="1"/>
    <col min="2058" max="2058" width="28.7265625" style="11" bestFit="1" customWidth="1"/>
    <col min="2059" max="2059" width="8.7265625" style="11"/>
    <col min="2060" max="2060" width="17.54296875" style="11" bestFit="1" customWidth="1"/>
    <col min="2061" max="2061" width="13.26953125" style="11" customWidth="1"/>
    <col min="2062" max="2304" width="8.7265625" style="11"/>
    <col min="2305" max="2305" width="32.26953125" style="11" customWidth="1"/>
    <col min="2306" max="2306" width="18.7265625" style="11" bestFit="1" customWidth="1"/>
    <col min="2307" max="2307" width="8.1796875" style="11" bestFit="1" customWidth="1"/>
    <col min="2308" max="2309" width="8.26953125" style="11" bestFit="1" customWidth="1"/>
    <col min="2310" max="2310" width="7.26953125" style="11" bestFit="1" customWidth="1"/>
    <col min="2311" max="2311" width="23.26953125" style="11" customWidth="1"/>
    <col min="2312" max="2312" width="17.1796875" style="11" bestFit="1" customWidth="1"/>
    <col min="2313" max="2313" width="23.26953125" style="11" customWidth="1"/>
    <col min="2314" max="2314" width="28.7265625" style="11" bestFit="1" customWidth="1"/>
    <col min="2315" max="2315" width="8.7265625" style="11"/>
    <col min="2316" max="2316" width="17.54296875" style="11" bestFit="1" customWidth="1"/>
    <col min="2317" max="2317" width="13.26953125" style="11" customWidth="1"/>
    <col min="2318" max="2560" width="8.7265625" style="11"/>
    <col min="2561" max="2561" width="32.26953125" style="11" customWidth="1"/>
    <col min="2562" max="2562" width="18.7265625" style="11" bestFit="1" customWidth="1"/>
    <col min="2563" max="2563" width="8.1796875" style="11" bestFit="1" customWidth="1"/>
    <col min="2564" max="2565" width="8.26953125" style="11" bestFit="1" customWidth="1"/>
    <col min="2566" max="2566" width="7.26953125" style="11" bestFit="1" customWidth="1"/>
    <col min="2567" max="2567" width="23.26953125" style="11" customWidth="1"/>
    <col min="2568" max="2568" width="17.1796875" style="11" bestFit="1" customWidth="1"/>
    <col min="2569" max="2569" width="23.26953125" style="11" customWidth="1"/>
    <col min="2570" max="2570" width="28.7265625" style="11" bestFit="1" customWidth="1"/>
    <col min="2571" max="2571" width="8.7265625" style="11"/>
    <col min="2572" max="2572" width="17.54296875" style="11" bestFit="1" customWidth="1"/>
    <col min="2573" max="2573" width="13.26953125" style="11" customWidth="1"/>
    <col min="2574" max="2816" width="8.7265625" style="11"/>
    <col min="2817" max="2817" width="32.26953125" style="11" customWidth="1"/>
    <col min="2818" max="2818" width="18.7265625" style="11" bestFit="1" customWidth="1"/>
    <col min="2819" max="2819" width="8.1796875" style="11" bestFit="1" customWidth="1"/>
    <col min="2820" max="2821" width="8.26953125" style="11" bestFit="1" customWidth="1"/>
    <col min="2822" max="2822" width="7.26953125" style="11" bestFit="1" customWidth="1"/>
    <col min="2823" max="2823" width="23.26953125" style="11" customWidth="1"/>
    <col min="2824" max="2824" width="17.1796875" style="11" bestFit="1" customWidth="1"/>
    <col min="2825" max="2825" width="23.26953125" style="11" customWidth="1"/>
    <col min="2826" max="2826" width="28.7265625" style="11" bestFit="1" customWidth="1"/>
    <col min="2827" max="2827" width="8.7265625" style="11"/>
    <col min="2828" max="2828" width="17.54296875" style="11" bestFit="1" customWidth="1"/>
    <col min="2829" max="2829" width="13.26953125" style="11" customWidth="1"/>
    <col min="2830" max="3072" width="8.7265625" style="11"/>
    <col min="3073" max="3073" width="32.26953125" style="11" customWidth="1"/>
    <col min="3074" max="3074" width="18.7265625" style="11" bestFit="1" customWidth="1"/>
    <col min="3075" max="3075" width="8.1796875" style="11" bestFit="1" customWidth="1"/>
    <col min="3076" max="3077" width="8.26953125" style="11" bestFit="1" customWidth="1"/>
    <col min="3078" max="3078" width="7.26953125" style="11" bestFit="1" customWidth="1"/>
    <col min="3079" max="3079" width="23.26953125" style="11" customWidth="1"/>
    <col min="3080" max="3080" width="17.1796875" style="11" bestFit="1" customWidth="1"/>
    <col min="3081" max="3081" width="23.26953125" style="11" customWidth="1"/>
    <col min="3082" max="3082" width="28.7265625" style="11" bestFit="1" customWidth="1"/>
    <col min="3083" max="3083" width="8.7265625" style="11"/>
    <col min="3084" max="3084" width="17.54296875" style="11" bestFit="1" customWidth="1"/>
    <col min="3085" max="3085" width="13.26953125" style="11" customWidth="1"/>
    <col min="3086" max="3328" width="8.7265625" style="11"/>
    <col min="3329" max="3329" width="32.26953125" style="11" customWidth="1"/>
    <col min="3330" max="3330" width="18.7265625" style="11" bestFit="1" customWidth="1"/>
    <col min="3331" max="3331" width="8.1796875" style="11" bestFit="1" customWidth="1"/>
    <col min="3332" max="3333" width="8.26953125" style="11" bestFit="1" customWidth="1"/>
    <col min="3334" max="3334" width="7.26953125" style="11" bestFit="1" customWidth="1"/>
    <col min="3335" max="3335" width="23.26953125" style="11" customWidth="1"/>
    <col min="3336" max="3336" width="17.1796875" style="11" bestFit="1" customWidth="1"/>
    <col min="3337" max="3337" width="23.26953125" style="11" customWidth="1"/>
    <col min="3338" max="3338" width="28.7265625" style="11" bestFit="1" customWidth="1"/>
    <col min="3339" max="3339" width="8.7265625" style="11"/>
    <col min="3340" max="3340" width="17.54296875" style="11" bestFit="1" customWidth="1"/>
    <col min="3341" max="3341" width="13.26953125" style="11" customWidth="1"/>
    <col min="3342" max="3584" width="8.7265625" style="11"/>
    <col min="3585" max="3585" width="32.26953125" style="11" customWidth="1"/>
    <col min="3586" max="3586" width="18.7265625" style="11" bestFit="1" customWidth="1"/>
    <col min="3587" max="3587" width="8.1796875" style="11" bestFit="1" customWidth="1"/>
    <col min="3588" max="3589" width="8.26953125" style="11" bestFit="1" customWidth="1"/>
    <col min="3590" max="3590" width="7.26953125" style="11" bestFit="1" customWidth="1"/>
    <col min="3591" max="3591" width="23.26953125" style="11" customWidth="1"/>
    <col min="3592" max="3592" width="17.1796875" style="11" bestFit="1" customWidth="1"/>
    <col min="3593" max="3593" width="23.26953125" style="11" customWidth="1"/>
    <col min="3594" max="3594" width="28.7265625" style="11" bestFit="1" customWidth="1"/>
    <col min="3595" max="3595" width="8.7265625" style="11"/>
    <col min="3596" max="3596" width="17.54296875" style="11" bestFit="1" customWidth="1"/>
    <col min="3597" max="3597" width="13.26953125" style="11" customWidth="1"/>
    <col min="3598" max="3840" width="8.7265625" style="11"/>
    <col min="3841" max="3841" width="32.26953125" style="11" customWidth="1"/>
    <col min="3842" max="3842" width="18.7265625" style="11" bestFit="1" customWidth="1"/>
    <col min="3843" max="3843" width="8.1796875" style="11" bestFit="1" customWidth="1"/>
    <col min="3844" max="3845" width="8.26953125" style="11" bestFit="1" customWidth="1"/>
    <col min="3846" max="3846" width="7.26953125" style="11" bestFit="1" customWidth="1"/>
    <col min="3847" max="3847" width="23.26953125" style="11" customWidth="1"/>
    <col min="3848" max="3848" width="17.1796875" style="11" bestFit="1" customWidth="1"/>
    <col min="3849" max="3849" width="23.26953125" style="11" customWidth="1"/>
    <col min="3850" max="3850" width="28.7265625" style="11" bestFit="1" customWidth="1"/>
    <col min="3851" max="3851" width="8.7265625" style="11"/>
    <col min="3852" max="3852" width="17.54296875" style="11" bestFit="1" customWidth="1"/>
    <col min="3853" max="3853" width="13.26953125" style="11" customWidth="1"/>
    <col min="3854" max="4096" width="8.7265625" style="11"/>
    <col min="4097" max="4097" width="32.26953125" style="11" customWidth="1"/>
    <col min="4098" max="4098" width="18.7265625" style="11" bestFit="1" customWidth="1"/>
    <col min="4099" max="4099" width="8.1796875" style="11" bestFit="1" customWidth="1"/>
    <col min="4100" max="4101" width="8.26953125" style="11" bestFit="1" customWidth="1"/>
    <col min="4102" max="4102" width="7.26953125" style="11" bestFit="1" customWidth="1"/>
    <col min="4103" max="4103" width="23.26953125" style="11" customWidth="1"/>
    <col min="4104" max="4104" width="17.1796875" style="11" bestFit="1" customWidth="1"/>
    <col min="4105" max="4105" width="23.26953125" style="11" customWidth="1"/>
    <col min="4106" max="4106" width="28.7265625" style="11" bestFit="1" customWidth="1"/>
    <col min="4107" max="4107" width="8.7265625" style="11"/>
    <col min="4108" max="4108" width="17.54296875" style="11" bestFit="1" customWidth="1"/>
    <col min="4109" max="4109" width="13.26953125" style="11" customWidth="1"/>
    <col min="4110" max="4352" width="8.7265625" style="11"/>
    <col min="4353" max="4353" width="32.26953125" style="11" customWidth="1"/>
    <col min="4354" max="4354" width="18.7265625" style="11" bestFit="1" customWidth="1"/>
    <col min="4355" max="4355" width="8.1796875" style="11" bestFit="1" customWidth="1"/>
    <col min="4356" max="4357" width="8.26953125" style="11" bestFit="1" customWidth="1"/>
    <col min="4358" max="4358" width="7.26953125" style="11" bestFit="1" customWidth="1"/>
    <col min="4359" max="4359" width="23.26953125" style="11" customWidth="1"/>
    <col min="4360" max="4360" width="17.1796875" style="11" bestFit="1" customWidth="1"/>
    <col min="4361" max="4361" width="23.26953125" style="11" customWidth="1"/>
    <col min="4362" max="4362" width="28.7265625" style="11" bestFit="1" customWidth="1"/>
    <col min="4363" max="4363" width="8.7265625" style="11"/>
    <col min="4364" max="4364" width="17.54296875" style="11" bestFit="1" customWidth="1"/>
    <col min="4365" max="4365" width="13.26953125" style="11" customWidth="1"/>
    <col min="4366" max="4608" width="8.7265625" style="11"/>
    <col min="4609" max="4609" width="32.26953125" style="11" customWidth="1"/>
    <col min="4610" max="4610" width="18.7265625" style="11" bestFit="1" customWidth="1"/>
    <col min="4611" max="4611" width="8.1796875" style="11" bestFit="1" customWidth="1"/>
    <col min="4612" max="4613" width="8.26953125" style="11" bestFit="1" customWidth="1"/>
    <col min="4614" max="4614" width="7.26953125" style="11" bestFit="1" customWidth="1"/>
    <col min="4615" max="4615" width="23.26953125" style="11" customWidth="1"/>
    <col min="4616" max="4616" width="17.1796875" style="11" bestFit="1" customWidth="1"/>
    <col min="4617" max="4617" width="23.26953125" style="11" customWidth="1"/>
    <col min="4618" max="4618" width="28.7265625" style="11" bestFit="1" customWidth="1"/>
    <col min="4619" max="4619" width="8.7265625" style="11"/>
    <col min="4620" max="4620" width="17.54296875" style="11" bestFit="1" customWidth="1"/>
    <col min="4621" max="4621" width="13.26953125" style="11" customWidth="1"/>
    <col min="4622" max="4864" width="8.7265625" style="11"/>
    <col min="4865" max="4865" width="32.26953125" style="11" customWidth="1"/>
    <col min="4866" max="4866" width="18.7265625" style="11" bestFit="1" customWidth="1"/>
    <col min="4867" max="4867" width="8.1796875" style="11" bestFit="1" customWidth="1"/>
    <col min="4868" max="4869" width="8.26953125" style="11" bestFit="1" customWidth="1"/>
    <col min="4870" max="4870" width="7.26953125" style="11" bestFit="1" customWidth="1"/>
    <col min="4871" max="4871" width="23.26953125" style="11" customWidth="1"/>
    <col min="4872" max="4872" width="17.1796875" style="11" bestFit="1" customWidth="1"/>
    <col min="4873" max="4873" width="23.26953125" style="11" customWidth="1"/>
    <col min="4874" max="4874" width="28.7265625" style="11" bestFit="1" customWidth="1"/>
    <col min="4875" max="4875" width="8.7265625" style="11"/>
    <col min="4876" max="4876" width="17.54296875" style="11" bestFit="1" customWidth="1"/>
    <col min="4877" max="4877" width="13.26953125" style="11" customWidth="1"/>
    <col min="4878" max="5120" width="8.7265625" style="11"/>
    <col min="5121" max="5121" width="32.26953125" style="11" customWidth="1"/>
    <col min="5122" max="5122" width="18.7265625" style="11" bestFit="1" customWidth="1"/>
    <col min="5123" max="5123" width="8.1796875" style="11" bestFit="1" customWidth="1"/>
    <col min="5124" max="5125" width="8.26953125" style="11" bestFit="1" customWidth="1"/>
    <col min="5126" max="5126" width="7.26953125" style="11" bestFit="1" customWidth="1"/>
    <col min="5127" max="5127" width="23.26953125" style="11" customWidth="1"/>
    <col min="5128" max="5128" width="17.1796875" style="11" bestFit="1" customWidth="1"/>
    <col min="5129" max="5129" width="23.26953125" style="11" customWidth="1"/>
    <col min="5130" max="5130" width="28.7265625" style="11" bestFit="1" customWidth="1"/>
    <col min="5131" max="5131" width="8.7265625" style="11"/>
    <col min="5132" max="5132" width="17.54296875" style="11" bestFit="1" customWidth="1"/>
    <col min="5133" max="5133" width="13.26953125" style="11" customWidth="1"/>
    <col min="5134" max="5376" width="8.7265625" style="11"/>
    <col min="5377" max="5377" width="32.26953125" style="11" customWidth="1"/>
    <col min="5378" max="5378" width="18.7265625" style="11" bestFit="1" customWidth="1"/>
    <col min="5379" max="5379" width="8.1796875" style="11" bestFit="1" customWidth="1"/>
    <col min="5380" max="5381" width="8.26953125" style="11" bestFit="1" customWidth="1"/>
    <col min="5382" max="5382" width="7.26953125" style="11" bestFit="1" customWidth="1"/>
    <col min="5383" max="5383" width="23.26953125" style="11" customWidth="1"/>
    <col min="5384" max="5384" width="17.1796875" style="11" bestFit="1" customWidth="1"/>
    <col min="5385" max="5385" width="23.26953125" style="11" customWidth="1"/>
    <col min="5386" max="5386" width="28.7265625" style="11" bestFit="1" customWidth="1"/>
    <col min="5387" max="5387" width="8.7265625" style="11"/>
    <col min="5388" max="5388" width="17.54296875" style="11" bestFit="1" customWidth="1"/>
    <col min="5389" max="5389" width="13.26953125" style="11" customWidth="1"/>
    <col min="5390" max="5632" width="8.7265625" style="11"/>
    <col min="5633" max="5633" width="32.26953125" style="11" customWidth="1"/>
    <col min="5634" max="5634" width="18.7265625" style="11" bestFit="1" customWidth="1"/>
    <col min="5635" max="5635" width="8.1796875" style="11" bestFit="1" customWidth="1"/>
    <col min="5636" max="5637" width="8.26953125" style="11" bestFit="1" customWidth="1"/>
    <col min="5638" max="5638" width="7.26953125" style="11" bestFit="1" customWidth="1"/>
    <col min="5639" max="5639" width="23.26953125" style="11" customWidth="1"/>
    <col min="5640" max="5640" width="17.1796875" style="11" bestFit="1" customWidth="1"/>
    <col min="5641" max="5641" width="23.26953125" style="11" customWidth="1"/>
    <col min="5642" max="5642" width="28.7265625" style="11" bestFit="1" customWidth="1"/>
    <col min="5643" max="5643" width="8.7265625" style="11"/>
    <col min="5644" max="5644" width="17.54296875" style="11" bestFit="1" customWidth="1"/>
    <col min="5645" max="5645" width="13.26953125" style="11" customWidth="1"/>
    <col min="5646" max="5888" width="8.7265625" style="11"/>
    <col min="5889" max="5889" width="32.26953125" style="11" customWidth="1"/>
    <col min="5890" max="5890" width="18.7265625" style="11" bestFit="1" customWidth="1"/>
    <col min="5891" max="5891" width="8.1796875" style="11" bestFit="1" customWidth="1"/>
    <col min="5892" max="5893" width="8.26953125" style="11" bestFit="1" customWidth="1"/>
    <col min="5894" max="5894" width="7.26953125" style="11" bestFit="1" customWidth="1"/>
    <col min="5895" max="5895" width="23.26953125" style="11" customWidth="1"/>
    <col min="5896" max="5896" width="17.1796875" style="11" bestFit="1" customWidth="1"/>
    <col min="5897" max="5897" width="23.26953125" style="11" customWidth="1"/>
    <col min="5898" max="5898" width="28.7265625" style="11" bestFit="1" customWidth="1"/>
    <col min="5899" max="5899" width="8.7265625" style="11"/>
    <col min="5900" max="5900" width="17.54296875" style="11" bestFit="1" customWidth="1"/>
    <col min="5901" max="5901" width="13.26953125" style="11" customWidth="1"/>
    <col min="5902" max="6144" width="8.7265625" style="11"/>
    <col min="6145" max="6145" width="32.26953125" style="11" customWidth="1"/>
    <col min="6146" max="6146" width="18.7265625" style="11" bestFit="1" customWidth="1"/>
    <col min="6147" max="6147" width="8.1796875" style="11" bestFit="1" customWidth="1"/>
    <col min="6148" max="6149" width="8.26953125" style="11" bestFit="1" customWidth="1"/>
    <col min="6150" max="6150" width="7.26953125" style="11" bestFit="1" customWidth="1"/>
    <col min="6151" max="6151" width="23.26953125" style="11" customWidth="1"/>
    <col min="6152" max="6152" width="17.1796875" style="11" bestFit="1" customWidth="1"/>
    <col min="6153" max="6153" width="23.26953125" style="11" customWidth="1"/>
    <col min="6154" max="6154" width="28.7265625" style="11" bestFit="1" customWidth="1"/>
    <col min="6155" max="6155" width="8.7265625" style="11"/>
    <col min="6156" max="6156" width="17.54296875" style="11" bestFit="1" customWidth="1"/>
    <col min="6157" max="6157" width="13.26953125" style="11" customWidth="1"/>
    <col min="6158" max="6400" width="8.7265625" style="11"/>
    <col min="6401" max="6401" width="32.26953125" style="11" customWidth="1"/>
    <col min="6402" max="6402" width="18.7265625" style="11" bestFit="1" customWidth="1"/>
    <col min="6403" max="6403" width="8.1796875" style="11" bestFit="1" customWidth="1"/>
    <col min="6404" max="6405" width="8.26953125" style="11" bestFit="1" customWidth="1"/>
    <col min="6406" max="6406" width="7.26953125" style="11" bestFit="1" customWidth="1"/>
    <col min="6407" max="6407" width="23.26953125" style="11" customWidth="1"/>
    <col min="6408" max="6408" width="17.1796875" style="11" bestFit="1" customWidth="1"/>
    <col min="6409" max="6409" width="23.26953125" style="11" customWidth="1"/>
    <col min="6410" max="6410" width="28.7265625" style="11" bestFit="1" customWidth="1"/>
    <col min="6411" max="6411" width="8.7265625" style="11"/>
    <col min="6412" max="6412" width="17.54296875" style="11" bestFit="1" customWidth="1"/>
    <col min="6413" max="6413" width="13.26953125" style="11" customWidth="1"/>
    <col min="6414" max="6656" width="8.7265625" style="11"/>
    <col min="6657" max="6657" width="32.26953125" style="11" customWidth="1"/>
    <col min="6658" max="6658" width="18.7265625" style="11" bestFit="1" customWidth="1"/>
    <col min="6659" max="6659" width="8.1796875" style="11" bestFit="1" customWidth="1"/>
    <col min="6660" max="6661" width="8.26953125" style="11" bestFit="1" customWidth="1"/>
    <col min="6662" max="6662" width="7.26953125" style="11" bestFit="1" customWidth="1"/>
    <col min="6663" max="6663" width="23.26953125" style="11" customWidth="1"/>
    <col min="6664" max="6664" width="17.1796875" style="11" bestFit="1" customWidth="1"/>
    <col min="6665" max="6665" width="23.26953125" style="11" customWidth="1"/>
    <col min="6666" max="6666" width="28.7265625" style="11" bestFit="1" customWidth="1"/>
    <col min="6667" max="6667" width="8.7265625" style="11"/>
    <col min="6668" max="6668" width="17.54296875" style="11" bestFit="1" customWidth="1"/>
    <col min="6669" max="6669" width="13.26953125" style="11" customWidth="1"/>
    <col min="6670" max="6912" width="8.7265625" style="11"/>
    <col min="6913" max="6913" width="32.26953125" style="11" customWidth="1"/>
    <col min="6914" max="6914" width="18.7265625" style="11" bestFit="1" customWidth="1"/>
    <col min="6915" max="6915" width="8.1796875" style="11" bestFit="1" customWidth="1"/>
    <col min="6916" max="6917" width="8.26953125" style="11" bestFit="1" customWidth="1"/>
    <col min="6918" max="6918" width="7.26953125" style="11" bestFit="1" customWidth="1"/>
    <col min="6919" max="6919" width="23.26953125" style="11" customWidth="1"/>
    <col min="6920" max="6920" width="17.1796875" style="11" bestFit="1" customWidth="1"/>
    <col min="6921" max="6921" width="23.26953125" style="11" customWidth="1"/>
    <col min="6922" max="6922" width="28.7265625" style="11" bestFit="1" customWidth="1"/>
    <col min="6923" max="6923" width="8.7265625" style="11"/>
    <col min="6924" max="6924" width="17.54296875" style="11" bestFit="1" customWidth="1"/>
    <col min="6925" max="6925" width="13.26953125" style="11" customWidth="1"/>
    <col min="6926" max="7168" width="8.7265625" style="11"/>
    <col min="7169" max="7169" width="32.26953125" style="11" customWidth="1"/>
    <col min="7170" max="7170" width="18.7265625" style="11" bestFit="1" customWidth="1"/>
    <col min="7171" max="7171" width="8.1796875" style="11" bestFit="1" customWidth="1"/>
    <col min="7172" max="7173" width="8.26953125" style="11" bestFit="1" customWidth="1"/>
    <col min="7174" max="7174" width="7.26953125" style="11" bestFit="1" customWidth="1"/>
    <col min="7175" max="7175" width="23.26953125" style="11" customWidth="1"/>
    <col min="7176" max="7176" width="17.1796875" style="11" bestFit="1" customWidth="1"/>
    <col min="7177" max="7177" width="23.26953125" style="11" customWidth="1"/>
    <col min="7178" max="7178" width="28.7265625" style="11" bestFit="1" customWidth="1"/>
    <col min="7179" max="7179" width="8.7265625" style="11"/>
    <col min="7180" max="7180" width="17.54296875" style="11" bestFit="1" customWidth="1"/>
    <col min="7181" max="7181" width="13.26953125" style="11" customWidth="1"/>
    <col min="7182" max="7424" width="8.7265625" style="11"/>
    <col min="7425" max="7425" width="32.26953125" style="11" customWidth="1"/>
    <col min="7426" max="7426" width="18.7265625" style="11" bestFit="1" customWidth="1"/>
    <col min="7427" max="7427" width="8.1796875" style="11" bestFit="1" customWidth="1"/>
    <col min="7428" max="7429" width="8.26953125" style="11" bestFit="1" customWidth="1"/>
    <col min="7430" max="7430" width="7.26953125" style="11" bestFit="1" customWidth="1"/>
    <col min="7431" max="7431" width="23.26953125" style="11" customWidth="1"/>
    <col min="7432" max="7432" width="17.1796875" style="11" bestFit="1" customWidth="1"/>
    <col min="7433" max="7433" width="23.26953125" style="11" customWidth="1"/>
    <col min="7434" max="7434" width="28.7265625" style="11" bestFit="1" customWidth="1"/>
    <col min="7435" max="7435" width="8.7265625" style="11"/>
    <col min="7436" max="7436" width="17.54296875" style="11" bestFit="1" customWidth="1"/>
    <col min="7437" max="7437" width="13.26953125" style="11" customWidth="1"/>
    <col min="7438" max="7680" width="8.7265625" style="11"/>
    <col min="7681" max="7681" width="32.26953125" style="11" customWidth="1"/>
    <col min="7682" max="7682" width="18.7265625" style="11" bestFit="1" customWidth="1"/>
    <col min="7683" max="7683" width="8.1796875" style="11" bestFit="1" customWidth="1"/>
    <col min="7684" max="7685" width="8.26953125" style="11" bestFit="1" customWidth="1"/>
    <col min="7686" max="7686" width="7.26953125" style="11" bestFit="1" customWidth="1"/>
    <col min="7687" max="7687" width="23.26953125" style="11" customWidth="1"/>
    <col min="7688" max="7688" width="17.1796875" style="11" bestFit="1" customWidth="1"/>
    <col min="7689" max="7689" width="23.26953125" style="11" customWidth="1"/>
    <col min="7690" max="7690" width="28.7265625" style="11" bestFit="1" customWidth="1"/>
    <col min="7691" max="7691" width="8.7265625" style="11"/>
    <col min="7692" max="7692" width="17.54296875" style="11" bestFit="1" customWidth="1"/>
    <col min="7693" max="7693" width="13.26953125" style="11" customWidth="1"/>
    <col min="7694" max="7936" width="8.7265625" style="11"/>
    <col min="7937" max="7937" width="32.26953125" style="11" customWidth="1"/>
    <col min="7938" max="7938" width="18.7265625" style="11" bestFit="1" customWidth="1"/>
    <col min="7939" max="7939" width="8.1796875" style="11" bestFit="1" customWidth="1"/>
    <col min="7940" max="7941" width="8.26953125" style="11" bestFit="1" customWidth="1"/>
    <col min="7942" max="7942" width="7.26953125" style="11" bestFit="1" customWidth="1"/>
    <col min="7943" max="7943" width="23.26953125" style="11" customWidth="1"/>
    <col min="7944" max="7944" width="17.1796875" style="11" bestFit="1" customWidth="1"/>
    <col min="7945" max="7945" width="23.26953125" style="11" customWidth="1"/>
    <col min="7946" max="7946" width="28.7265625" style="11" bestFit="1" customWidth="1"/>
    <col min="7947" max="7947" width="8.7265625" style="11"/>
    <col min="7948" max="7948" width="17.54296875" style="11" bestFit="1" customWidth="1"/>
    <col min="7949" max="7949" width="13.26953125" style="11" customWidth="1"/>
    <col min="7950" max="8192" width="8.7265625" style="11"/>
    <col min="8193" max="8193" width="32.26953125" style="11" customWidth="1"/>
    <col min="8194" max="8194" width="18.7265625" style="11" bestFit="1" customWidth="1"/>
    <col min="8195" max="8195" width="8.1796875" style="11" bestFit="1" customWidth="1"/>
    <col min="8196" max="8197" width="8.26953125" style="11" bestFit="1" customWidth="1"/>
    <col min="8198" max="8198" width="7.26953125" style="11" bestFit="1" customWidth="1"/>
    <col min="8199" max="8199" width="23.26953125" style="11" customWidth="1"/>
    <col min="8200" max="8200" width="17.1796875" style="11" bestFit="1" customWidth="1"/>
    <col min="8201" max="8201" width="23.26953125" style="11" customWidth="1"/>
    <col min="8202" max="8202" width="28.7265625" style="11" bestFit="1" customWidth="1"/>
    <col min="8203" max="8203" width="8.7265625" style="11"/>
    <col min="8204" max="8204" width="17.54296875" style="11" bestFit="1" customWidth="1"/>
    <col min="8205" max="8205" width="13.26953125" style="11" customWidth="1"/>
    <col min="8206" max="8448" width="8.7265625" style="11"/>
    <col min="8449" max="8449" width="32.26953125" style="11" customWidth="1"/>
    <col min="8450" max="8450" width="18.7265625" style="11" bestFit="1" customWidth="1"/>
    <col min="8451" max="8451" width="8.1796875" style="11" bestFit="1" customWidth="1"/>
    <col min="8452" max="8453" width="8.26953125" style="11" bestFit="1" customWidth="1"/>
    <col min="8454" max="8454" width="7.26953125" style="11" bestFit="1" customWidth="1"/>
    <col min="8455" max="8455" width="23.26953125" style="11" customWidth="1"/>
    <col min="8456" max="8456" width="17.1796875" style="11" bestFit="1" customWidth="1"/>
    <col min="8457" max="8457" width="23.26953125" style="11" customWidth="1"/>
    <col min="8458" max="8458" width="28.7265625" style="11" bestFit="1" customWidth="1"/>
    <col min="8459" max="8459" width="8.7265625" style="11"/>
    <col min="8460" max="8460" width="17.54296875" style="11" bestFit="1" customWidth="1"/>
    <col min="8461" max="8461" width="13.26953125" style="11" customWidth="1"/>
    <col min="8462" max="8704" width="8.7265625" style="11"/>
    <col min="8705" max="8705" width="32.26953125" style="11" customWidth="1"/>
    <col min="8706" max="8706" width="18.7265625" style="11" bestFit="1" customWidth="1"/>
    <col min="8707" max="8707" width="8.1796875" style="11" bestFit="1" customWidth="1"/>
    <col min="8708" max="8709" width="8.26953125" style="11" bestFit="1" customWidth="1"/>
    <col min="8710" max="8710" width="7.26953125" style="11" bestFit="1" customWidth="1"/>
    <col min="8711" max="8711" width="23.26953125" style="11" customWidth="1"/>
    <col min="8712" max="8712" width="17.1796875" style="11" bestFit="1" customWidth="1"/>
    <col min="8713" max="8713" width="23.26953125" style="11" customWidth="1"/>
    <col min="8714" max="8714" width="28.7265625" style="11" bestFit="1" customWidth="1"/>
    <col min="8715" max="8715" width="8.7265625" style="11"/>
    <col min="8716" max="8716" width="17.54296875" style="11" bestFit="1" customWidth="1"/>
    <col min="8717" max="8717" width="13.26953125" style="11" customWidth="1"/>
    <col min="8718" max="8960" width="8.7265625" style="11"/>
    <col min="8961" max="8961" width="32.26953125" style="11" customWidth="1"/>
    <col min="8962" max="8962" width="18.7265625" style="11" bestFit="1" customWidth="1"/>
    <col min="8963" max="8963" width="8.1796875" style="11" bestFit="1" customWidth="1"/>
    <col min="8964" max="8965" width="8.26953125" style="11" bestFit="1" customWidth="1"/>
    <col min="8966" max="8966" width="7.26953125" style="11" bestFit="1" customWidth="1"/>
    <col min="8967" max="8967" width="23.26953125" style="11" customWidth="1"/>
    <col min="8968" max="8968" width="17.1796875" style="11" bestFit="1" customWidth="1"/>
    <col min="8969" max="8969" width="23.26953125" style="11" customWidth="1"/>
    <col min="8970" max="8970" width="28.7265625" style="11" bestFit="1" customWidth="1"/>
    <col min="8971" max="8971" width="8.7265625" style="11"/>
    <col min="8972" max="8972" width="17.54296875" style="11" bestFit="1" customWidth="1"/>
    <col min="8973" max="8973" width="13.26953125" style="11" customWidth="1"/>
    <col min="8974" max="9216" width="8.7265625" style="11"/>
    <col min="9217" max="9217" width="32.26953125" style="11" customWidth="1"/>
    <col min="9218" max="9218" width="18.7265625" style="11" bestFit="1" customWidth="1"/>
    <col min="9219" max="9219" width="8.1796875" style="11" bestFit="1" customWidth="1"/>
    <col min="9220" max="9221" width="8.26953125" style="11" bestFit="1" customWidth="1"/>
    <col min="9222" max="9222" width="7.26953125" style="11" bestFit="1" customWidth="1"/>
    <col min="9223" max="9223" width="23.26953125" style="11" customWidth="1"/>
    <col min="9224" max="9224" width="17.1796875" style="11" bestFit="1" customWidth="1"/>
    <col min="9225" max="9225" width="23.26953125" style="11" customWidth="1"/>
    <col min="9226" max="9226" width="28.7265625" style="11" bestFit="1" customWidth="1"/>
    <col min="9227" max="9227" width="8.7265625" style="11"/>
    <col min="9228" max="9228" width="17.54296875" style="11" bestFit="1" customWidth="1"/>
    <col min="9229" max="9229" width="13.26953125" style="11" customWidth="1"/>
    <col min="9230" max="9472" width="8.7265625" style="11"/>
    <col min="9473" max="9473" width="32.26953125" style="11" customWidth="1"/>
    <col min="9474" max="9474" width="18.7265625" style="11" bestFit="1" customWidth="1"/>
    <col min="9475" max="9475" width="8.1796875" style="11" bestFit="1" customWidth="1"/>
    <col min="9476" max="9477" width="8.26953125" style="11" bestFit="1" customWidth="1"/>
    <col min="9478" max="9478" width="7.26953125" style="11" bestFit="1" customWidth="1"/>
    <col min="9479" max="9479" width="23.26953125" style="11" customWidth="1"/>
    <col min="9480" max="9480" width="17.1796875" style="11" bestFit="1" customWidth="1"/>
    <col min="9481" max="9481" width="23.26953125" style="11" customWidth="1"/>
    <col min="9482" max="9482" width="28.7265625" style="11" bestFit="1" customWidth="1"/>
    <col min="9483" max="9483" width="8.7265625" style="11"/>
    <col min="9484" max="9484" width="17.54296875" style="11" bestFit="1" customWidth="1"/>
    <col min="9485" max="9485" width="13.26953125" style="11" customWidth="1"/>
    <col min="9486" max="9728" width="8.7265625" style="11"/>
    <col min="9729" max="9729" width="32.26953125" style="11" customWidth="1"/>
    <col min="9730" max="9730" width="18.7265625" style="11" bestFit="1" customWidth="1"/>
    <col min="9731" max="9731" width="8.1796875" style="11" bestFit="1" customWidth="1"/>
    <col min="9732" max="9733" width="8.26953125" style="11" bestFit="1" customWidth="1"/>
    <col min="9734" max="9734" width="7.26953125" style="11" bestFit="1" customWidth="1"/>
    <col min="9735" max="9735" width="23.26953125" style="11" customWidth="1"/>
    <col min="9736" max="9736" width="17.1796875" style="11" bestFit="1" customWidth="1"/>
    <col min="9737" max="9737" width="23.26953125" style="11" customWidth="1"/>
    <col min="9738" max="9738" width="28.7265625" style="11" bestFit="1" customWidth="1"/>
    <col min="9739" max="9739" width="8.7265625" style="11"/>
    <col min="9740" max="9740" width="17.54296875" style="11" bestFit="1" customWidth="1"/>
    <col min="9741" max="9741" width="13.26953125" style="11" customWidth="1"/>
    <col min="9742" max="9984" width="8.7265625" style="11"/>
    <col min="9985" max="9985" width="32.26953125" style="11" customWidth="1"/>
    <col min="9986" max="9986" width="18.7265625" style="11" bestFit="1" customWidth="1"/>
    <col min="9987" max="9987" width="8.1796875" style="11" bestFit="1" customWidth="1"/>
    <col min="9988" max="9989" width="8.26953125" style="11" bestFit="1" customWidth="1"/>
    <col min="9990" max="9990" width="7.26953125" style="11" bestFit="1" customWidth="1"/>
    <col min="9991" max="9991" width="23.26953125" style="11" customWidth="1"/>
    <col min="9992" max="9992" width="17.1796875" style="11" bestFit="1" customWidth="1"/>
    <col min="9993" max="9993" width="23.26953125" style="11" customWidth="1"/>
    <col min="9994" max="9994" width="28.7265625" style="11" bestFit="1" customWidth="1"/>
    <col min="9995" max="9995" width="8.7265625" style="11"/>
    <col min="9996" max="9996" width="17.54296875" style="11" bestFit="1" customWidth="1"/>
    <col min="9997" max="9997" width="13.26953125" style="11" customWidth="1"/>
    <col min="9998" max="10240" width="8.7265625" style="11"/>
    <col min="10241" max="10241" width="32.26953125" style="11" customWidth="1"/>
    <col min="10242" max="10242" width="18.7265625" style="11" bestFit="1" customWidth="1"/>
    <col min="10243" max="10243" width="8.1796875" style="11" bestFit="1" customWidth="1"/>
    <col min="10244" max="10245" width="8.26953125" style="11" bestFit="1" customWidth="1"/>
    <col min="10246" max="10246" width="7.26953125" style="11" bestFit="1" customWidth="1"/>
    <col min="10247" max="10247" width="23.26953125" style="11" customWidth="1"/>
    <col min="10248" max="10248" width="17.1796875" style="11" bestFit="1" customWidth="1"/>
    <col min="10249" max="10249" width="23.26953125" style="11" customWidth="1"/>
    <col min="10250" max="10250" width="28.7265625" style="11" bestFit="1" customWidth="1"/>
    <col min="10251" max="10251" width="8.7265625" style="11"/>
    <col min="10252" max="10252" width="17.54296875" style="11" bestFit="1" customWidth="1"/>
    <col min="10253" max="10253" width="13.26953125" style="11" customWidth="1"/>
    <col min="10254" max="10496" width="8.7265625" style="11"/>
    <col min="10497" max="10497" width="32.26953125" style="11" customWidth="1"/>
    <col min="10498" max="10498" width="18.7265625" style="11" bestFit="1" customWidth="1"/>
    <col min="10499" max="10499" width="8.1796875" style="11" bestFit="1" customWidth="1"/>
    <col min="10500" max="10501" width="8.26953125" style="11" bestFit="1" customWidth="1"/>
    <col min="10502" max="10502" width="7.26953125" style="11" bestFit="1" customWidth="1"/>
    <col min="10503" max="10503" width="23.26953125" style="11" customWidth="1"/>
    <col min="10504" max="10504" width="17.1796875" style="11" bestFit="1" customWidth="1"/>
    <col min="10505" max="10505" width="23.26953125" style="11" customWidth="1"/>
    <col min="10506" max="10506" width="28.7265625" style="11" bestFit="1" customWidth="1"/>
    <col min="10507" max="10507" width="8.7265625" style="11"/>
    <col min="10508" max="10508" width="17.54296875" style="11" bestFit="1" customWidth="1"/>
    <col min="10509" max="10509" width="13.26953125" style="11" customWidth="1"/>
    <col min="10510" max="10752" width="8.7265625" style="11"/>
    <col min="10753" max="10753" width="32.26953125" style="11" customWidth="1"/>
    <col min="10754" max="10754" width="18.7265625" style="11" bestFit="1" customWidth="1"/>
    <col min="10755" max="10755" width="8.1796875" style="11" bestFit="1" customWidth="1"/>
    <col min="10756" max="10757" width="8.26953125" style="11" bestFit="1" customWidth="1"/>
    <col min="10758" max="10758" width="7.26953125" style="11" bestFit="1" customWidth="1"/>
    <col min="10759" max="10759" width="23.26953125" style="11" customWidth="1"/>
    <col min="10760" max="10760" width="17.1796875" style="11" bestFit="1" customWidth="1"/>
    <col min="10761" max="10761" width="23.26953125" style="11" customWidth="1"/>
    <col min="10762" max="10762" width="28.7265625" style="11" bestFit="1" customWidth="1"/>
    <col min="10763" max="10763" width="8.7265625" style="11"/>
    <col min="10764" max="10764" width="17.54296875" style="11" bestFit="1" customWidth="1"/>
    <col min="10765" max="10765" width="13.26953125" style="11" customWidth="1"/>
    <col min="10766" max="11008" width="8.7265625" style="11"/>
    <col min="11009" max="11009" width="32.26953125" style="11" customWidth="1"/>
    <col min="11010" max="11010" width="18.7265625" style="11" bestFit="1" customWidth="1"/>
    <col min="11011" max="11011" width="8.1796875" style="11" bestFit="1" customWidth="1"/>
    <col min="11012" max="11013" width="8.26953125" style="11" bestFit="1" customWidth="1"/>
    <col min="11014" max="11014" width="7.26953125" style="11" bestFit="1" customWidth="1"/>
    <col min="11015" max="11015" width="23.26953125" style="11" customWidth="1"/>
    <col min="11016" max="11016" width="17.1796875" style="11" bestFit="1" customWidth="1"/>
    <col min="11017" max="11017" width="23.26953125" style="11" customWidth="1"/>
    <col min="11018" max="11018" width="28.7265625" style="11" bestFit="1" customWidth="1"/>
    <col min="11019" max="11019" width="8.7265625" style="11"/>
    <col min="11020" max="11020" width="17.54296875" style="11" bestFit="1" customWidth="1"/>
    <col min="11021" max="11021" width="13.26953125" style="11" customWidth="1"/>
    <col min="11022" max="11264" width="8.7265625" style="11"/>
    <col min="11265" max="11265" width="32.26953125" style="11" customWidth="1"/>
    <col min="11266" max="11266" width="18.7265625" style="11" bestFit="1" customWidth="1"/>
    <col min="11267" max="11267" width="8.1796875" style="11" bestFit="1" customWidth="1"/>
    <col min="11268" max="11269" width="8.26953125" style="11" bestFit="1" customWidth="1"/>
    <col min="11270" max="11270" width="7.26953125" style="11" bestFit="1" customWidth="1"/>
    <col min="11271" max="11271" width="23.26953125" style="11" customWidth="1"/>
    <col min="11272" max="11272" width="17.1796875" style="11" bestFit="1" customWidth="1"/>
    <col min="11273" max="11273" width="23.26953125" style="11" customWidth="1"/>
    <col min="11274" max="11274" width="28.7265625" style="11" bestFit="1" customWidth="1"/>
    <col min="11275" max="11275" width="8.7265625" style="11"/>
    <col min="11276" max="11276" width="17.54296875" style="11" bestFit="1" customWidth="1"/>
    <col min="11277" max="11277" width="13.26953125" style="11" customWidth="1"/>
    <col min="11278" max="11520" width="8.7265625" style="11"/>
    <col min="11521" max="11521" width="32.26953125" style="11" customWidth="1"/>
    <col min="11522" max="11522" width="18.7265625" style="11" bestFit="1" customWidth="1"/>
    <col min="11523" max="11523" width="8.1796875" style="11" bestFit="1" customWidth="1"/>
    <col min="11524" max="11525" width="8.26953125" style="11" bestFit="1" customWidth="1"/>
    <col min="11526" max="11526" width="7.26953125" style="11" bestFit="1" customWidth="1"/>
    <col min="11527" max="11527" width="23.26953125" style="11" customWidth="1"/>
    <col min="11528" max="11528" width="17.1796875" style="11" bestFit="1" customWidth="1"/>
    <col min="11529" max="11529" width="23.26953125" style="11" customWidth="1"/>
    <col min="11530" max="11530" width="28.7265625" style="11" bestFit="1" customWidth="1"/>
    <col min="11531" max="11531" width="8.7265625" style="11"/>
    <col min="11532" max="11532" width="17.54296875" style="11" bestFit="1" customWidth="1"/>
    <col min="11533" max="11533" width="13.26953125" style="11" customWidth="1"/>
    <col min="11534" max="11776" width="8.7265625" style="11"/>
    <col min="11777" max="11777" width="32.26953125" style="11" customWidth="1"/>
    <col min="11778" max="11778" width="18.7265625" style="11" bestFit="1" customWidth="1"/>
    <col min="11779" max="11779" width="8.1796875" style="11" bestFit="1" customWidth="1"/>
    <col min="11780" max="11781" width="8.26953125" style="11" bestFit="1" customWidth="1"/>
    <col min="11782" max="11782" width="7.26953125" style="11" bestFit="1" customWidth="1"/>
    <col min="11783" max="11783" width="23.26953125" style="11" customWidth="1"/>
    <col min="11784" max="11784" width="17.1796875" style="11" bestFit="1" customWidth="1"/>
    <col min="11785" max="11785" width="23.26953125" style="11" customWidth="1"/>
    <col min="11786" max="11786" width="28.7265625" style="11" bestFit="1" customWidth="1"/>
    <col min="11787" max="11787" width="8.7265625" style="11"/>
    <col min="11788" max="11788" width="17.54296875" style="11" bestFit="1" customWidth="1"/>
    <col min="11789" max="11789" width="13.26953125" style="11" customWidth="1"/>
    <col min="11790" max="12032" width="8.7265625" style="11"/>
    <col min="12033" max="12033" width="32.26953125" style="11" customWidth="1"/>
    <col min="12034" max="12034" width="18.7265625" style="11" bestFit="1" customWidth="1"/>
    <col min="12035" max="12035" width="8.1796875" style="11" bestFit="1" customWidth="1"/>
    <col min="12036" max="12037" width="8.26953125" style="11" bestFit="1" customWidth="1"/>
    <col min="12038" max="12038" width="7.26953125" style="11" bestFit="1" customWidth="1"/>
    <col min="12039" max="12039" width="23.26953125" style="11" customWidth="1"/>
    <col min="12040" max="12040" width="17.1796875" style="11" bestFit="1" customWidth="1"/>
    <col min="12041" max="12041" width="23.26953125" style="11" customWidth="1"/>
    <col min="12042" max="12042" width="28.7265625" style="11" bestFit="1" customWidth="1"/>
    <col min="12043" max="12043" width="8.7265625" style="11"/>
    <col min="12044" max="12044" width="17.54296875" style="11" bestFit="1" customWidth="1"/>
    <col min="12045" max="12045" width="13.26953125" style="11" customWidth="1"/>
    <col min="12046" max="12288" width="8.7265625" style="11"/>
    <col min="12289" max="12289" width="32.26953125" style="11" customWidth="1"/>
    <col min="12290" max="12290" width="18.7265625" style="11" bestFit="1" customWidth="1"/>
    <col min="12291" max="12291" width="8.1796875" style="11" bestFit="1" customWidth="1"/>
    <col min="12292" max="12293" width="8.26953125" style="11" bestFit="1" customWidth="1"/>
    <col min="12294" max="12294" width="7.26953125" style="11" bestFit="1" customWidth="1"/>
    <col min="12295" max="12295" width="23.26953125" style="11" customWidth="1"/>
    <col min="12296" max="12296" width="17.1796875" style="11" bestFit="1" customWidth="1"/>
    <col min="12297" max="12297" width="23.26953125" style="11" customWidth="1"/>
    <col min="12298" max="12298" width="28.7265625" style="11" bestFit="1" customWidth="1"/>
    <col min="12299" max="12299" width="8.7265625" style="11"/>
    <col min="12300" max="12300" width="17.54296875" style="11" bestFit="1" customWidth="1"/>
    <col min="12301" max="12301" width="13.26953125" style="11" customWidth="1"/>
    <col min="12302" max="12544" width="8.7265625" style="11"/>
    <col min="12545" max="12545" width="32.26953125" style="11" customWidth="1"/>
    <col min="12546" max="12546" width="18.7265625" style="11" bestFit="1" customWidth="1"/>
    <col min="12547" max="12547" width="8.1796875" style="11" bestFit="1" customWidth="1"/>
    <col min="12548" max="12549" width="8.26953125" style="11" bestFit="1" customWidth="1"/>
    <col min="12550" max="12550" width="7.26953125" style="11" bestFit="1" customWidth="1"/>
    <col min="12551" max="12551" width="23.26953125" style="11" customWidth="1"/>
    <col min="12552" max="12552" width="17.1796875" style="11" bestFit="1" customWidth="1"/>
    <col min="12553" max="12553" width="23.26953125" style="11" customWidth="1"/>
    <col min="12554" max="12554" width="28.7265625" style="11" bestFit="1" customWidth="1"/>
    <col min="12555" max="12555" width="8.7265625" style="11"/>
    <col min="12556" max="12556" width="17.54296875" style="11" bestFit="1" customWidth="1"/>
    <col min="12557" max="12557" width="13.26953125" style="11" customWidth="1"/>
    <col min="12558" max="12800" width="8.7265625" style="11"/>
    <col min="12801" max="12801" width="32.26953125" style="11" customWidth="1"/>
    <col min="12802" max="12802" width="18.7265625" style="11" bestFit="1" customWidth="1"/>
    <col min="12803" max="12803" width="8.1796875" style="11" bestFit="1" customWidth="1"/>
    <col min="12804" max="12805" width="8.26953125" style="11" bestFit="1" customWidth="1"/>
    <col min="12806" max="12806" width="7.26953125" style="11" bestFit="1" customWidth="1"/>
    <col min="12807" max="12807" width="23.26953125" style="11" customWidth="1"/>
    <col min="12808" max="12808" width="17.1796875" style="11" bestFit="1" customWidth="1"/>
    <col min="12809" max="12809" width="23.26953125" style="11" customWidth="1"/>
    <col min="12810" max="12810" width="28.7265625" style="11" bestFit="1" customWidth="1"/>
    <col min="12811" max="12811" width="8.7265625" style="11"/>
    <col min="12812" max="12812" width="17.54296875" style="11" bestFit="1" customWidth="1"/>
    <col min="12813" max="12813" width="13.26953125" style="11" customWidth="1"/>
    <col min="12814" max="13056" width="8.7265625" style="11"/>
    <col min="13057" max="13057" width="32.26953125" style="11" customWidth="1"/>
    <col min="13058" max="13058" width="18.7265625" style="11" bestFit="1" customWidth="1"/>
    <col min="13059" max="13059" width="8.1796875" style="11" bestFit="1" customWidth="1"/>
    <col min="13060" max="13061" width="8.26953125" style="11" bestFit="1" customWidth="1"/>
    <col min="13062" max="13062" width="7.26953125" style="11" bestFit="1" customWidth="1"/>
    <col min="13063" max="13063" width="23.26953125" style="11" customWidth="1"/>
    <col min="13064" max="13064" width="17.1796875" style="11" bestFit="1" customWidth="1"/>
    <col min="13065" max="13065" width="23.26953125" style="11" customWidth="1"/>
    <col min="13066" max="13066" width="28.7265625" style="11" bestFit="1" customWidth="1"/>
    <col min="13067" max="13067" width="8.7265625" style="11"/>
    <col min="13068" max="13068" width="17.54296875" style="11" bestFit="1" customWidth="1"/>
    <col min="13069" max="13069" width="13.26953125" style="11" customWidth="1"/>
    <col min="13070" max="13312" width="8.7265625" style="11"/>
    <col min="13313" max="13313" width="32.26953125" style="11" customWidth="1"/>
    <col min="13314" max="13314" width="18.7265625" style="11" bestFit="1" customWidth="1"/>
    <col min="13315" max="13315" width="8.1796875" style="11" bestFit="1" customWidth="1"/>
    <col min="13316" max="13317" width="8.26953125" style="11" bestFit="1" customWidth="1"/>
    <col min="13318" max="13318" width="7.26953125" style="11" bestFit="1" customWidth="1"/>
    <col min="13319" max="13319" width="23.26953125" style="11" customWidth="1"/>
    <col min="13320" max="13320" width="17.1796875" style="11" bestFit="1" customWidth="1"/>
    <col min="13321" max="13321" width="23.26953125" style="11" customWidth="1"/>
    <col min="13322" max="13322" width="28.7265625" style="11" bestFit="1" customWidth="1"/>
    <col min="13323" max="13323" width="8.7265625" style="11"/>
    <col min="13324" max="13324" width="17.54296875" style="11" bestFit="1" customWidth="1"/>
    <col min="13325" max="13325" width="13.26953125" style="11" customWidth="1"/>
    <col min="13326" max="13568" width="8.7265625" style="11"/>
    <col min="13569" max="13569" width="32.26953125" style="11" customWidth="1"/>
    <col min="13570" max="13570" width="18.7265625" style="11" bestFit="1" customWidth="1"/>
    <col min="13571" max="13571" width="8.1796875" style="11" bestFit="1" customWidth="1"/>
    <col min="13572" max="13573" width="8.26953125" style="11" bestFit="1" customWidth="1"/>
    <col min="13574" max="13574" width="7.26953125" style="11" bestFit="1" customWidth="1"/>
    <col min="13575" max="13575" width="23.26953125" style="11" customWidth="1"/>
    <col min="13576" max="13576" width="17.1796875" style="11" bestFit="1" customWidth="1"/>
    <col min="13577" max="13577" width="23.26953125" style="11" customWidth="1"/>
    <col min="13578" max="13578" width="28.7265625" style="11" bestFit="1" customWidth="1"/>
    <col min="13579" max="13579" width="8.7265625" style="11"/>
    <col min="13580" max="13580" width="17.54296875" style="11" bestFit="1" customWidth="1"/>
    <col min="13581" max="13581" width="13.26953125" style="11" customWidth="1"/>
    <col min="13582" max="13824" width="8.7265625" style="11"/>
    <col min="13825" max="13825" width="32.26953125" style="11" customWidth="1"/>
    <col min="13826" max="13826" width="18.7265625" style="11" bestFit="1" customWidth="1"/>
    <col min="13827" max="13827" width="8.1796875" style="11" bestFit="1" customWidth="1"/>
    <col min="13828" max="13829" width="8.26953125" style="11" bestFit="1" customWidth="1"/>
    <col min="13830" max="13830" width="7.26953125" style="11" bestFit="1" customWidth="1"/>
    <col min="13831" max="13831" width="23.26953125" style="11" customWidth="1"/>
    <col min="13832" max="13832" width="17.1796875" style="11" bestFit="1" customWidth="1"/>
    <col min="13833" max="13833" width="23.26953125" style="11" customWidth="1"/>
    <col min="13834" max="13834" width="28.7265625" style="11" bestFit="1" customWidth="1"/>
    <col min="13835" max="13835" width="8.7265625" style="11"/>
    <col min="13836" max="13836" width="17.54296875" style="11" bestFit="1" customWidth="1"/>
    <col min="13837" max="13837" width="13.26953125" style="11" customWidth="1"/>
    <col min="13838" max="14080" width="8.7265625" style="11"/>
    <col min="14081" max="14081" width="32.26953125" style="11" customWidth="1"/>
    <col min="14082" max="14082" width="18.7265625" style="11" bestFit="1" customWidth="1"/>
    <col min="14083" max="14083" width="8.1796875" style="11" bestFit="1" customWidth="1"/>
    <col min="14084" max="14085" width="8.26953125" style="11" bestFit="1" customWidth="1"/>
    <col min="14086" max="14086" width="7.26953125" style="11" bestFit="1" customWidth="1"/>
    <col min="14087" max="14087" width="23.26953125" style="11" customWidth="1"/>
    <col min="14088" max="14088" width="17.1796875" style="11" bestFit="1" customWidth="1"/>
    <col min="14089" max="14089" width="23.26953125" style="11" customWidth="1"/>
    <col min="14090" max="14090" width="28.7265625" style="11" bestFit="1" customWidth="1"/>
    <col min="14091" max="14091" width="8.7265625" style="11"/>
    <col min="14092" max="14092" width="17.54296875" style="11" bestFit="1" customWidth="1"/>
    <col min="14093" max="14093" width="13.26953125" style="11" customWidth="1"/>
    <col min="14094" max="14336" width="8.7265625" style="11"/>
    <col min="14337" max="14337" width="32.26953125" style="11" customWidth="1"/>
    <col min="14338" max="14338" width="18.7265625" style="11" bestFit="1" customWidth="1"/>
    <col min="14339" max="14339" width="8.1796875" style="11" bestFit="1" customWidth="1"/>
    <col min="14340" max="14341" width="8.26953125" style="11" bestFit="1" customWidth="1"/>
    <col min="14342" max="14342" width="7.26953125" style="11" bestFit="1" customWidth="1"/>
    <col min="14343" max="14343" width="23.26953125" style="11" customWidth="1"/>
    <col min="14344" max="14344" width="17.1796875" style="11" bestFit="1" customWidth="1"/>
    <col min="14345" max="14345" width="23.26953125" style="11" customWidth="1"/>
    <col min="14346" max="14346" width="28.7265625" style="11" bestFit="1" customWidth="1"/>
    <col min="14347" max="14347" width="8.7265625" style="11"/>
    <col min="14348" max="14348" width="17.54296875" style="11" bestFit="1" customWidth="1"/>
    <col min="14349" max="14349" width="13.26953125" style="11" customWidth="1"/>
    <col min="14350" max="14592" width="8.7265625" style="11"/>
    <col min="14593" max="14593" width="32.26953125" style="11" customWidth="1"/>
    <col min="14594" max="14594" width="18.7265625" style="11" bestFit="1" customWidth="1"/>
    <col min="14595" max="14595" width="8.1796875" style="11" bestFit="1" customWidth="1"/>
    <col min="14596" max="14597" width="8.26953125" style="11" bestFit="1" customWidth="1"/>
    <col min="14598" max="14598" width="7.26953125" style="11" bestFit="1" customWidth="1"/>
    <col min="14599" max="14599" width="23.26953125" style="11" customWidth="1"/>
    <col min="14600" max="14600" width="17.1796875" style="11" bestFit="1" customWidth="1"/>
    <col min="14601" max="14601" width="23.26953125" style="11" customWidth="1"/>
    <col min="14602" max="14602" width="28.7265625" style="11" bestFit="1" customWidth="1"/>
    <col min="14603" max="14603" width="8.7265625" style="11"/>
    <col min="14604" max="14604" width="17.54296875" style="11" bestFit="1" customWidth="1"/>
    <col min="14605" max="14605" width="13.26953125" style="11" customWidth="1"/>
    <col min="14606" max="14848" width="8.7265625" style="11"/>
    <col min="14849" max="14849" width="32.26953125" style="11" customWidth="1"/>
    <col min="14850" max="14850" width="18.7265625" style="11" bestFit="1" customWidth="1"/>
    <col min="14851" max="14851" width="8.1796875" style="11" bestFit="1" customWidth="1"/>
    <col min="14852" max="14853" width="8.26953125" style="11" bestFit="1" customWidth="1"/>
    <col min="14854" max="14854" width="7.26953125" style="11" bestFit="1" customWidth="1"/>
    <col min="14855" max="14855" width="23.26953125" style="11" customWidth="1"/>
    <col min="14856" max="14856" width="17.1796875" style="11" bestFit="1" customWidth="1"/>
    <col min="14857" max="14857" width="23.26953125" style="11" customWidth="1"/>
    <col min="14858" max="14858" width="28.7265625" style="11" bestFit="1" customWidth="1"/>
    <col min="14859" max="14859" width="8.7265625" style="11"/>
    <col min="14860" max="14860" width="17.54296875" style="11" bestFit="1" customWidth="1"/>
    <col min="14861" max="14861" width="13.26953125" style="11" customWidth="1"/>
    <col min="14862" max="15104" width="8.7265625" style="11"/>
    <col min="15105" max="15105" width="32.26953125" style="11" customWidth="1"/>
    <col min="15106" max="15106" width="18.7265625" style="11" bestFit="1" customWidth="1"/>
    <col min="15107" max="15107" width="8.1796875" style="11" bestFit="1" customWidth="1"/>
    <col min="15108" max="15109" width="8.26953125" style="11" bestFit="1" customWidth="1"/>
    <col min="15110" max="15110" width="7.26953125" style="11" bestFit="1" customWidth="1"/>
    <col min="15111" max="15111" width="23.26953125" style="11" customWidth="1"/>
    <col min="15112" max="15112" width="17.1796875" style="11" bestFit="1" customWidth="1"/>
    <col min="15113" max="15113" width="23.26953125" style="11" customWidth="1"/>
    <col min="15114" max="15114" width="28.7265625" style="11" bestFit="1" customWidth="1"/>
    <col min="15115" max="15115" width="8.7265625" style="11"/>
    <col min="15116" max="15116" width="17.54296875" style="11" bestFit="1" customWidth="1"/>
    <col min="15117" max="15117" width="13.26953125" style="11" customWidth="1"/>
    <col min="15118" max="15360" width="8.7265625" style="11"/>
    <col min="15361" max="15361" width="32.26953125" style="11" customWidth="1"/>
    <col min="15362" max="15362" width="18.7265625" style="11" bestFit="1" customWidth="1"/>
    <col min="15363" max="15363" width="8.1796875" style="11" bestFit="1" customWidth="1"/>
    <col min="15364" max="15365" width="8.26953125" style="11" bestFit="1" customWidth="1"/>
    <col min="15366" max="15366" width="7.26953125" style="11" bestFit="1" customWidth="1"/>
    <col min="15367" max="15367" width="23.26953125" style="11" customWidth="1"/>
    <col min="15368" max="15368" width="17.1796875" style="11" bestFit="1" customWidth="1"/>
    <col min="15369" max="15369" width="23.26953125" style="11" customWidth="1"/>
    <col min="15370" max="15370" width="28.7265625" style="11" bestFit="1" customWidth="1"/>
    <col min="15371" max="15371" width="8.7265625" style="11"/>
    <col min="15372" max="15372" width="17.54296875" style="11" bestFit="1" customWidth="1"/>
    <col min="15373" max="15373" width="13.26953125" style="11" customWidth="1"/>
    <col min="15374" max="15616" width="8.7265625" style="11"/>
    <col min="15617" max="15617" width="32.26953125" style="11" customWidth="1"/>
    <col min="15618" max="15618" width="18.7265625" style="11" bestFit="1" customWidth="1"/>
    <col min="15619" max="15619" width="8.1796875" style="11" bestFit="1" customWidth="1"/>
    <col min="15620" max="15621" width="8.26953125" style="11" bestFit="1" customWidth="1"/>
    <col min="15622" max="15622" width="7.26953125" style="11" bestFit="1" customWidth="1"/>
    <col min="15623" max="15623" width="23.26953125" style="11" customWidth="1"/>
    <col min="15624" max="15624" width="17.1796875" style="11" bestFit="1" customWidth="1"/>
    <col min="15625" max="15625" width="23.26953125" style="11" customWidth="1"/>
    <col min="15626" max="15626" width="28.7265625" style="11" bestFit="1" customWidth="1"/>
    <col min="15627" max="15627" width="8.7265625" style="11"/>
    <col min="15628" max="15628" width="17.54296875" style="11" bestFit="1" customWidth="1"/>
    <col min="15629" max="15629" width="13.26953125" style="11" customWidth="1"/>
    <col min="15630" max="15872" width="8.7265625" style="11"/>
    <col min="15873" max="15873" width="32.26953125" style="11" customWidth="1"/>
    <col min="15874" max="15874" width="18.7265625" style="11" bestFit="1" customWidth="1"/>
    <col min="15875" max="15875" width="8.1796875" style="11" bestFit="1" customWidth="1"/>
    <col min="15876" max="15877" width="8.26953125" style="11" bestFit="1" customWidth="1"/>
    <col min="15878" max="15878" width="7.26953125" style="11" bestFit="1" customWidth="1"/>
    <col min="15879" max="15879" width="23.26953125" style="11" customWidth="1"/>
    <col min="15880" max="15880" width="17.1796875" style="11" bestFit="1" customWidth="1"/>
    <col min="15881" max="15881" width="23.26953125" style="11" customWidth="1"/>
    <col min="15882" max="15882" width="28.7265625" style="11" bestFit="1" customWidth="1"/>
    <col min="15883" max="15883" width="8.7265625" style="11"/>
    <col min="15884" max="15884" width="17.54296875" style="11" bestFit="1" customWidth="1"/>
    <col min="15885" max="15885" width="13.26953125" style="11" customWidth="1"/>
    <col min="15886" max="16128" width="8.7265625" style="11"/>
    <col min="16129" max="16129" width="32.26953125" style="11" customWidth="1"/>
    <col min="16130" max="16130" width="18.7265625" style="11" bestFit="1" customWidth="1"/>
    <col min="16131" max="16131" width="8.1796875" style="11" bestFit="1" customWidth="1"/>
    <col min="16132" max="16133" width="8.26953125" style="11" bestFit="1" customWidth="1"/>
    <col min="16134" max="16134" width="7.26953125" style="11" bestFit="1" customWidth="1"/>
    <col min="16135" max="16135" width="23.26953125" style="11" customWidth="1"/>
    <col min="16136" max="16136" width="17.1796875" style="11" bestFit="1" customWidth="1"/>
    <col min="16137" max="16137" width="23.26953125" style="11" customWidth="1"/>
    <col min="16138" max="16138" width="28.7265625" style="11" bestFit="1" customWidth="1"/>
    <col min="16139" max="16139" width="8.7265625" style="11"/>
    <col min="16140" max="16140" width="17.54296875" style="11" bestFit="1" customWidth="1"/>
    <col min="16141" max="16141" width="13.26953125" style="11" customWidth="1"/>
    <col min="16142" max="16384" width="8.7265625" style="11"/>
  </cols>
  <sheetData>
    <row r="1" spans="1:14" s="5" customFormat="1" ht="57.75" customHeight="1">
      <c r="A1" s="1" t="s">
        <v>0</v>
      </c>
      <c r="B1" s="2" t="s">
        <v>1</v>
      </c>
      <c r="C1" s="2" t="s">
        <v>2</v>
      </c>
      <c r="D1" s="2" t="s">
        <v>3</v>
      </c>
      <c r="E1" s="2" t="s">
        <v>4</v>
      </c>
      <c r="F1" s="2" t="s">
        <v>5</v>
      </c>
      <c r="G1" s="3" t="s">
        <v>6</v>
      </c>
      <c r="H1" s="2" t="s">
        <v>2713</v>
      </c>
      <c r="I1" s="2" t="s">
        <v>2714</v>
      </c>
      <c r="J1" s="2" t="s">
        <v>2715</v>
      </c>
      <c r="K1" s="2" t="s">
        <v>10</v>
      </c>
      <c r="L1" s="2" t="s">
        <v>2716</v>
      </c>
      <c r="M1" s="4" t="s">
        <v>12</v>
      </c>
      <c r="N1" s="461" t="s">
        <v>508</v>
      </c>
    </row>
    <row r="2" spans="1:14" ht="20">
      <c r="A2" s="6" t="s">
        <v>2717</v>
      </c>
      <c r="B2" s="7" t="s">
        <v>14</v>
      </c>
      <c r="C2" s="7" t="s">
        <v>3097</v>
      </c>
      <c r="D2" s="7">
        <v>1</v>
      </c>
      <c r="E2" s="7" t="e">
        <f>#REF!</f>
        <v>#REF!</v>
      </c>
      <c r="F2" s="7">
        <f>SUM(F3:F7)</f>
        <v>49</v>
      </c>
      <c r="G2" s="95" t="s">
        <v>3098</v>
      </c>
      <c r="H2" s="9"/>
      <c r="I2" s="9"/>
      <c r="J2" s="7"/>
      <c r="K2" s="7"/>
      <c r="L2" s="7"/>
      <c r="M2" s="17" t="s">
        <v>290</v>
      </c>
      <c r="N2" s="61"/>
    </row>
    <row r="3" spans="1:14" ht="21">
      <c r="A3" s="12" t="s">
        <v>17</v>
      </c>
      <c r="B3" s="13" t="s">
        <v>18</v>
      </c>
      <c r="C3" s="14">
        <v>1</v>
      </c>
      <c r="D3" s="14">
        <v>1</v>
      </c>
      <c r="E3" s="14">
        <f>D3+F3-1</f>
        <v>1</v>
      </c>
      <c r="F3" s="14">
        <v>1</v>
      </c>
      <c r="G3" s="15" t="s">
        <v>19</v>
      </c>
      <c r="H3" s="16"/>
      <c r="I3" s="16"/>
      <c r="J3" s="14"/>
      <c r="K3" s="14"/>
      <c r="L3" s="14"/>
      <c r="M3" s="17" t="s">
        <v>290</v>
      </c>
      <c r="N3" s="61"/>
    </row>
    <row r="4" spans="1:14">
      <c r="A4" s="18" t="s">
        <v>2718</v>
      </c>
      <c r="B4" s="18" t="s">
        <v>2719</v>
      </c>
      <c r="C4" s="19">
        <v>2</v>
      </c>
      <c r="D4" s="19">
        <f>E3+1</f>
        <v>2</v>
      </c>
      <c r="E4" s="19">
        <f>D4+F4-1</f>
        <v>16</v>
      </c>
      <c r="F4" s="19">
        <v>15</v>
      </c>
      <c r="G4" s="18" t="s">
        <v>2720</v>
      </c>
      <c r="H4" s="16"/>
      <c r="I4" s="16"/>
      <c r="J4" s="14"/>
      <c r="K4" s="14"/>
      <c r="L4" s="14"/>
      <c r="M4" s="17"/>
      <c r="N4" s="61"/>
    </row>
    <row r="5" spans="1:14">
      <c r="A5" s="18" t="s">
        <v>2721</v>
      </c>
      <c r="B5" s="18" t="s">
        <v>2722</v>
      </c>
      <c r="C5" s="19">
        <v>3</v>
      </c>
      <c r="D5" s="19">
        <f>E4+1</f>
        <v>17</v>
      </c>
      <c r="E5" s="19">
        <f>D5+F5-1</f>
        <v>26</v>
      </c>
      <c r="F5" s="19">
        <v>10</v>
      </c>
      <c r="G5" s="18" t="s">
        <v>2723</v>
      </c>
      <c r="H5" s="16"/>
      <c r="I5" s="16"/>
      <c r="J5" s="14"/>
      <c r="K5" s="14"/>
      <c r="L5" s="14"/>
      <c r="M5" s="17"/>
      <c r="N5" s="61"/>
    </row>
    <row r="6" spans="1:14">
      <c r="A6" s="18" t="s">
        <v>2724</v>
      </c>
      <c r="B6" s="18" t="s">
        <v>2725</v>
      </c>
      <c r="C6" s="19">
        <v>4</v>
      </c>
      <c r="D6" s="19">
        <f>E5+1</f>
        <v>27</v>
      </c>
      <c r="E6" s="19">
        <f>D6+F6-1</f>
        <v>34</v>
      </c>
      <c r="F6" s="19">
        <v>8</v>
      </c>
      <c r="G6" s="18" t="s">
        <v>2726</v>
      </c>
      <c r="H6" s="16"/>
      <c r="I6" s="16"/>
      <c r="J6" s="14"/>
      <c r="K6" s="14"/>
      <c r="L6" s="14"/>
      <c r="M6" s="17"/>
      <c r="N6" s="61"/>
    </row>
    <row r="7" spans="1:14" ht="12.5">
      <c r="A7" s="12" t="s">
        <v>2727</v>
      </c>
      <c r="B7" s="13" t="s">
        <v>2728</v>
      </c>
      <c r="C7" s="14">
        <v>5</v>
      </c>
      <c r="D7" s="19">
        <f>E6+1</f>
        <v>35</v>
      </c>
      <c r="E7" s="14">
        <f>D7+F7-1</f>
        <v>49</v>
      </c>
      <c r="F7" s="14">
        <v>15</v>
      </c>
      <c r="G7" s="25" t="s">
        <v>3099</v>
      </c>
      <c r="H7" s="26"/>
      <c r="I7" s="26"/>
      <c r="J7" s="14"/>
      <c r="K7" s="14"/>
      <c r="L7" s="14"/>
      <c r="M7" s="17" t="s">
        <v>290</v>
      </c>
      <c r="N7" s="61"/>
    </row>
    <row r="8" spans="1:14" ht="10.5">
      <c r="A8" s="6" t="s">
        <v>2732</v>
      </c>
      <c r="B8" s="7" t="s">
        <v>14</v>
      </c>
      <c r="C8" s="27" t="s">
        <v>3097</v>
      </c>
      <c r="D8" s="7">
        <v>1</v>
      </c>
      <c r="E8" s="7" t="e">
        <f>#REF!</f>
        <v>#REF!</v>
      </c>
      <c r="F8" s="7">
        <f>SUM(F9:F11)</f>
        <v>44</v>
      </c>
      <c r="G8" s="28"/>
      <c r="H8" s="29"/>
      <c r="I8" s="29"/>
      <c r="J8" s="7"/>
      <c r="K8" s="7"/>
      <c r="L8" s="7"/>
      <c r="M8" s="17" t="s">
        <v>290</v>
      </c>
      <c r="N8" s="61"/>
    </row>
    <row r="9" spans="1:14" ht="21">
      <c r="A9" s="30" t="s">
        <v>2734</v>
      </c>
      <c r="B9" s="13" t="s">
        <v>18</v>
      </c>
      <c r="C9" s="14">
        <v>7</v>
      </c>
      <c r="D9" s="31">
        <v>1</v>
      </c>
      <c r="E9" s="14">
        <f>D9+F9-1</f>
        <v>1</v>
      </c>
      <c r="F9" s="31">
        <v>1</v>
      </c>
      <c r="G9" s="15" t="s">
        <v>38</v>
      </c>
      <c r="H9" s="16"/>
      <c r="I9" s="16"/>
      <c r="J9" s="31"/>
      <c r="K9" s="31"/>
      <c r="L9" s="31"/>
      <c r="M9" s="17" t="s">
        <v>2735</v>
      </c>
      <c r="N9" s="61"/>
    </row>
    <row r="10" spans="1:14" ht="24" customHeight="1">
      <c r="A10" s="69" t="s">
        <v>3100</v>
      </c>
      <c r="B10" s="13" t="s">
        <v>3101</v>
      </c>
      <c r="C10" s="14">
        <v>8</v>
      </c>
      <c r="D10" s="14">
        <f>D9+F9</f>
        <v>2</v>
      </c>
      <c r="E10" s="14">
        <f>D10+F10-1</f>
        <v>4</v>
      </c>
      <c r="F10" s="14">
        <v>3</v>
      </c>
      <c r="G10" s="15" t="s">
        <v>2738</v>
      </c>
      <c r="H10" s="16"/>
      <c r="I10" s="626" t="s">
        <v>3102</v>
      </c>
      <c r="J10" s="627" t="s">
        <v>3103</v>
      </c>
      <c r="K10" s="14"/>
      <c r="L10" s="608"/>
      <c r="M10" s="17"/>
      <c r="N10" s="61" t="s">
        <v>3104</v>
      </c>
    </row>
    <row r="11" spans="1:14" ht="24" customHeight="1">
      <c r="A11" s="33" t="s">
        <v>3105</v>
      </c>
      <c r="B11" s="13" t="s">
        <v>3106</v>
      </c>
      <c r="C11" s="14">
        <v>9</v>
      </c>
      <c r="D11" s="14">
        <f>D10+F10</f>
        <v>5</v>
      </c>
      <c r="E11" s="14">
        <f>D11+F11-1</f>
        <v>44</v>
      </c>
      <c r="F11" s="14">
        <v>40</v>
      </c>
      <c r="G11" s="180" t="s">
        <v>3107</v>
      </c>
      <c r="H11" s="16"/>
      <c r="I11" s="626" t="s">
        <v>3102</v>
      </c>
      <c r="J11" s="627" t="s">
        <v>3108</v>
      </c>
      <c r="K11" s="14"/>
      <c r="L11" s="628" t="s">
        <v>3109</v>
      </c>
      <c r="M11" s="17"/>
      <c r="N11" s="61" t="s">
        <v>3104</v>
      </c>
    </row>
    <row r="12" spans="1:14" ht="10.5">
      <c r="A12" s="6" t="s">
        <v>3110</v>
      </c>
      <c r="B12" s="7" t="s">
        <v>14</v>
      </c>
      <c r="C12" s="27"/>
      <c r="D12" s="7">
        <v>1</v>
      </c>
      <c r="E12" s="7" t="e">
        <f>#REF!</f>
        <v>#REF!</v>
      </c>
      <c r="F12" s="7">
        <f>SUM(F13:F14)</f>
        <v>10</v>
      </c>
      <c r="G12" s="28"/>
      <c r="H12" s="29"/>
      <c r="I12" s="29"/>
      <c r="J12" s="7"/>
      <c r="K12" s="41" t="s">
        <v>204</v>
      </c>
      <c r="L12" s="41"/>
      <c r="M12" s="17" t="s">
        <v>290</v>
      </c>
      <c r="N12" s="61"/>
    </row>
    <row r="13" spans="1:14" ht="21">
      <c r="A13" s="30" t="s">
        <v>2734</v>
      </c>
      <c r="B13" s="13" t="s">
        <v>18</v>
      </c>
      <c r="C13" s="14">
        <v>11</v>
      </c>
      <c r="D13" s="14">
        <v>1</v>
      </c>
      <c r="E13" s="14">
        <v>1</v>
      </c>
      <c r="F13" s="14">
        <v>1</v>
      </c>
      <c r="G13" s="15" t="s">
        <v>205</v>
      </c>
      <c r="H13" s="16"/>
      <c r="I13" s="16"/>
      <c r="J13" s="14"/>
      <c r="K13" s="14"/>
      <c r="L13" s="14"/>
      <c r="M13" s="17" t="s">
        <v>290</v>
      </c>
      <c r="N13" s="61"/>
    </row>
    <row r="14" spans="1:14" ht="12.5">
      <c r="A14" s="42" t="s">
        <v>3111</v>
      </c>
      <c r="B14" s="13" t="s">
        <v>207</v>
      </c>
      <c r="C14" s="14">
        <v>12</v>
      </c>
      <c r="D14" s="14">
        <v>2</v>
      </c>
      <c r="E14" s="14">
        <f>D14+F14-1</f>
        <v>10</v>
      </c>
      <c r="F14" s="14">
        <v>9</v>
      </c>
      <c r="G14" s="15" t="s">
        <v>208</v>
      </c>
      <c r="H14" s="16"/>
      <c r="I14" s="16"/>
      <c r="J14" s="14"/>
      <c r="K14" s="14"/>
      <c r="L14" s="14"/>
      <c r="M14" s="17" t="s">
        <v>290</v>
      </c>
    </row>
    <row r="15" spans="1:14">
      <c r="M15" s="47"/>
    </row>
    <row r="16" spans="1:14">
      <c r="M16" s="47"/>
    </row>
    <row r="17" spans="13:13">
      <c r="M17" s="47"/>
    </row>
    <row r="18" spans="13:13">
      <c r="M18" s="47"/>
    </row>
    <row r="19" spans="13:13">
      <c r="M19" s="47"/>
    </row>
    <row r="20" spans="13:13">
      <c r="M20" s="47"/>
    </row>
    <row r="21" spans="13:13">
      <c r="M21" s="47"/>
    </row>
    <row r="22" spans="13:13">
      <c r="M22" s="47"/>
    </row>
    <row r="23" spans="13:13">
      <c r="M23" s="47"/>
    </row>
    <row r="24" spans="13:13">
      <c r="M24" s="47"/>
    </row>
    <row r="25" spans="13:13">
      <c r="M25" s="47"/>
    </row>
    <row r="26" spans="13:13">
      <c r="M26" s="47"/>
    </row>
    <row r="27" spans="13:13">
      <c r="M27" s="47"/>
    </row>
    <row r="28" spans="13:13">
      <c r="M28" s="47"/>
    </row>
    <row r="29" spans="13:13">
      <c r="M29" s="47"/>
    </row>
    <row r="30" spans="13:13">
      <c r="M30" s="47"/>
    </row>
    <row r="31" spans="13:13">
      <c r="M31" s="47"/>
    </row>
    <row r="32" spans="13:13">
      <c r="M32" s="47"/>
    </row>
    <row r="33" spans="13:13">
      <c r="M33" s="47"/>
    </row>
    <row r="34" spans="13:13">
      <c r="M34" s="47"/>
    </row>
    <row r="35" spans="13:13">
      <c r="M35" s="47"/>
    </row>
    <row r="36" spans="13:13">
      <c r="M36" s="47"/>
    </row>
    <row r="37" spans="13:13">
      <c r="M37" s="47"/>
    </row>
    <row r="38" spans="13:13">
      <c r="M38" s="47"/>
    </row>
    <row r="39" spans="13:13">
      <c r="M39" s="47"/>
    </row>
    <row r="40" spans="13:13">
      <c r="M40" s="47"/>
    </row>
    <row r="41" spans="13:13">
      <c r="M41" s="47"/>
    </row>
    <row r="42" spans="13:13">
      <c r="M42" s="47"/>
    </row>
    <row r="43" spans="13:13">
      <c r="M43" s="47"/>
    </row>
    <row r="44" spans="13:13">
      <c r="M44" s="47"/>
    </row>
    <row r="45" spans="13:13">
      <c r="M45" s="47"/>
    </row>
    <row r="46" spans="13:13">
      <c r="M46" s="47"/>
    </row>
    <row r="47" spans="13:13">
      <c r="M47" s="47"/>
    </row>
    <row r="48" spans="13:13">
      <c r="M48" s="47"/>
    </row>
    <row r="49" spans="13:13">
      <c r="M49" s="47"/>
    </row>
    <row r="50" spans="13:13">
      <c r="M50" s="47"/>
    </row>
    <row r="51" spans="13:13">
      <c r="M51" s="47"/>
    </row>
    <row r="52" spans="13:13">
      <c r="M52" s="47"/>
    </row>
    <row r="53" spans="13:13">
      <c r="M53" s="47"/>
    </row>
    <row r="54" spans="13:13">
      <c r="M54" s="47"/>
    </row>
    <row r="55" spans="13:13">
      <c r="M55" s="47"/>
    </row>
    <row r="56" spans="13:13">
      <c r="M56" s="47"/>
    </row>
    <row r="57" spans="13:13">
      <c r="M57" s="47"/>
    </row>
    <row r="58" spans="13:13">
      <c r="M58" s="47"/>
    </row>
    <row r="59" spans="13:13">
      <c r="M59" s="47"/>
    </row>
    <row r="60" spans="13:13">
      <c r="M60" s="47"/>
    </row>
    <row r="61" spans="13:13">
      <c r="M61" s="47"/>
    </row>
    <row r="62" spans="13:13">
      <c r="M62" s="47"/>
    </row>
    <row r="63" spans="13:13">
      <c r="M63" s="47"/>
    </row>
    <row r="64" spans="13:13">
      <c r="M64" s="47"/>
    </row>
    <row r="65" spans="13:13">
      <c r="M65" s="47"/>
    </row>
    <row r="66" spans="13:13">
      <c r="M66" s="47"/>
    </row>
    <row r="67" spans="13:13">
      <c r="M67" s="47"/>
    </row>
    <row r="68" spans="13:13">
      <c r="M68" s="47"/>
    </row>
    <row r="69" spans="13:13">
      <c r="M69" s="47"/>
    </row>
    <row r="70" spans="13:13">
      <c r="M70" s="47"/>
    </row>
    <row r="71" spans="13:13">
      <c r="M71" s="47"/>
    </row>
    <row r="72" spans="13:13">
      <c r="M72" s="47"/>
    </row>
    <row r="73" spans="13:13">
      <c r="M73" s="47"/>
    </row>
    <row r="74" spans="13:13">
      <c r="M74" s="47"/>
    </row>
    <row r="75" spans="13:13">
      <c r="M75" s="47"/>
    </row>
    <row r="76" spans="13:13">
      <c r="M76" s="47"/>
    </row>
    <row r="77" spans="13:13">
      <c r="M77" s="47"/>
    </row>
    <row r="78" spans="13:13">
      <c r="M78" s="47"/>
    </row>
    <row r="79" spans="13:13">
      <c r="M79" s="47"/>
    </row>
    <row r="80" spans="13:13">
      <c r="M80" s="47"/>
    </row>
    <row r="81" spans="13:13">
      <c r="M81" s="47"/>
    </row>
    <row r="82" spans="13:13">
      <c r="M82" s="47"/>
    </row>
    <row r="83" spans="13:13">
      <c r="M83" s="47"/>
    </row>
    <row r="84" spans="13:13">
      <c r="M84" s="47"/>
    </row>
    <row r="85" spans="13:13">
      <c r="M85" s="47"/>
    </row>
    <row r="86" spans="13:13">
      <c r="M86" s="47"/>
    </row>
    <row r="87" spans="13:13">
      <c r="M87" s="47"/>
    </row>
    <row r="88" spans="13:13">
      <c r="M88" s="47"/>
    </row>
    <row r="89" spans="13:13">
      <c r="M89" s="47"/>
    </row>
    <row r="90" spans="13:13">
      <c r="M90" s="47"/>
    </row>
    <row r="91" spans="13:13">
      <c r="M91" s="47"/>
    </row>
    <row r="92" spans="13:13">
      <c r="M92" s="47"/>
    </row>
    <row r="93" spans="13:13">
      <c r="M93" s="47"/>
    </row>
    <row r="94" spans="13:13">
      <c r="M94" s="47"/>
    </row>
    <row r="95" spans="13:13">
      <c r="M95" s="47"/>
    </row>
  </sheetData>
  <dataValidations count="1">
    <dataValidation type="list" allowBlank="1" showInputMessage="1" showErrorMessage="1" sqref="N10:N11 JJ10:JJ11 TF10:TF11 ADB10:ADB11 AMX10:AMX11 AWT10:AWT11 BGP10:BGP11 BQL10:BQL11 CAH10:CAH11 CKD10:CKD11 CTZ10:CTZ11 DDV10:DDV11 DNR10:DNR11 DXN10:DXN11 EHJ10:EHJ11 ERF10:ERF11 FBB10:FBB11 FKX10:FKX11 FUT10:FUT11 GEP10:GEP11 GOL10:GOL11 GYH10:GYH11 HID10:HID11 HRZ10:HRZ11 IBV10:IBV11 ILR10:ILR11 IVN10:IVN11 JFJ10:JFJ11 JPF10:JPF11 JZB10:JZB11 KIX10:KIX11 KST10:KST11 LCP10:LCP11 LML10:LML11 LWH10:LWH11 MGD10:MGD11 MPZ10:MPZ11 MZV10:MZV11 NJR10:NJR11 NTN10:NTN11 ODJ10:ODJ11 ONF10:ONF11 OXB10:OXB11 PGX10:PGX11 PQT10:PQT11 QAP10:QAP11 QKL10:QKL11 QUH10:QUH11 RED10:RED11 RNZ10:RNZ11 RXV10:RXV11 SHR10:SHR11 SRN10:SRN11 TBJ10:TBJ11 TLF10:TLF11 TVB10:TVB11 UEX10:UEX11 UOT10:UOT11 UYP10:UYP11 VIL10:VIL11 VSH10:VSH11 WCD10:WCD11 WLZ10:WLZ11 WVV10:WVV11 N65546:N65547 JJ65546:JJ65547 TF65546:TF65547 ADB65546:ADB65547 AMX65546:AMX65547 AWT65546:AWT65547 BGP65546:BGP65547 BQL65546:BQL65547 CAH65546:CAH65547 CKD65546:CKD65547 CTZ65546:CTZ65547 DDV65546:DDV65547 DNR65546:DNR65547 DXN65546:DXN65547 EHJ65546:EHJ65547 ERF65546:ERF65547 FBB65546:FBB65547 FKX65546:FKX65547 FUT65546:FUT65547 GEP65546:GEP65547 GOL65546:GOL65547 GYH65546:GYH65547 HID65546:HID65547 HRZ65546:HRZ65547 IBV65546:IBV65547 ILR65546:ILR65547 IVN65546:IVN65547 JFJ65546:JFJ65547 JPF65546:JPF65547 JZB65546:JZB65547 KIX65546:KIX65547 KST65546:KST65547 LCP65546:LCP65547 LML65546:LML65547 LWH65546:LWH65547 MGD65546:MGD65547 MPZ65546:MPZ65547 MZV65546:MZV65547 NJR65546:NJR65547 NTN65546:NTN65547 ODJ65546:ODJ65547 ONF65546:ONF65547 OXB65546:OXB65547 PGX65546:PGX65547 PQT65546:PQT65547 QAP65546:QAP65547 QKL65546:QKL65547 QUH65546:QUH65547 RED65546:RED65547 RNZ65546:RNZ65547 RXV65546:RXV65547 SHR65546:SHR65547 SRN65546:SRN65547 TBJ65546:TBJ65547 TLF65546:TLF65547 TVB65546:TVB65547 UEX65546:UEX65547 UOT65546:UOT65547 UYP65546:UYP65547 VIL65546:VIL65547 VSH65546:VSH65547 WCD65546:WCD65547 WLZ65546:WLZ65547 WVV65546:WVV65547 N131082:N131083 JJ131082:JJ131083 TF131082:TF131083 ADB131082:ADB131083 AMX131082:AMX131083 AWT131082:AWT131083 BGP131082:BGP131083 BQL131082:BQL131083 CAH131082:CAH131083 CKD131082:CKD131083 CTZ131082:CTZ131083 DDV131082:DDV131083 DNR131082:DNR131083 DXN131082:DXN131083 EHJ131082:EHJ131083 ERF131082:ERF131083 FBB131082:FBB131083 FKX131082:FKX131083 FUT131082:FUT131083 GEP131082:GEP131083 GOL131082:GOL131083 GYH131082:GYH131083 HID131082:HID131083 HRZ131082:HRZ131083 IBV131082:IBV131083 ILR131082:ILR131083 IVN131082:IVN131083 JFJ131082:JFJ131083 JPF131082:JPF131083 JZB131082:JZB131083 KIX131082:KIX131083 KST131082:KST131083 LCP131082:LCP131083 LML131082:LML131083 LWH131082:LWH131083 MGD131082:MGD131083 MPZ131082:MPZ131083 MZV131082:MZV131083 NJR131082:NJR131083 NTN131082:NTN131083 ODJ131082:ODJ131083 ONF131082:ONF131083 OXB131082:OXB131083 PGX131082:PGX131083 PQT131082:PQT131083 QAP131082:QAP131083 QKL131082:QKL131083 QUH131082:QUH131083 RED131082:RED131083 RNZ131082:RNZ131083 RXV131082:RXV131083 SHR131082:SHR131083 SRN131082:SRN131083 TBJ131082:TBJ131083 TLF131082:TLF131083 TVB131082:TVB131083 UEX131082:UEX131083 UOT131082:UOT131083 UYP131082:UYP131083 VIL131082:VIL131083 VSH131082:VSH131083 WCD131082:WCD131083 WLZ131082:WLZ131083 WVV131082:WVV131083 N196618:N196619 JJ196618:JJ196619 TF196618:TF196619 ADB196618:ADB196619 AMX196618:AMX196619 AWT196618:AWT196619 BGP196618:BGP196619 BQL196618:BQL196619 CAH196618:CAH196619 CKD196618:CKD196619 CTZ196618:CTZ196619 DDV196618:DDV196619 DNR196618:DNR196619 DXN196618:DXN196619 EHJ196618:EHJ196619 ERF196618:ERF196619 FBB196618:FBB196619 FKX196618:FKX196619 FUT196618:FUT196619 GEP196618:GEP196619 GOL196618:GOL196619 GYH196618:GYH196619 HID196618:HID196619 HRZ196618:HRZ196619 IBV196618:IBV196619 ILR196618:ILR196619 IVN196618:IVN196619 JFJ196618:JFJ196619 JPF196618:JPF196619 JZB196618:JZB196619 KIX196618:KIX196619 KST196618:KST196619 LCP196618:LCP196619 LML196618:LML196619 LWH196618:LWH196619 MGD196618:MGD196619 MPZ196618:MPZ196619 MZV196618:MZV196619 NJR196618:NJR196619 NTN196618:NTN196619 ODJ196618:ODJ196619 ONF196618:ONF196619 OXB196618:OXB196619 PGX196618:PGX196619 PQT196618:PQT196619 QAP196618:QAP196619 QKL196618:QKL196619 QUH196618:QUH196619 RED196618:RED196619 RNZ196618:RNZ196619 RXV196618:RXV196619 SHR196618:SHR196619 SRN196618:SRN196619 TBJ196618:TBJ196619 TLF196618:TLF196619 TVB196618:TVB196619 UEX196618:UEX196619 UOT196618:UOT196619 UYP196618:UYP196619 VIL196618:VIL196619 VSH196618:VSH196619 WCD196618:WCD196619 WLZ196618:WLZ196619 WVV196618:WVV196619 N262154:N262155 JJ262154:JJ262155 TF262154:TF262155 ADB262154:ADB262155 AMX262154:AMX262155 AWT262154:AWT262155 BGP262154:BGP262155 BQL262154:BQL262155 CAH262154:CAH262155 CKD262154:CKD262155 CTZ262154:CTZ262155 DDV262154:DDV262155 DNR262154:DNR262155 DXN262154:DXN262155 EHJ262154:EHJ262155 ERF262154:ERF262155 FBB262154:FBB262155 FKX262154:FKX262155 FUT262154:FUT262155 GEP262154:GEP262155 GOL262154:GOL262155 GYH262154:GYH262155 HID262154:HID262155 HRZ262154:HRZ262155 IBV262154:IBV262155 ILR262154:ILR262155 IVN262154:IVN262155 JFJ262154:JFJ262155 JPF262154:JPF262155 JZB262154:JZB262155 KIX262154:KIX262155 KST262154:KST262155 LCP262154:LCP262155 LML262154:LML262155 LWH262154:LWH262155 MGD262154:MGD262155 MPZ262154:MPZ262155 MZV262154:MZV262155 NJR262154:NJR262155 NTN262154:NTN262155 ODJ262154:ODJ262155 ONF262154:ONF262155 OXB262154:OXB262155 PGX262154:PGX262155 PQT262154:PQT262155 QAP262154:QAP262155 QKL262154:QKL262155 QUH262154:QUH262155 RED262154:RED262155 RNZ262154:RNZ262155 RXV262154:RXV262155 SHR262154:SHR262155 SRN262154:SRN262155 TBJ262154:TBJ262155 TLF262154:TLF262155 TVB262154:TVB262155 UEX262154:UEX262155 UOT262154:UOT262155 UYP262154:UYP262155 VIL262154:VIL262155 VSH262154:VSH262155 WCD262154:WCD262155 WLZ262154:WLZ262155 WVV262154:WVV262155 N327690:N327691 JJ327690:JJ327691 TF327690:TF327691 ADB327690:ADB327691 AMX327690:AMX327691 AWT327690:AWT327691 BGP327690:BGP327691 BQL327690:BQL327691 CAH327690:CAH327691 CKD327690:CKD327691 CTZ327690:CTZ327691 DDV327690:DDV327691 DNR327690:DNR327691 DXN327690:DXN327691 EHJ327690:EHJ327691 ERF327690:ERF327691 FBB327690:FBB327691 FKX327690:FKX327691 FUT327690:FUT327691 GEP327690:GEP327691 GOL327690:GOL327691 GYH327690:GYH327691 HID327690:HID327691 HRZ327690:HRZ327691 IBV327690:IBV327691 ILR327690:ILR327691 IVN327690:IVN327691 JFJ327690:JFJ327691 JPF327690:JPF327691 JZB327690:JZB327691 KIX327690:KIX327691 KST327690:KST327691 LCP327690:LCP327691 LML327690:LML327691 LWH327690:LWH327691 MGD327690:MGD327691 MPZ327690:MPZ327691 MZV327690:MZV327691 NJR327690:NJR327691 NTN327690:NTN327691 ODJ327690:ODJ327691 ONF327690:ONF327691 OXB327690:OXB327691 PGX327690:PGX327691 PQT327690:PQT327691 QAP327690:QAP327691 QKL327690:QKL327691 QUH327690:QUH327691 RED327690:RED327691 RNZ327690:RNZ327691 RXV327690:RXV327691 SHR327690:SHR327691 SRN327690:SRN327691 TBJ327690:TBJ327691 TLF327690:TLF327691 TVB327690:TVB327691 UEX327690:UEX327691 UOT327690:UOT327691 UYP327690:UYP327691 VIL327690:VIL327691 VSH327690:VSH327691 WCD327690:WCD327691 WLZ327690:WLZ327691 WVV327690:WVV327691 N393226:N393227 JJ393226:JJ393227 TF393226:TF393227 ADB393226:ADB393227 AMX393226:AMX393227 AWT393226:AWT393227 BGP393226:BGP393227 BQL393226:BQL393227 CAH393226:CAH393227 CKD393226:CKD393227 CTZ393226:CTZ393227 DDV393226:DDV393227 DNR393226:DNR393227 DXN393226:DXN393227 EHJ393226:EHJ393227 ERF393226:ERF393227 FBB393226:FBB393227 FKX393226:FKX393227 FUT393226:FUT393227 GEP393226:GEP393227 GOL393226:GOL393227 GYH393226:GYH393227 HID393226:HID393227 HRZ393226:HRZ393227 IBV393226:IBV393227 ILR393226:ILR393227 IVN393226:IVN393227 JFJ393226:JFJ393227 JPF393226:JPF393227 JZB393226:JZB393227 KIX393226:KIX393227 KST393226:KST393227 LCP393226:LCP393227 LML393226:LML393227 LWH393226:LWH393227 MGD393226:MGD393227 MPZ393226:MPZ393227 MZV393226:MZV393227 NJR393226:NJR393227 NTN393226:NTN393227 ODJ393226:ODJ393227 ONF393226:ONF393227 OXB393226:OXB393227 PGX393226:PGX393227 PQT393226:PQT393227 QAP393226:QAP393227 QKL393226:QKL393227 QUH393226:QUH393227 RED393226:RED393227 RNZ393226:RNZ393227 RXV393226:RXV393227 SHR393226:SHR393227 SRN393226:SRN393227 TBJ393226:TBJ393227 TLF393226:TLF393227 TVB393226:TVB393227 UEX393226:UEX393227 UOT393226:UOT393227 UYP393226:UYP393227 VIL393226:VIL393227 VSH393226:VSH393227 WCD393226:WCD393227 WLZ393226:WLZ393227 WVV393226:WVV393227 N458762:N458763 JJ458762:JJ458763 TF458762:TF458763 ADB458762:ADB458763 AMX458762:AMX458763 AWT458762:AWT458763 BGP458762:BGP458763 BQL458762:BQL458763 CAH458762:CAH458763 CKD458762:CKD458763 CTZ458762:CTZ458763 DDV458762:DDV458763 DNR458762:DNR458763 DXN458762:DXN458763 EHJ458762:EHJ458763 ERF458762:ERF458763 FBB458762:FBB458763 FKX458762:FKX458763 FUT458762:FUT458763 GEP458762:GEP458763 GOL458762:GOL458763 GYH458762:GYH458763 HID458762:HID458763 HRZ458762:HRZ458763 IBV458762:IBV458763 ILR458762:ILR458763 IVN458762:IVN458763 JFJ458762:JFJ458763 JPF458762:JPF458763 JZB458762:JZB458763 KIX458762:KIX458763 KST458762:KST458763 LCP458762:LCP458763 LML458762:LML458763 LWH458762:LWH458763 MGD458762:MGD458763 MPZ458762:MPZ458763 MZV458762:MZV458763 NJR458762:NJR458763 NTN458762:NTN458763 ODJ458762:ODJ458763 ONF458762:ONF458763 OXB458762:OXB458763 PGX458762:PGX458763 PQT458762:PQT458763 QAP458762:QAP458763 QKL458762:QKL458763 QUH458762:QUH458763 RED458762:RED458763 RNZ458762:RNZ458763 RXV458762:RXV458763 SHR458762:SHR458763 SRN458762:SRN458763 TBJ458762:TBJ458763 TLF458762:TLF458763 TVB458762:TVB458763 UEX458762:UEX458763 UOT458762:UOT458763 UYP458762:UYP458763 VIL458762:VIL458763 VSH458762:VSH458763 WCD458762:WCD458763 WLZ458762:WLZ458763 WVV458762:WVV458763 N524298:N524299 JJ524298:JJ524299 TF524298:TF524299 ADB524298:ADB524299 AMX524298:AMX524299 AWT524298:AWT524299 BGP524298:BGP524299 BQL524298:BQL524299 CAH524298:CAH524299 CKD524298:CKD524299 CTZ524298:CTZ524299 DDV524298:DDV524299 DNR524298:DNR524299 DXN524298:DXN524299 EHJ524298:EHJ524299 ERF524298:ERF524299 FBB524298:FBB524299 FKX524298:FKX524299 FUT524298:FUT524299 GEP524298:GEP524299 GOL524298:GOL524299 GYH524298:GYH524299 HID524298:HID524299 HRZ524298:HRZ524299 IBV524298:IBV524299 ILR524298:ILR524299 IVN524298:IVN524299 JFJ524298:JFJ524299 JPF524298:JPF524299 JZB524298:JZB524299 KIX524298:KIX524299 KST524298:KST524299 LCP524298:LCP524299 LML524298:LML524299 LWH524298:LWH524299 MGD524298:MGD524299 MPZ524298:MPZ524299 MZV524298:MZV524299 NJR524298:NJR524299 NTN524298:NTN524299 ODJ524298:ODJ524299 ONF524298:ONF524299 OXB524298:OXB524299 PGX524298:PGX524299 PQT524298:PQT524299 QAP524298:QAP524299 QKL524298:QKL524299 QUH524298:QUH524299 RED524298:RED524299 RNZ524298:RNZ524299 RXV524298:RXV524299 SHR524298:SHR524299 SRN524298:SRN524299 TBJ524298:TBJ524299 TLF524298:TLF524299 TVB524298:TVB524299 UEX524298:UEX524299 UOT524298:UOT524299 UYP524298:UYP524299 VIL524298:VIL524299 VSH524298:VSH524299 WCD524298:WCD524299 WLZ524298:WLZ524299 WVV524298:WVV524299 N589834:N589835 JJ589834:JJ589835 TF589834:TF589835 ADB589834:ADB589835 AMX589834:AMX589835 AWT589834:AWT589835 BGP589834:BGP589835 BQL589834:BQL589835 CAH589834:CAH589835 CKD589834:CKD589835 CTZ589834:CTZ589835 DDV589834:DDV589835 DNR589834:DNR589835 DXN589834:DXN589835 EHJ589834:EHJ589835 ERF589834:ERF589835 FBB589834:FBB589835 FKX589834:FKX589835 FUT589834:FUT589835 GEP589834:GEP589835 GOL589834:GOL589835 GYH589834:GYH589835 HID589834:HID589835 HRZ589834:HRZ589835 IBV589834:IBV589835 ILR589834:ILR589835 IVN589834:IVN589835 JFJ589834:JFJ589835 JPF589834:JPF589835 JZB589834:JZB589835 KIX589834:KIX589835 KST589834:KST589835 LCP589834:LCP589835 LML589834:LML589835 LWH589834:LWH589835 MGD589834:MGD589835 MPZ589834:MPZ589835 MZV589834:MZV589835 NJR589834:NJR589835 NTN589834:NTN589835 ODJ589834:ODJ589835 ONF589834:ONF589835 OXB589834:OXB589835 PGX589834:PGX589835 PQT589834:PQT589835 QAP589834:QAP589835 QKL589834:QKL589835 QUH589834:QUH589835 RED589834:RED589835 RNZ589834:RNZ589835 RXV589834:RXV589835 SHR589834:SHR589835 SRN589834:SRN589835 TBJ589834:TBJ589835 TLF589834:TLF589835 TVB589834:TVB589835 UEX589834:UEX589835 UOT589834:UOT589835 UYP589834:UYP589835 VIL589834:VIL589835 VSH589834:VSH589835 WCD589834:WCD589835 WLZ589834:WLZ589835 WVV589834:WVV589835 N655370:N655371 JJ655370:JJ655371 TF655370:TF655371 ADB655370:ADB655371 AMX655370:AMX655371 AWT655370:AWT655371 BGP655370:BGP655371 BQL655370:BQL655371 CAH655370:CAH655371 CKD655370:CKD655371 CTZ655370:CTZ655371 DDV655370:DDV655371 DNR655370:DNR655371 DXN655370:DXN655371 EHJ655370:EHJ655371 ERF655370:ERF655371 FBB655370:FBB655371 FKX655370:FKX655371 FUT655370:FUT655371 GEP655370:GEP655371 GOL655370:GOL655371 GYH655370:GYH655371 HID655370:HID655371 HRZ655370:HRZ655371 IBV655370:IBV655371 ILR655370:ILR655371 IVN655370:IVN655371 JFJ655370:JFJ655371 JPF655370:JPF655371 JZB655370:JZB655371 KIX655370:KIX655371 KST655370:KST655371 LCP655370:LCP655371 LML655370:LML655371 LWH655370:LWH655371 MGD655370:MGD655371 MPZ655370:MPZ655371 MZV655370:MZV655371 NJR655370:NJR655371 NTN655370:NTN655371 ODJ655370:ODJ655371 ONF655370:ONF655371 OXB655370:OXB655371 PGX655370:PGX655371 PQT655370:PQT655371 QAP655370:QAP655371 QKL655370:QKL655371 QUH655370:QUH655371 RED655370:RED655371 RNZ655370:RNZ655371 RXV655370:RXV655371 SHR655370:SHR655371 SRN655370:SRN655371 TBJ655370:TBJ655371 TLF655370:TLF655371 TVB655370:TVB655371 UEX655370:UEX655371 UOT655370:UOT655371 UYP655370:UYP655371 VIL655370:VIL655371 VSH655370:VSH655371 WCD655370:WCD655371 WLZ655370:WLZ655371 WVV655370:WVV655371 N720906:N720907 JJ720906:JJ720907 TF720906:TF720907 ADB720906:ADB720907 AMX720906:AMX720907 AWT720906:AWT720907 BGP720906:BGP720907 BQL720906:BQL720907 CAH720906:CAH720907 CKD720906:CKD720907 CTZ720906:CTZ720907 DDV720906:DDV720907 DNR720906:DNR720907 DXN720906:DXN720907 EHJ720906:EHJ720907 ERF720906:ERF720907 FBB720906:FBB720907 FKX720906:FKX720907 FUT720906:FUT720907 GEP720906:GEP720907 GOL720906:GOL720907 GYH720906:GYH720907 HID720906:HID720907 HRZ720906:HRZ720907 IBV720906:IBV720907 ILR720906:ILR720907 IVN720906:IVN720907 JFJ720906:JFJ720907 JPF720906:JPF720907 JZB720906:JZB720907 KIX720906:KIX720907 KST720906:KST720907 LCP720906:LCP720907 LML720906:LML720907 LWH720906:LWH720907 MGD720906:MGD720907 MPZ720906:MPZ720907 MZV720906:MZV720907 NJR720906:NJR720907 NTN720906:NTN720907 ODJ720906:ODJ720907 ONF720906:ONF720907 OXB720906:OXB720907 PGX720906:PGX720907 PQT720906:PQT720907 QAP720906:QAP720907 QKL720906:QKL720907 QUH720906:QUH720907 RED720906:RED720907 RNZ720906:RNZ720907 RXV720906:RXV720907 SHR720906:SHR720907 SRN720906:SRN720907 TBJ720906:TBJ720907 TLF720906:TLF720907 TVB720906:TVB720907 UEX720906:UEX720907 UOT720906:UOT720907 UYP720906:UYP720907 VIL720906:VIL720907 VSH720906:VSH720907 WCD720906:WCD720907 WLZ720906:WLZ720907 WVV720906:WVV720907 N786442:N786443 JJ786442:JJ786443 TF786442:TF786443 ADB786442:ADB786443 AMX786442:AMX786443 AWT786442:AWT786443 BGP786442:BGP786443 BQL786442:BQL786443 CAH786442:CAH786443 CKD786442:CKD786443 CTZ786442:CTZ786443 DDV786442:DDV786443 DNR786442:DNR786443 DXN786442:DXN786443 EHJ786442:EHJ786443 ERF786442:ERF786443 FBB786442:FBB786443 FKX786442:FKX786443 FUT786442:FUT786443 GEP786442:GEP786443 GOL786442:GOL786443 GYH786442:GYH786443 HID786442:HID786443 HRZ786442:HRZ786443 IBV786442:IBV786443 ILR786442:ILR786443 IVN786442:IVN786443 JFJ786442:JFJ786443 JPF786442:JPF786443 JZB786442:JZB786443 KIX786442:KIX786443 KST786442:KST786443 LCP786442:LCP786443 LML786442:LML786443 LWH786442:LWH786443 MGD786442:MGD786443 MPZ786442:MPZ786443 MZV786442:MZV786443 NJR786442:NJR786443 NTN786442:NTN786443 ODJ786442:ODJ786443 ONF786442:ONF786443 OXB786442:OXB786443 PGX786442:PGX786443 PQT786442:PQT786443 QAP786442:QAP786443 QKL786442:QKL786443 QUH786442:QUH786443 RED786442:RED786443 RNZ786442:RNZ786443 RXV786442:RXV786443 SHR786442:SHR786443 SRN786442:SRN786443 TBJ786442:TBJ786443 TLF786442:TLF786443 TVB786442:TVB786443 UEX786442:UEX786443 UOT786442:UOT786443 UYP786442:UYP786443 VIL786442:VIL786443 VSH786442:VSH786443 WCD786442:WCD786443 WLZ786442:WLZ786443 WVV786442:WVV786443 N851978:N851979 JJ851978:JJ851979 TF851978:TF851979 ADB851978:ADB851979 AMX851978:AMX851979 AWT851978:AWT851979 BGP851978:BGP851979 BQL851978:BQL851979 CAH851978:CAH851979 CKD851978:CKD851979 CTZ851978:CTZ851979 DDV851978:DDV851979 DNR851978:DNR851979 DXN851978:DXN851979 EHJ851978:EHJ851979 ERF851978:ERF851979 FBB851978:FBB851979 FKX851978:FKX851979 FUT851978:FUT851979 GEP851978:GEP851979 GOL851978:GOL851979 GYH851978:GYH851979 HID851978:HID851979 HRZ851978:HRZ851979 IBV851978:IBV851979 ILR851978:ILR851979 IVN851978:IVN851979 JFJ851978:JFJ851979 JPF851978:JPF851979 JZB851978:JZB851979 KIX851978:KIX851979 KST851978:KST851979 LCP851978:LCP851979 LML851978:LML851979 LWH851978:LWH851979 MGD851978:MGD851979 MPZ851978:MPZ851979 MZV851978:MZV851979 NJR851978:NJR851979 NTN851978:NTN851979 ODJ851978:ODJ851979 ONF851978:ONF851979 OXB851978:OXB851979 PGX851978:PGX851979 PQT851978:PQT851979 QAP851978:QAP851979 QKL851978:QKL851979 QUH851978:QUH851979 RED851978:RED851979 RNZ851978:RNZ851979 RXV851978:RXV851979 SHR851978:SHR851979 SRN851978:SRN851979 TBJ851978:TBJ851979 TLF851978:TLF851979 TVB851978:TVB851979 UEX851978:UEX851979 UOT851978:UOT851979 UYP851978:UYP851979 VIL851978:VIL851979 VSH851978:VSH851979 WCD851978:WCD851979 WLZ851978:WLZ851979 WVV851978:WVV851979 N917514:N917515 JJ917514:JJ917515 TF917514:TF917515 ADB917514:ADB917515 AMX917514:AMX917515 AWT917514:AWT917515 BGP917514:BGP917515 BQL917514:BQL917515 CAH917514:CAH917515 CKD917514:CKD917515 CTZ917514:CTZ917515 DDV917514:DDV917515 DNR917514:DNR917515 DXN917514:DXN917515 EHJ917514:EHJ917515 ERF917514:ERF917515 FBB917514:FBB917515 FKX917514:FKX917515 FUT917514:FUT917515 GEP917514:GEP917515 GOL917514:GOL917515 GYH917514:GYH917515 HID917514:HID917515 HRZ917514:HRZ917515 IBV917514:IBV917515 ILR917514:ILR917515 IVN917514:IVN917515 JFJ917514:JFJ917515 JPF917514:JPF917515 JZB917514:JZB917515 KIX917514:KIX917515 KST917514:KST917515 LCP917514:LCP917515 LML917514:LML917515 LWH917514:LWH917515 MGD917514:MGD917515 MPZ917514:MPZ917515 MZV917514:MZV917515 NJR917514:NJR917515 NTN917514:NTN917515 ODJ917514:ODJ917515 ONF917514:ONF917515 OXB917514:OXB917515 PGX917514:PGX917515 PQT917514:PQT917515 QAP917514:QAP917515 QKL917514:QKL917515 QUH917514:QUH917515 RED917514:RED917515 RNZ917514:RNZ917515 RXV917514:RXV917515 SHR917514:SHR917515 SRN917514:SRN917515 TBJ917514:TBJ917515 TLF917514:TLF917515 TVB917514:TVB917515 UEX917514:UEX917515 UOT917514:UOT917515 UYP917514:UYP917515 VIL917514:VIL917515 VSH917514:VSH917515 WCD917514:WCD917515 WLZ917514:WLZ917515 WVV917514:WVV917515 N983050:N983051 JJ983050:JJ983051 TF983050:TF983051 ADB983050:ADB983051 AMX983050:AMX983051 AWT983050:AWT983051 BGP983050:BGP983051 BQL983050:BQL983051 CAH983050:CAH983051 CKD983050:CKD983051 CTZ983050:CTZ983051 DDV983050:DDV983051 DNR983050:DNR983051 DXN983050:DXN983051 EHJ983050:EHJ983051 ERF983050:ERF983051 FBB983050:FBB983051 FKX983050:FKX983051 FUT983050:FUT983051 GEP983050:GEP983051 GOL983050:GOL983051 GYH983050:GYH983051 HID983050:HID983051 HRZ983050:HRZ983051 IBV983050:IBV983051 ILR983050:ILR983051 IVN983050:IVN983051 JFJ983050:JFJ983051 JPF983050:JPF983051 JZB983050:JZB983051 KIX983050:KIX983051 KST983050:KST983051 LCP983050:LCP983051 LML983050:LML983051 LWH983050:LWH983051 MGD983050:MGD983051 MPZ983050:MPZ983051 MZV983050:MZV983051 NJR983050:NJR983051 NTN983050:NTN983051 ODJ983050:ODJ983051 ONF983050:ONF983051 OXB983050:OXB983051 PGX983050:PGX983051 PQT983050:PQT983051 QAP983050:QAP983051 QKL983050:QKL983051 QUH983050:QUH983051 RED983050:RED983051 RNZ983050:RNZ983051 RXV983050:RXV983051 SHR983050:SHR983051 SRN983050:SRN983051 TBJ983050:TBJ983051 TLF983050:TLF983051 TVB983050:TVB983051 UEX983050:UEX983051 UOT983050:UOT983051 UYP983050:UYP983051 VIL983050:VIL983051 VSH983050:VSH983051 WCD983050:WCD983051 WLZ983050:WLZ983051 WVV983050:WVV983051" xr:uid="{B0C2B9AE-BF71-44C4-86C0-68D4A1C0DD59}">
      <formula1>"Y,N"</formula1>
    </dataValidation>
  </dataValidations>
  <pageMargins left="0.75" right="0.75" top="1" bottom="1" header="0.5" footer="0.5"/>
  <headerFooter alignWithMargins="0">
    <oddHeader>&amp;L&amp;"Arial"&amp;9&amp;K0078D7 INTERNAL&amp;1#_x000D_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D66B-2F1F-4B6C-8148-5960A21EF637}">
  <sheetPr codeName="Sheet21"/>
  <dimension ref="A1:N95"/>
  <sheetViews>
    <sheetView workbookViewId="0">
      <selection activeCell="G22" sqref="G22"/>
    </sheetView>
  </sheetViews>
  <sheetFormatPr defaultRowHeight="10"/>
  <cols>
    <col min="1" max="1" width="29" style="43" customWidth="1"/>
    <col min="2" max="2" width="18.7265625" style="44" bestFit="1" customWidth="1"/>
    <col min="3" max="3" width="8.1796875" style="44" bestFit="1" customWidth="1"/>
    <col min="4" max="5" width="8.26953125" style="44" bestFit="1" customWidth="1"/>
    <col min="6" max="6" width="7.26953125" style="44" bestFit="1" customWidth="1"/>
    <col min="7" max="7" width="23.26953125" style="5" customWidth="1"/>
    <col min="8" max="8" width="17.1796875" style="46" bestFit="1" customWidth="1"/>
    <col min="9" max="9" width="23.26953125" style="46" customWidth="1"/>
    <col min="10" max="10" width="28.7265625" style="44" bestFit="1" customWidth="1"/>
    <col min="11" max="12" width="9.1796875" style="44"/>
    <col min="13" max="13" width="13.26953125" style="11" customWidth="1"/>
    <col min="14" max="256" width="9.1796875" style="11"/>
    <col min="257" max="257" width="29" style="11" customWidth="1"/>
    <col min="258" max="258" width="18.7265625" style="11" bestFit="1" customWidth="1"/>
    <col min="259" max="259" width="8.1796875" style="11" bestFit="1" customWidth="1"/>
    <col min="260" max="261" width="8.26953125" style="11" bestFit="1" customWidth="1"/>
    <col min="262" max="262" width="7.26953125" style="11" bestFit="1" customWidth="1"/>
    <col min="263" max="263" width="23.26953125" style="11" customWidth="1"/>
    <col min="264" max="264" width="17.1796875" style="11" bestFit="1" customWidth="1"/>
    <col min="265" max="265" width="23.26953125" style="11" customWidth="1"/>
    <col min="266" max="266" width="28.7265625" style="11" bestFit="1" customWidth="1"/>
    <col min="267" max="268" width="9.1796875" style="11"/>
    <col min="269" max="269" width="13.26953125" style="11" customWidth="1"/>
    <col min="270" max="512" width="9.1796875" style="11"/>
    <col min="513" max="513" width="29" style="11" customWidth="1"/>
    <col min="514" max="514" width="18.7265625" style="11" bestFit="1" customWidth="1"/>
    <col min="515" max="515" width="8.1796875" style="11" bestFit="1" customWidth="1"/>
    <col min="516" max="517" width="8.26953125" style="11" bestFit="1" customWidth="1"/>
    <col min="518" max="518" width="7.26953125" style="11" bestFit="1" customWidth="1"/>
    <col min="519" max="519" width="23.26953125" style="11" customWidth="1"/>
    <col min="520" max="520" width="17.1796875" style="11" bestFit="1" customWidth="1"/>
    <col min="521" max="521" width="23.26953125" style="11" customWidth="1"/>
    <col min="522" max="522" width="28.7265625" style="11" bestFit="1" customWidth="1"/>
    <col min="523" max="524" width="9.1796875" style="11"/>
    <col min="525" max="525" width="13.26953125" style="11" customWidth="1"/>
    <col min="526" max="768" width="9.1796875" style="11"/>
    <col min="769" max="769" width="29" style="11" customWidth="1"/>
    <col min="770" max="770" width="18.7265625" style="11" bestFit="1" customWidth="1"/>
    <col min="771" max="771" width="8.1796875" style="11" bestFit="1" customWidth="1"/>
    <col min="772" max="773" width="8.26953125" style="11" bestFit="1" customWidth="1"/>
    <col min="774" max="774" width="7.26953125" style="11" bestFit="1" customWidth="1"/>
    <col min="775" max="775" width="23.26953125" style="11" customWidth="1"/>
    <col min="776" max="776" width="17.1796875" style="11" bestFit="1" customWidth="1"/>
    <col min="777" max="777" width="23.26953125" style="11" customWidth="1"/>
    <col min="778" max="778" width="28.7265625" style="11" bestFit="1" customWidth="1"/>
    <col min="779" max="780" width="9.1796875" style="11"/>
    <col min="781" max="781" width="13.26953125" style="11" customWidth="1"/>
    <col min="782" max="1024" width="9.1796875" style="11"/>
    <col min="1025" max="1025" width="29" style="11" customWidth="1"/>
    <col min="1026" max="1026" width="18.7265625" style="11" bestFit="1" customWidth="1"/>
    <col min="1027" max="1027" width="8.1796875" style="11" bestFit="1" customWidth="1"/>
    <col min="1028" max="1029" width="8.26953125" style="11" bestFit="1" customWidth="1"/>
    <col min="1030" max="1030" width="7.26953125" style="11" bestFit="1" customWidth="1"/>
    <col min="1031" max="1031" width="23.26953125" style="11" customWidth="1"/>
    <col min="1032" max="1032" width="17.1796875" style="11" bestFit="1" customWidth="1"/>
    <col min="1033" max="1033" width="23.26953125" style="11" customWidth="1"/>
    <col min="1034" max="1034" width="28.7265625" style="11" bestFit="1" customWidth="1"/>
    <col min="1035" max="1036" width="9.1796875" style="11"/>
    <col min="1037" max="1037" width="13.26953125" style="11" customWidth="1"/>
    <col min="1038" max="1280" width="9.1796875" style="11"/>
    <col min="1281" max="1281" width="29" style="11" customWidth="1"/>
    <col min="1282" max="1282" width="18.7265625" style="11" bestFit="1" customWidth="1"/>
    <col min="1283" max="1283" width="8.1796875" style="11" bestFit="1" customWidth="1"/>
    <col min="1284" max="1285" width="8.26953125" style="11" bestFit="1" customWidth="1"/>
    <col min="1286" max="1286" width="7.26953125" style="11" bestFit="1" customWidth="1"/>
    <col min="1287" max="1287" width="23.26953125" style="11" customWidth="1"/>
    <col min="1288" max="1288" width="17.1796875" style="11" bestFit="1" customWidth="1"/>
    <col min="1289" max="1289" width="23.26953125" style="11" customWidth="1"/>
    <col min="1290" max="1290" width="28.7265625" style="11" bestFit="1" customWidth="1"/>
    <col min="1291" max="1292" width="9.1796875" style="11"/>
    <col min="1293" max="1293" width="13.26953125" style="11" customWidth="1"/>
    <col min="1294" max="1536" width="9.1796875" style="11"/>
    <col min="1537" max="1537" width="29" style="11" customWidth="1"/>
    <col min="1538" max="1538" width="18.7265625" style="11" bestFit="1" customWidth="1"/>
    <col min="1539" max="1539" width="8.1796875" style="11" bestFit="1" customWidth="1"/>
    <col min="1540" max="1541" width="8.26953125" style="11" bestFit="1" customWidth="1"/>
    <col min="1542" max="1542" width="7.26953125" style="11" bestFit="1" customWidth="1"/>
    <col min="1543" max="1543" width="23.26953125" style="11" customWidth="1"/>
    <col min="1544" max="1544" width="17.1796875" style="11" bestFit="1" customWidth="1"/>
    <col min="1545" max="1545" width="23.26953125" style="11" customWidth="1"/>
    <col min="1546" max="1546" width="28.7265625" style="11" bestFit="1" customWidth="1"/>
    <col min="1547" max="1548" width="9.1796875" style="11"/>
    <col min="1549" max="1549" width="13.26953125" style="11" customWidth="1"/>
    <col min="1550" max="1792" width="9.1796875" style="11"/>
    <col min="1793" max="1793" width="29" style="11" customWidth="1"/>
    <col min="1794" max="1794" width="18.7265625" style="11" bestFit="1" customWidth="1"/>
    <col min="1795" max="1795" width="8.1796875" style="11" bestFit="1" customWidth="1"/>
    <col min="1796" max="1797" width="8.26953125" style="11" bestFit="1" customWidth="1"/>
    <col min="1798" max="1798" width="7.26953125" style="11" bestFit="1" customWidth="1"/>
    <col min="1799" max="1799" width="23.26953125" style="11" customWidth="1"/>
    <col min="1800" max="1800" width="17.1796875" style="11" bestFit="1" customWidth="1"/>
    <col min="1801" max="1801" width="23.26953125" style="11" customWidth="1"/>
    <col min="1802" max="1802" width="28.7265625" style="11" bestFit="1" customWidth="1"/>
    <col min="1803" max="1804" width="9.1796875" style="11"/>
    <col min="1805" max="1805" width="13.26953125" style="11" customWidth="1"/>
    <col min="1806" max="2048" width="9.1796875" style="11"/>
    <col min="2049" max="2049" width="29" style="11" customWidth="1"/>
    <col min="2050" max="2050" width="18.7265625" style="11" bestFit="1" customWidth="1"/>
    <col min="2051" max="2051" width="8.1796875" style="11" bestFit="1" customWidth="1"/>
    <col min="2052" max="2053" width="8.26953125" style="11" bestFit="1" customWidth="1"/>
    <col min="2054" max="2054" width="7.26953125" style="11" bestFit="1" customWidth="1"/>
    <col min="2055" max="2055" width="23.26953125" style="11" customWidth="1"/>
    <col min="2056" max="2056" width="17.1796875" style="11" bestFit="1" customWidth="1"/>
    <col min="2057" max="2057" width="23.26953125" style="11" customWidth="1"/>
    <col min="2058" max="2058" width="28.7265625" style="11" bestFit="1" customWidth="1"/>
    <col min="2059" max="2060" width="9.1796875" style="11"/>
    <col min="2061" max="2061" width="13.26953125" style="11" customWidth="1"/>
    <col min="2062" max="2304" width="9.1796875" style="11"/>
    <col min="2305" max="2305" width="29" style="11" customWidth="1"/>
    <col min="2306" max="2306" width="18.7265625" style="11" bestFit="1" customWidth="1"/>
    <col min="2307" max="2307" width="8.1796875" style="11" bestFit="1" customWidth="1"/>
    <col min="2308" max="2309" width="8.26953125" style="11" bestFit="1" customWidth="1"/>
    <col min="2310" max="2310" width="7.26953125" style="11" bestFit="1" customWidth="1"/>
    <col min="2311" max="2311" width="23.26953125" style="11" customWidth="1"/>
    <col min="2312" max="2312" width="17.1796875" style="11" bestFit="1" customWidth="1"/>
    <col min="2313" max="2313" width="23.26953125" style="11" customWidth="1"/>
    <col min="2314" max="2314" width="28.7265625" style="11" bestFit="1" customWidth="1"/>
    <col min="2315" max="2316" width="9.1796875" style="11"/>
    <col min="2317" max="2317" width="13.26953125" style="11" customWidth="1"/>
    <col min="2318" max="2560" width="9.1796875" style="11"/>
    <col min="2561" max="2561" width="29" style="11" customWidth="1"/>
    <col min="2562" max="2562" width="18.7265625" style="11" bestFit="1" customWidth="1"/>
    <col min="2563" max="2563" width="8.1796875" style="11" bestFit="1" customWidth="1"/>
    <col min="2564" max="2565" width="8.26953125" style="11" bestFit="1" customWidth="1"/>
    <col min="2566" max="2566" width="7.26953125" style="11" bestFit="1" customWidth="1"/>
    <col min="2567" max="2567" width="23.26953125" style="11" customWidth="1"/>
    <col min="2568" max="2568" width="17.1796875" style="11" bestFit="1" customWidth="1"/>
    <col min="2569" max="2569" width="23.26953125" style="11" customWidth="1"/>
    <col min="2570" max="2570" width="28.7265625" style="11" bestFit="1" customWidth="1"/>
    <col min="2571" max="2572" width="9.1796875" style="11"/>
    <col min="2573" max="2573" width="13.26953125" style="11" customWidth="1"/>
    <col min="2574" max="2816" width="9.1796875" style="11"/>
    <col min="2817" max="2817" width="29" style="11" customWidth="1"/>
    <col min="2818" max="2818" width="18.7265625" style="11" bestFit="1" customWidth="1"/>
    <col min="2819" max="2819" width="8.1796875" style="11" bestFit="1" customWidth="1"/>
    <col min="2820" max="2821" width="8.26953125" style="11" bestFit="1" customWidth="1"/>
    <col min="2822" max="2822" width="7.26953125" style="11" bestFit="1" customWidth="1"/>
    <col min="2823" max="2823" width="23.26953125" style="11" customWidth="1"/>
    <col min="2824" max="2824" width="17.1796875" style="11" bestFit="1" customWidth="1"/>
    <col min="2825" max="2825" width="23.26953125" style="11" customWidth="1"/>
    <col min="2826" max="2826" width="28.7265625" style="11" bestFit="1" customWidth="1"/>
    <col min="2827" max="2828" width="9.1796875" style="11"/>
    <col min="2829" max="2829" width="13.26953125" style="11" customWidth="1"/>
    <col min="2830" max="3072" width="9.1796875" style="11"/>
    <col min="3073" max="3073" width="29" style="11" customWidth="1"/>
    <col min="3074" max="3074" width="18.7265625" style="11" bestFit="1" customWidth="1"/>
    <col min="3075" max="3075" width="8.1796875" style="11" bestFit="1" customWidth="1"/>
    <col min="3076" max="3077" width="8.26953125" style="11" bestFit="1" customWidth="1"/>
    <col min="3078" max="3078" width="7.26953125" style="11" bestFit="1" customWidth="1"/>
    <col min="3079" max="3079" width="23.26953125" style="11" customWidth="1"/>
    <col min="3080" max="3080" width="17.1796875" style="11" bestFit="1" customWidth="1"/>
    <col min="3081" max="3081" width="23.26953125" style="11" customWidth="1"/>
    <col min="3082" max="3082" width="28.7265625" style="11" bestFit="1" customWidth="1"/>
    <col min="3083" max="3084" width="9.1796875" style="11"/>
    <col min="3085" max="3085" width="13.26953125" style="11" customWidth="1"/>
    <col min="3086" max="3328" width="9.1796875" style="11"/>
    <col min="3329" max="3329" width="29" style="11" customWidth="1"/>
    <col min="3330" max="3330" width="18.7265625" style="11" bestFit="1" customWidth="1"/>
    <col min="3331" max="3331" width="8.1796875" style="11" bestFit="1" customWidth="1"/>
    <col min="3332" max="3333" width="8.26953125" style="11" bestFit="1" customWidth="1"/>
    <col min="3334" max="3334" width="7.26953125" style="11" bestFit="1" customWidth="1"/>
    <col min="3335" max="3335" width="23.26953125" style="11" customWidth="1"/>
    <col min="3336" max="3336" width="17.1796875" style="11" bestFit="1" customWidth="1"/>
    <col min="3337" max="3337" width="23.26953125" style="11" customWidth="1"/>
    <col min="3338" max="3338" width="28.7265625" style="11" bestFit="1" customWidth="1"/>
    <col min="3339" max="3340" width="9.1796875" style="11"/>
    <col min="3341" max="3341" width="13.26953125" style="11" customWidth="1"/>
    <col min="3342" max="3584" width="9.1796875" style="11"/>
    <col min="3585" max="3585" width="29" style="11" customWidth="1"/>
    <col min="3586" max="3586" width="18.7265625" style="11" bestFit="1" customWidth="1"/>
    <col min="3587" max="3587" width="8.1796875" style="11" bestFit="1" customWidth="1"/>
    <col min="3588" max="3589" width="8.26953125" style="11" bestFit="1" customWidth="1"/>
    <col min="3590" max="3590" width="7.26953125" style="11" bestFit="1" customWidth="1"/>
    <col min="3591" max="3591" width="23.26953125" style="11" customWidth="1"/>
    <col min="3592" max="3592" width="17.1796875" style="11" bestFit="1" customWidth="1"/>
    <col min="3593" max="3593" width="23.26953125" style="11" customWidth="1"/>
    <col min="3594" max="3594" width="28.7265625" style="11" bestFit="1" customWidth="1"/>
    <col min="3595" max="3596" width="9.1796875" style="11"/>
    <col min="3597" max="3597" width="13.26953125" style="11" customWidth="1"/>
    <col min="3598" max="3840" width="9.1796875" style="11"/>
    <col min="3841" max="3841" width="29" style="11" customWidth="1"/>
    <col min="3842" max="3842" width="18.7265625" style="11" bestFit="1" customWidth="1"/>
    <col min="3843" max="3843" width="8.1796875" style="11" bestFit="1" customWidth="1"/>
    <col min="3844" max="3845" width="8.26953125" style="11" bestFit="1" customWidth="1"/>
    <col min="3846" max="3846" width="7.26953125" style="11" bestFit="1" customWidth="1"/>
    <col min="3847" max="3847" width="23.26953125" style="11" customWidth="1"/>
    <col min="3848" max="3848" width="17.1796875" style="11" bestFit="1" customWidth="1"/>
    <col min="3849" max="3849" width="23.26953125" style="11" customWidth="1"/>
    <col min="3850" max="3850" width="28.7265625" style="11" bestFit="1" customWidth="1"/>
    <col min="3851" max="3852" width="9.1796875" style="11"/>
    <col min="3853" max="3853" width="13.26953125" style="11" customWidth="1"/>
    <col min="3854" max="4096" width="9.1796875" style="11"/>
    <col min="4097" max="4097" width="29" style="11" customWidth="1"/>
    <col min="4098" max="4098" width="18.7265625" style="11" bestFit="1" customWidth="1"/>
    <col min="4099" max="4099" width="8.1796875" style="11" bestFit="1" customWidth="1"/>
    <col min="4100" max="4101" width="8.26953125" style="11" bestFit="1" customWidth="1"/>
    <col min="4102" max="4102" width="7.26953125" style="11" bestFit="1" customWidth="1"/>
    <col min="4103" max="4103" width="23.26953125" style="11" customWidth="1"/>
    <col min="4104" max="4104" width="17.1796875" style="11" bestFit="1" customWidth="1"/>
    <col min="4105" max="4105" width="23.26953125" style="11" customWidth="1"/>
    <col min="4106" max="4106" width="28.7265625" style="11" bestFit="1" customWidth="1"/>
    <col min="4107" max="4108" width="9.1796875" style="11"/>
    <col min="4109" max="4109" width="13.26953125" style="11" customWidth="1"/>
    <col min="4110" max="4352" width="9.1796875" style="11"/>
    <col min="4353" max="4353" width="29" style="11" customWidth="1"/>
    <col min="4354" max="4354" width="18.7265625" style="11" bestFit="1" customWidth="1"/>
    <col min="4355" max="4355" width="8.1796875" style="11" bestFit="1" customWidth="1"/>
    <col min="4356" max="4357" width="8.26953125" style="11" bestFit="1" customWidth="1"/>
    <col min="4358" max="4358" width="7.26953125" style="11" bestFit="1" customWidth="1"/>
    <col min="4359" max="4359" width="23.26953125" style="11" customWidth="1"/>
    <col min="4360" max="4360" width="17.1796875" style="11" bestFit="1" customWidth="1"/>
    <col min="4361" max="4361" width="23.26953125" style="11" customWidth="1"/>
    <col min="4362" max="4362" width="28.7265625" style="11" bestFit="1" customWidth="1"/>
    <col min="4363" max="4364" width="9.1796875" style="11"/>
    <col min="4365" max="4365" width="13.26953125" style="11" customWidth="1"/>
    <col min="4366" max="4608" width="9.1796875" style="11"/>
    <col min="4609" max="4609" width="29" style="11" customWidth="1"/>
    <col min="4610" max="4610" width="18.7265625" style="11" bestFit="1" customWidth="1"/>
    <col min="4611" max="4611" width="8.1796875" style="11" bestFit="1" customWidth="1"/>
    <col min="4612" max="4613" width="8.26953125" style="11" bestFit="1" customWidth="1"/>
    <col min="4614" max="4614" width="7.26953125" style="11" bestFit="1" customWidth="1"/>
    <col min="4615" max="4615" width="23.26953125" style="11" customWidth="1"/>
    <col min="4616" max="4616" width="17.1796875" style="11" bestFit="1" customWidth="1"/>
    <col min="4617" max="4617" width="23.26953125" style="11" customWidth="1"/>
    <col min="4618" max="4618" width="28.7265625" style="11" bestFit="1" customWidth="1"/>
    <col min="4619" max="4620" width="9.1796875" style="11"/>
    <col min="4621" max="4621" width="13.26953125" style="11" customWidth="1"/>
    <col min="4622" max="4864" width="9.1796875" style="11"/>
    <col min="4865" max="4865" width="29" style="11" customWidth="1"/>
    <col min="4866" max="4866" width="18.7265625" style="11" bestFit="1" customWidth="1"/>
    <col min="4867" max="4867" width="8.1796875" style="11" bestFit="1" customWidth="1"/>
    <col min="4868" max="4869" width="8.26953125" style="11" bestFit="1" customWidth="1"/>
    <col min="4870" max="4870" width="7.26953125" style="11" bestFit="1" customWidth="1"/>
    <col min="4871" max="4871" width="23.26953125" style="11" customWidth="1"/>
    <col min="4872" max="4872" width="17.1796875" style="11" bestFit="1" customWidth="1"/>
    <col min="4873" max="4873" width="23.26953125" style="11" customWidth="1"/>
    <col min="4874" max="4874" width="28.7265625" style="11" bestFit="1" customWidth="1"/>
    <col min="4875" max="4876" width="9.1796875" style="11"/>
    <col min="4877" max="4877" width="13.26953125" style="11" customWidth="1"/>
    <col min="4878" max="5120" width="9.1796875" style="11"/>
    <col min="5121" max="5121" width="29" style="11" customWidth="1"/>
    <col min="5122" max="5122" width="18.7265625" style="11" bestFit="1" customWidth="1"/>
    <col min="5123" max="5123" width="8.1796875" style="11" bestFit="1" customWidth="1"/>
    <col min="5124" max="5125" width="8.26953125" style="11" bestFit="1" customWidth="1"/>
    <col min="5126" max="5126" width="7.26953125" style="11" bestFit="1" customWidth="1"/>
    <col min="5127" max="5127" width="23.26953125" style="11" customWidth="1"/>
    <col min="5128" max="5128" width="17.1796875" style="11" bestFit="1" customWidth="1"/>
    <col min="5129" max="5129" width="23.26953125" style="11" customWidth="1"/>
    <col min="5130" max="5130" width="28.7265625" style="11" bestFit="1" customWidth="1"/>
    <col min="5131" max="5132" width="9.1796875" style="11"/>
    <col min="5133" max="5133" width="13.26953125" style="11" customWidth="1"/>
    <col min="5134" max="5376" width="9.1796875" style="11"/>
    <col min="5377" max="5377" width="29" style="11" customWidth="1"/>
    <col min="5378" max="5378" width="18.7265625" style="11" bestFit="1" customWidth="1"/>
    <col min="5379" max="5379" width="8.1796875" style="11" bestFit="1" customWidth="1"/>
    <col min="5380" max="5381" width="8.26953125" style="11" bestFit="1" customWidth="1"/>
    <col min="5382" max="5382" width="7.26953125" style="11" bestFit="1" customWidth="1"/>
    <col min="5383" max="5383" width="23.26953125" style="11" customWidth="1"/>
    <col min="5384" max="5384" width="17.1796875" style="11" bestFit="1" customWidth="1"/>
    <col min="5385" max="5385" width="23.26953125" style="11" customWidth="1"/>
    <col min="5386" max="5386" width="28.7265625" style="11" bestFit="1" customWidth="1"/>
    <col min="5387" max="5388" width="9.1796875" style="11"/>
    <col min="5389" max="5389" width="13.26953125" style="11" customWidth="1"/>
    <col min="5390" max="5632" width="9.1796875" style="11"/>
    <col min="5633" max="5633" width="29" style="11" customWidth="1"/>
    <col min="5634" max="5634" width="18.7265625" style="11" bestFit="1" customWidth="1"/>
    <col min="5635" max="5635" width="8.1796875" style="11" bestFit="1" customWidth="1"/>
    <col min="5636" max="5637" width="8.26953125" style="11" bestFit="1" customWidth="1"/>
    <col min="5638" max="5638" width="7.26953125" style="11" bestFit="1" customWidth="1"/>
    <col min="5639" max="5639" width="23.26953125" style="11" customWidth="1"/>
    <col min="5640" max="5640" width="17.1796875" style="11" bestFit="1" customWidth="1"/>
    <col min="5641" max="5641" width="23.26953125" style="11" customWidth="1"/>
    <col min="5642" max="5642" width="28.7265625" style="11" bestFit="1" customWidth="1"/>
    <col min="5643" max="5644" width="9.1796875" style="11"/>
    <col min="5645" max="5645" width="13.26953125" style="11" customWidth="1"/>
    <col min="5646" max="5888" width="9.1796875" style="11"/>
    <col min="5889" max="5889" width="29" style="11" customWidth="1"/>
    <col min="5890" max="5890" width="18.7265625" style="11" bestFit="1" customWidth="1"/>
    <col min="5891" max="5891" width="8.1796875" style="11" bestFit="1" customWidth="1"/>
    <col min="5892" max="5893" width="8.26953125" style="11" bestFit="1" customWidth="1"/>
    <col min="5894" max="5894" width="7.26953125" style="11" bestFit="1" customWidth="1"/>
    <col min="5895" max="5895" width="23.26953125" style="11" customWidth="1"/>
    <col min="5896" max="5896" width="17.1796875" style="11" bestFit="1" customWidth="1"/>
    <col min="5897" max="5897" width="23.26953125" style="11" customWidth="1"/>
    <col min="5898" max="5898" width="28.7265625" style="11" bestFit="1" customWidth="1"/>
    <col min="5899" max="5900" width="9.1796875" style="11"/>
    <col min="5901" max="5901" width="13.26953125" style="11" customWidth="1"/>
    <col min="5902" max="6144" width="9.1796875" style="11"/>
    <col min="6145" max="6145" width="29" style="11" customWidth="1"/>
    <col min="6146" max="6146" width="18.7265625" style="11" bestFit="1" customWidth="1"/>
    <col min="6147" max="6147" width="8.1796875" style="11" bestFit="1" customWidth="1"/>
    <col min="6148" max="6149" width="8.26953125" style="11" bestFit="1" customWidth="1"/>
    <col min="6150" max="6150" width="7.26953125" style="11" bestFit="1" customWidth="1"/>
    <col min="6151" max="6151" width="23.26953125" style="11" customWidth="1"/>
    <col min="6152" max="6152" width="17.1796875" style="11" bestFit="1" customWidth="1"/>
    <col min="6153" max="6153" width="23.26953125" style="11" customWidth="1"/>
    <col min="6154" max="6154" width="28.7265625" style="11" bestFit="1" customWidth="1"/>
    <col min="6155" max="6156" width="9.1796875" style="11"/>
    <col min="6157" max="6157" width="13.26953125" style="11" customWidth="1"/>
    <col min="6158" max="6400" width="9.1796875" style="11"/>
    <col min="6401" max="6401" width="29" style="11" customWidth="1"/>
    <col min="6402" max="6402" width="18.7265625" style="11" bestFit="1" customWidth="1"/>
    <col min="6403" max="6403" width="8.1796875" style="11" bestFit="1" customWidth="1"/>
    <col min="6404" max="6405" width="8.26953125" style="11" bestFit="1" customWidth="1"/>
    <col min="6406" max="6406" width="7.26953125" style="11" bestFit="1" customWidth="1"/>
    <col min="6407" max="6407" width="23.26953125" style="11" customWidth="1"/>
    <col min="6408" max="6408" width="17.1796875" style="11" bestFit="1" customWidth="1"/>
    <col min="6409" max="6409" width="23.26953125" style="11" customWidth="1"/>
    <col min="6410" max="6410" width="28.7265625" style="11" bestFit="1" customWidth="1"/>
    <col min="6411" max="6412" width="9.1796875" style="11"/>
    <col min="6413" max="6413" width="13.26953125" style="11" customWidth="1"/>
    <col min="6414" max="6656" width="9.1796875" style="11"/>
    <col min="6657" max="6657" width="29" style="11" customWidth="1"/>
    <col min="6658" max="6658" width="18.7265625" style="11" bestFit="1" customWidth="1"/>
    <col min="6659" max="6659" width="8.1796875" style="11" bestFit="1" customWidth="1"/>
    <col min="6660" max="6661" width="8.26953125" style="11" bestFit="1" customWidth="1"/>
    <col min="6662" max="6662" width="7.26953125" style="11" bestFit="1" customWidth="1"/>
    <col min="6663" max="6663" width="23.26953125" style="11" customWidth="1"/>
    <col min="6664" max="6664" width="17.1796875" style="11" bestFit="1" customWidth="1"/>
    <col min="6665" max="6665" width="23.26953125" style="11" customWidth="1"/>
    <col min="6666" max="6666" width="28.7265625" style="11" bestFit="1" customWidth="1"/>
    <col min="6667" max="6668" width="9.1796875" style="11"/>
    <col min="6669" max="6669" width="13.26953125" style="11" customWidth="1"/>
    <col min="6670" max="6912" width="9.1796875" style="11"/>
    <col min="6913" max="6913" width="29" style="11" customWidth="1"/>
    <col min="6914" max="6914" width="18.7265625" style="11" bestFit="1" customWidth="1"/>
    <col min="6915" max="6915" width="8.1796875" style="11" bestFit="1" customWidth="1"/>
    <col min="6916" max="6917" width="8.26953125" style="11" bestFit="1" customWidth="1"/>
    <col min="6918" max="6918" width="7.26953125" style="11" bestFit="1" customWidth="1"/>
    <col min="6919" max="6919" width="23.26953125" style="11" customWidth="1"/>
    <col min="6920" max="6920" width="17.1796875" style="11" bestFit="1" customWidth="1"/>
    <col min="6921" max="6921" width="23.26953125" style="11" customWidth="1"/>
    <col min="6922" max="6922" width="28.7265625" style="11" bestFit="1" customWidth="1"/>
    <col min="6923" max="6924" width="9.1796875" style="11"/>
    <col min="6925" max="6925" width="13.26953125" style="11" customWidth="1"/>
    <col min="6926" max="7168" width="9.1796875" style="11"/>
    <col min="7169" max="7169" width="29" style="11" customWidth="1"/>
    <col min="7170" max="7170" width="18.7265625" style="11" bestFit="1" customWidth="1"/>
    <col min="7171" max="7171" width="8.1796875" style="11" bestFit="1" customWidth="1"/>
    <col min="7172" max="7173" width="8.26953125" style="11" bestFit="1" customWidth="1"/>
    <col min="7174" max="7174" width="7.26953125" style="11" bestFit="1" customWidth="1"/>
    <col min="7175" max="7175" width="23.26953125" style="11" customWidth="1"/>
    <col min="7176" max="7176" width="17.1796875" style="11" bestFit="1" customWidth="1"/>
    <col min="7177" max="7177" width="23.26953125" style="11" customWidth="1"/>
    <col min="7178" max="7178" width="28.7265625" style="11" bestFit="1" customWidth="1"/>
    <col min="7179" max="7180" width="9.1796875" style="11"/>
    <col min="7181" max="7181" width="13.26953125" style="11" customWidth="1"/>
    <col min="7182" max="7424" width="9.1796875" style="11"/>
    <col min="7425" max="7425" width="29" style="11" customWidth="1"/>
    <col min="7426" max="7426" width="18.7265625" style="11" bestFit="1" customWidth="1"/>
    <col min="7427" max="7427" width="8.1796875" style="11" bestFit="1" customWidth="1"/>
    <col min="7428" max="7429" width="8.26953125" style="11" bestFit="1" customWidth="1"/>
    <col min="7430" max="7430" width="7.26953125" style="11" bestFit="1" customWidth="1"/>
    <col min="7431" max="7431" width="23.26953125" style="11" customWidth="1"/>
    <col min="7432" max="7432" width="17.1796875" style="11" bestFit="1" customWidth="1"/>
    <col min="7433" max="7433" width="23.26953125" style="11" customWidth="1"/>
    <col min="7434" max="7434" width="28.7265625" style="11" bestFit="1" customWidth="1"/>
    <col min="7435" max="7436" width="9.1796875" style="11"/>
    <col min="7437" max="7437" width="13.26953125" style="11" customWidth="1"/>
    <col min="7438" max="7680" width="9.1796875" style="11"/>
    <col min="7681" max="7681" width="29" style="11" customWidth="1"/>
    <col min="7682" max="7682" width="18.7265625" style="11" bestFit="1" customWidth="1"/>
    <col min="7683" max="7683" width="8.1796875" style="11" bestFit="1" customWidth="1"/>
    <col min="7684" max="7685" width="8.26953125" style="11" bestFit="1" customWidth="1"/>
    <col min="7686" max="7686" width="7.26953125" style="11" bestFit="1" customWidth="1"/>
    <col min="7687" max="7687" width="23.26953125" style="11" customWidth="1"/>
    <col min="7688" max="7688" width="17.1796875" style="11" bestFit="1" customWidth="1"/>
    <col min="7689" max="7689" width="23.26953125" style="11" customWidth="1"/>
    <col min="7690" max="7690" width="28.7265625" style="11" bestFit="1" customWidth="1"/>
    <col min="7691" max="7692" width="9.1796875" style="11"/>
    <col min="7693" max="7693" width="13.26953125" style="11" customWidth="1"/>
    <col min="7694" max="7936" width="9.1796875" style="11"/>
    <col min="7937" max="7937" width="29" style="11" customWidth="1"/>
    <col min="7938" max="7938" width="18.7265625" style="11" bestFit="1" customWidth="1"/>
    <col min="7939" max="7939" width="8.1796875" style="11" bestFit="1" customWidth="1"/>
    <col min="7940" max="7941" width="8.26953125" style="11" bestFit="1" customWidth="1"/>
    <col min="7942" max="7942" width="7.26953125" style="11" bestFit="1" customWidth="1"/>
    <col min="7943" max="7943" width="23.26953125" style="11" customWidth="1"/>
    <col min="7944" max="7944" width="17.1796875" style="11" bestFit="1" customWidth="1"/>
    <col min="7945" max="7945" width="23.26953125" style="11" customWidth="1"/>
    <col min="7946" max="7946" width="28.7265625" style="11" bestFit="1" customWidth="1"/>
    <col min="7947" max="7948" width="9.1796875" style="11"/>
    <col min="7949" max="7949" width="13.26953125" style="11" customWidth="1"/>
    <col min="7950" max="8192" width="9.1796875" style="11"/>
    <col min="8193" max="8193" width="29" style="11" customWidth="1"/>
    <col min="8194" max="8194" width="18.7265625" style="11" bestFit="1" customWidth="1"/>
    <col min="8195" max="8195" width="8.1796875" style="11" bestFit="1" customWidth="1"/>
    <col min="8196" max="8197" width="8.26953125" style="11" bestFit="1" customWidth="1"/>
    <col min="8198" max="8198" width="7.26953125" style="11" bestFit="1" customWidth="1"/>
    <col min="8199" max="8199" width="23.26953125" style="11" customWidth="1"/>
    <col min="8200" max="8200" width="17.1796875" style="11" bestFit="1" customWidth="1"/>
    <col min="8201" max="8201" width="23.26953125" style="11" customWidth="1"/>
    <col min="8202" max="8202" width="28.7265625" style="11" bestFit="1" customWidth="1"/>
    <col min="8203" max="8204" width="9.1796875" style="11"/>
    <col min="8205" max="8205" width="13.26953125" style="11" customWidth="1"/>
    <col min="8206" max="8448" width="9.1796875" style="11"/>
    <col min="8449" max="8449" width="29" style="11" customWidth="1"/>
    <col min="8450" max="8450" width="18.7265625" style="11" bestFit="1" customWidth="1"/>
    <col min="8451" max="8451" width="8.1796875" style="11" bestFit="1" customWidth="1"/>
    <col min="8452" max="8453" width="8.26953125" style="11" bestFit="1" customWidth="1"/>
    <col min="8454" max="8454" width="7.26953125" style="11" bestFit="1" customWidth="1"/>
    <col min="8455" max="8455" width="23.26953125" style="11" customWidth="1"/>
    <col min="8456" max="8456" width="17.1796875" style="11" bestFit="1" customWidth="1"/>
    <col min="8457" max="8457" width="23.26953125" style="11" customWidth="1"/>
    <col min="8458" max="8458" width="28.7265625" style="11" bestFit="1" customWidth="1"/>
    <col min="8459" max="8460" width="9.1796875" style="11"/>
    <col min="8461" max="8461" width="13.26953125" style="11" customWidth="1"/>
    <col min="8462" max="8704" width="9.1796875" style="11"/>
    <col min="8705" max="8705" width="29" style="11" customWidth="1"/>
    <col min="8706" max="8706" width="18.7265625" style="11" bestFit="1" customWidth="1"/>
    <col min="8707" max="8707" width="8.1796875" style="11" bestFit="1" customWidth="1"/>
    <col min="8708" max="8709" width="8.26953125" style="11" bestFit="1" customWidth="1"/>
    <col min="8710" max="8710" width="7.26953125" style="11" bestFit="1" customWidth="1"/>
    <col min="8711" max="8711" width="23.26953125" style="11" customWidth="1"/>
    <col min="8712" max="8712" width="17.1796875" style="11" bestFit="1" customWidth="1"/>
    <col min="8713" max="8713" width="23.26953125" style="11" customWidth="1"/>
    <col min="8714" max="8714" width="28.7265625" style="11" bestFit="1" customWidth="1"/>
    <col min="8715" max="8716" width="9.1796875" style="11"/>
    <col min="8717" max="8717" width="13.26953125" style="11" customWidth="1"/>
    <col min="8718" max="8960" width="9.1796875" style="11"/>
    <col min="8961" max="8961" width="29" style="11" customWidth="1"/>
    <col min="8962" max="8962" width="18.7265625" style="11" bestFit="1" customWidth="1"/>
    <col min="8963" max="8963" width="8.1796875" style="11" bestFit="1" customWidth="1"/>
    <col min="8964" max="8965" width="8.26953125" style="11" bestFit="1" customWidth="1"/>
    <col min="8966" max="8966" width="7.26953125" style="11" bestFit="1" customWidth="1"/>
    <col min="8967" max="8967" width="23.26953125" style="11" customWidth="1"/>
    <col min="8968" max="8968" width="17.1796875" style="11" bestFit="1" customWidth="1"/>
    <col min="8969" max="8969" width="23.26953125" style="11" customWidth="1"/>
    <col min="8970" max="8970" width="28.7265625" style="11" bestFit="1" customWidth="1"/>
    <col min="8971" max="8972" width="9.1796875" style="11"/>
    <col min="8973" max="8973" width="13.26953125" style="11" customWidth="1"/>
    <col min="8974" max="9216" width="9.1796875" style="11"/>
    <col min="9217" max="9217" width="29" style="11" customWidth="1"/>
    <col min="9218" max="9218" width="18.7265625" style="11" bestFit="1" customWidth="1"/>
    <col min="9219" max="9219" width="8.1796875" style="11" bestFit="1" customWidth="1"/>
    <col min="9220" max="9221" width="8.26953125" style="11" bestFit="1" customWidth="1"/>
    <col min="9222" max="9222" width="7.26953125" style="11" bestFit="1" customWidth="1"/>
    <col min="9223" max="9223" width="23.26953125" style="11" customWidth="1"/>
    <col min="9224" max="9224" width="17.1796875" style="11" bestFit="1" customWidth="1"/>
    <col min="9225" max="9225" width="23.26953125" style="11" customWidth="1"/>
    <col min="9226" max="9226" width="28.7265625" style="11" bestFit="1" customWidth="1"/>
    <col min="9227" max="9228" width="9.1796875" style="11"/>
    <col min="9229" max="9229" width="13.26953125" style="11" customWidth="1"/>
    <col min="9230" max="9472" width="9.1796875" style="11"/>
    <col min="9473" max="9473" width="29" style="11" customWidth="1"/>
    <col min="9474" max="9474" width="18.7265625" style="11" bestFit="1" customWidth="1"/>
    <col min="9475" max="9475" width="8.1796875" style="11" bestFit="1" customWidth="1"/>
    <col min="9476" max="9477" width="8.26953125" style="11" bestFit="1" customWidth="1"/>
    <col min="9478" max="9478" width="7.26953125" style="11" bestFit="1" customWidth="1"/>
    <col min="9479" max="9479" width="23.26953125" style="11" customWidth="1"/>
    <col min="9480" max="9480" width="17.1796875" style="11" bestFit="1" customWidth="1"/>
    <col min="9481" max="9481" width="23.26953125" style="11" customWidth="1"/>
    <col min="9482" max="9482" width="28.7265625" style="11" bestFit="1" customWidth="1"/>
    <col min="9483" max="9484" width="9.1796875" style="11"/>
    <col min="9485" max="9485" width="13.26953125" style="11" customWidth="1"/>
    <col min="9486" max="9728" width="9.1796875" style="11"/>
    <col min="9729" max="9729" width="29" style="11" customWidth="1"/>
    <col min="9730" max="9730" width="18.7265625" style="11" bestFit="1" customWidth="1"/>
    <col min="9731" max="9731" width="8.1796875" style="11" bestFit="1" customWidth="1"/>
    <col min="9732" max="9733" width="8.26953125" style="11" bestFit="1" customWidth="1"/>
    <col min="9734" max="9734" width="7.26953125" style="11" bestFit="1" customWidth="1"/>
    <col min="9735" max="9735" width="23.26953125" style="11" customWidth="1"/>
    <col min="9736" max="9736" width="17.1796875" style="11" bestFit="1" customWidth="1"/>
    <col min="9737" max="9737" width="23.26953125" style="11" customWidth="1"/>
    <col min="9738" max="9738" width="28.7265625" style="11" bestFit="1" customWidth="1"/>
    <col min="9739" max="9740" width="9.1796875" style="11"/>
    <col min="9741" max="9741" width="13.26953125" style="11" customWidth="1"/>
    <col min="9742" max="9984" width="9.1796875" style="11"/>
    <col min="9985" max="9985" width="29" style="11" customWidth="1"/>
    <col min="9986" max="9986" width="18.7265625" style="11" bestFit="1" customWidth="1"/>
    <col min="9987" max="9987" width="8.1796875" style="11" bestFit="1" customWidth="1"/>
    <col min="9988" max="9989" width="8.26953125" style="11" bestFit="1" customWidth="1"/>
    <col min="9990" max="9990" width="7.26953125" style="11" bestFit="1" customWidth="1"/>
    <col min="9991" max="9991" width="23.26953125" style="11" customWidth="1"/>
    <col min="9992" max="9992" width="17.1796875" style="11" bestFit="1" customWidth="1"/>
    <col min="9993" max="9993" width="23.26953125" style="11" customWidth="1"/>
    <col min="9994" max="9994" width="28.7265625" style="11" bestFit="1" customWidth="1"/>
    <col min="9995" max="9996" width="9.1796875" style="11"/>
    <col min="9997" max="9997" width="13.26953125" style="11" customWidth="1"/>
    <col min="9998" max="10240" width="9.1796875" style="11"/>
    <col min="10241" max="10241" width="29" style="11" customWidth="1"/>
    <col min="10242" max="10242" width="18.7265625" style="11" bestFit="1" customWidth="1"/>
    <col min="10243" max="10243" width="8.1796875" style="11" bestFit="1" customWidth="1"/>
    <col min="10244" max="10245" width="8.26953125" style="11" bestFit="1" customWidth="1"/>
    <col min="10246" max="10246" width="7.26953125" style="11" bestFit="1" customWidth="1"/>
    <col min="10247" max="10247" width="23.26953125" style="11" customWidth="1"/>
    <col min="10248" max="10248" width="17.1796875" style="11" bestFit="1" customWidth="1"/>
    <col min="10249" max="10249" width="23.26953125" style="11" customWidth="1"/>
    <col min="10250" max="10250" width="28.7265625" style="11" bestFit="1" customWidth="1"/>
    <col min="10251" max="10252" width="9.1796875" style="11"/>
    <col min="10253" max="10253" width="13.26953125" style="11" customWidth="1"/>
    <col min="10254" max="10496" width="9.1796875" style="11"/>
    <col min="10497" max="10497" width="29" style="11" customWidth="1"/>
    <col min="10498" max="10498" width="18.7265625" style="11" bestFit="1" customWidth="1"/>
    <col min="10499" max="10499" width="8.1796875" style="11" bestFit="1" customWidth="1"/>
    <col min="10500" max="10501" width="8.26953125" style="11" bestFit="1" customWidth="1"/>
    <col min="10502" max="10502" width="7.26953125" style="11" bestFit="1" customWidth="1"/>
    <col min="10503" max="10503" width="23.26953125" style="11" customWidth="1"/>
    <col min="10504" max="10504" width="17.1796875" style="11" bestFit="1" customWidth="1"/>
    <col min="10505" max="10505" width="23.26953125" style="11" customWidth="1"/>
    <col min="10506" max="10506" width="28.7265625" style="11" bestFit="1" customWidth="1"/>
    <col min="10507" max="10508" width="9.1796875" style="11"/>
    <col min="10509" max="10509" width="13.26953125" style="11" customWidth="1"/>
    <col min="10510" max="10752" width="9.1796875" style="11"/>
    <col min="10753" max="10753" width="29" style="11" customWidth="1"/>
    <col min="10754" max="10754" width="18.7265625" style="11" bestFit="1" customWidth="1"/>
    <col min="10755" max="10755" width="8.1796875" style="11" bestFit="1" customWidth="1"/>
    <col min="10756" max="10757" width="8.26953125" style="11" bestFit="1" customWidth="1"/>
    <col min="10758" max="10758" width="7.26953125" style="11" bestFit="1" customWidth="1"/>
    <col min="10759" max="10759" width="23.26953125" style="11" customWidth="1"/>
    <col min="10760" max="10760" width="17.1796875" style="11" bestFit="1" customWidth="1"/>
    <col min="10761" max="10761" width="23.26953125" style="11" customWidth="1"/>
    <col min="10762" max="10762" width="28.7265625" style="11" bestFit="1" customWidth="1"/>
    <col min="10763" max="10764" width="9.1796875" style="11"/>
    <col min="10765" max="10765" width="13.26953125" style="11" customWidth="1"/>
    <col min="10766" max="11008" width="9.1796875" style="11"/>
    <col min="11009" max="11009" width="29" style="11" customWidth="1"/>
    <col min="11010" max="11010" width="18.7265625" style="11" bestFit="1" customWidth="1"/>
    <col min="11011" max="11011" width="8.1796875" style="11" bestFit="1" customWidth="1"/>
    <col min="11012" max="11013" width="8.26953125" style="11" bestFit="1" customWidth="1"/>
    <col min="11014" max="11014" width="7.26953125" style="11" bestFit="1" customWidth="1"/>
    <col min="11015" max="11015" width="23.26953125" style="11" customWidth="1"/>
    <col min="11016" max="11016" width="17.1796875" style="11" bestFit="1" customWidth="1"/>
    <col min="11017" max="11017" width="23.26953125" style="11" customWidth="1"/>
    <col min="11018" max="11018" width="28.7265625" style="11" bestFit="1" customWidth="1"/>
    <col min="11019" max="11020" width="9.1796875" style="11"/>
    <col min="11021" max="11021" width="13.26953125" style="11" customWidth="1"/>
    <col min="11022" max="11264" width="9.1796875" style="11"/>
    <col min="11265" max="11265" width="29" style="11" customWidth="1"/>
    <col min="11266" max="11266" width="18.7265625" style="11" bestFit="1" customWidth="1"/>
    <col min="11267" max="11267" width="8.1796875" style="11" bestFit="1" customWidth="1"/>
    <col min="11268" max="11269" width="8.26953125" style="11" bestFit="1" customWidth="1"/>
    <col min="11270" max="11270" width="7.26953125" style="11" bestFit="1" customWidth="1"/>
    <col min="11271" max="11271" width="23.26953125" style="11" customWidth="1"/>
    <col min="11272" max="11272" width="17.1796875" style="11" bestFit="1" customWidth="1"/>
    <col min="11273" max="11273" width="23.26953125" style="11" customWidth="1"/>
    <col min="11274" max="11274" width="28.7265625" style="11" bestFit="1" customWidth="1"/>
    <col min="11275" max="11276" width="9.1796875" style="11"/>
    <col min="11277" max="11277" width="13.26953125" style="11" customWidth="1"/>
    <col min="11278" max="11520" width="9.1796875" style="11"/>
    <col min="11521" max="11521" width="29" style="11" customWidth="1"/>
    <col min="11522" max="11522" width="18.7265625" style="11" bestFit="1" customWidth="1"/>
    <col min="11523" max="11523" width="8.1796875" style="11" bestFit="1" customWidth="1"/>
    <col min="11524" max="11525" width="8.26953125" style="11" bestFit="1" customWidth="1"/>
    <col min="11526" max="11526" width="7.26953125" style="11" bestFit="1" customWidth="1"/>
    <col min="11527" max="11527" width="23.26953125" style="11" customWidth="1"/>
    <col min="11528" max="11528" width="17.1796875" style="11" bestFit="1" customWidth="1"/>
    <col min="11529" max="11529" width="23.26953125" style="11" customWidth="1"/>
    <col min="11530" max="11530" width="28.7265625" style="11" bestFit="1" customWidth="1"/>
    <col min="11531" max="11532" width="9.1796875" style="11"/>
    <col min="11533" max="11533" width="13.26953125" style="11" customWidth="1"/>
    <col min="11534" max="11776" width="9.1796875" style="11"/>
    <col min="11777" max="11777" width="29" style="11" customWidth="1"/>
    <col min="11778" max="11778" width="18.7265625" style="11" bestFit="1" customWidth="1"/>
    <col min="11779" max="11779" width="8.1796875" style="11" bestFit="1" customWidth="1"/>
    <col min="11780" max="11781" width="8.26953125" style="11" bestFit="1" customWidth="1"/>
    <col min="11782" max="11782" width="7.26953125" style="11" bestFit="1" customWidth="1"/>
    <col min="11783" max="11783" width="23.26953125" style="11" customWidth="1"/>
    <col min="11784" max="11784" width="17.1796875" style="11" bestFit="1" customWidth="1"/>
    <col min="11785" max="11785" width="23.26953125" style="11" customWidth="1"/>
    <col min="11786" max="11786" width="28.7265625" style="11" bestFit="1" customWidth="1"/>
    <col min="11787" max="11788" width="9.1796875" style="11"/>
    <col min="11789" max="11789" width="13.26953125" style="11" customWidth="1"/>
    <col min="11790" max="12032" width="9.1796875" style="11"/>
    <col min="12033" max="12033" width="29" style="11" customWidth="1"/>
    <col min="12034" max="12034" width="18.7265625" style="11" bestFit="1" customWidth="1"/>
    <col min="12035" max="12035" width="8.1796875" style="11" bestFit="1" customWidth="1"/>
    <col min="12036" max="12037" width="8.26953125" style="11" bestFit="1" customWidth="1"/>
    <col min="12038" max="12038" width="7.26953125" style="11" bestFit="1" customWidth="1"/>
    <col min="12039" max="12039" width="23.26953125" style="11" customWidth="1"/>
    <col min="12040" max="12040" width="17.1796875" style="11" bestFit="1" customWidth="1"/>
    <col min="12041" max="12041" width="23.26953125" style="11" customWidth="1"/>
    <col min="12042" max="12042" width="28.7265625" style="11" bestFit="1" customWidth="1"/>
    <col min="12043" max="12044" width="9.1796875" style="11"/>
    <col min="12045" max="12045" width="13.26953125" style="11" customWidth="1"/>
    <col min="12046" max="12288" width="9.1796875" style="11"/>
    <col min="12289" max="12289" width="29" style="11" customWidth="1"/>
    <col min="12290" max="12290" width="18.7265625" style="11" bestFit="1" customWidth="1"/>
    <col min="12291" max="12291" width="8.1796875" style="11" bestFit="1" customWidth="1"/>
    <col min="12292" max="12293" width="8.26953125" style="11" bestFit="1" customWidth="1"/>
    <col min="12294" max="12294" width="7.26953125" style="11" bestFit="1" customWidth="1"/>
    <col min="12295" max="12295" width="23.26953125" style="11" customWidth="1"/>
    <col min="12296" max="12296" width="17.1796875" style="11" bestFit="1" customWidth="1"/>
    <col min="12297" max="12297" width="23.26953125" style="11" customWidth="1"/>
    <col min="12298" max="12298" width="28.7265625" style="11" bestFit="1" customWidth="1"/>
    <col min="12299" max="12300" width="9.1796875" style="11"/>
    <col min="12301" max="12301" width="13.26953125" style="11" customWidth="1"/>
    <col min="12302" max="12544" width="9.1796875" style="11"/>
    <col min="12545" max="12545" width="29" style="11" customWidth="1"/>
    <col min="12546" max="12546" width="18.7265625" style="11" bestFit="1" customWidth="1"/>
    <col min="12547" max="12547" width="8.1796875" style="11" bestFit="1" customWidth="1"/>
    <col min="12548" max="12549" width="8.26953125" style="11" bestFit="1" customWidth="1"/>
    <col min="12550" max="12550" width="7.26953125" style="11" bestFit="1" customWidth="1"/>
    <col min="12551" max="12551" width="23.26953125" style="11" customWidth="1"/>
    <col min="12552" max="12552" width="17.1796875" style="11" bestFit="1" customWidth="1"/>
    <col min="12553" max="12553" width="23.26953125" style="11" customWidth="1"/>
    <col min="12554" max="12554" width="28.7265625" style="11" bestFit="1" customWidth="1"/>
    <col min="12555" max="12556" width="9.1796875" style="11"/>
    <col min="12557" max="12557" width="13.26953125" style="11" customWidth="1"/>
    <col min="12558" max="12800" width="9.1796875" style="11"/>
    <col min="12801" max="12801" width="29" style="11" customWidth="1"/>
    <col min="12802" max="12802" width="18.7265625" style="11" bestFit="1" customWidth="1"/>
    <col min="12803" max="12803" width="8.1796875" style="11" bestFit="1" customWidth="1"/>
    <col min="12804" max="12805" width="8.26953125" style="11" bestFit="1" customWidth="1"/>
    <col min="12806" max="12806" width="7.26953125" style="11" bestFit="1" customWidth="1"/>
    <col min="12807" max="12807" width="23.26953125" style="11" customWidth="1"/>
    <col min="12808" max="12808" width="17.1796875" style="11" bestFit="1" customWidth="1"/>
    <col min="12809" max="12809" width="23.26953125" style="11" customWidth="1"/>
    <col min="12810" max="12810" width="28.7265625" style="11" bestFit="1" customWidth="1"/>
    <col min="12811" max="12812" width="9.1796875" style="11"/>
    <col min="12813" max="12813" width="13.26953125" style="11" customWidth="1"/>
    <col min="12814" max="13056" width="9.1796875" style="11"/>
    <col min="13057" max="13057" width="29" style="11" customWidth="1"/>
    <col min="13058" max="13058" width="18.7265625" style="11" bestFit="1" customWidth="1"/>
    <col min="13059" max="13059" width="8.1796875" style="11" bestFit="1" customWidth="1"/>
    <col min="13060" max="13061" width="8.26953125" style="11" bestFit="1" customWidth="1"/>
    <col min="13062" max="13062" width="7.26953125" style="11" bestFit="1" customWidth="1"/>
    <col min="13063" max="13063" width="23.26953125" style="11" customWidth="1"/>
    <col min="13064" max="13064" width="17.1796875" style="11" bestFit="1" customWidth="1"/>
    <col min="13065" max="13065" width="23.26953125" style="11" customWidth="1"/>
    <col min="13066" max="13066" width="28.7265625" style="11" bestFit="1" customWidth="1"/>
    <col min="13067" max="13068" width="9.1796875" style="11"/>
    <col min="13069" max="13069" width="13.26953125" style="11" customWidth="1"/>
    <col min="13070" max="13312" width="9.1796875" style="11"/>
    <col min="13313" max="13313" width="29" style="11" customWidth="1"/>
    <col min="13314" max="13314" width="18.7265625" style="11" bestFit="1" customWidth="1"/>
    <col min="13315" max="13315" width="8.1796875" style="11" bestFit="1" customWidth="1"/>
    <col min="13316" max="13317" width="8.26953125" style="11" bestFit="1" customWidth="1"/>
    <col min="13318" max="13318" width="7.26953125" style="11" bestFit="1" customWidth="1"/>
    <col min="13319" max="13319" width="23.26953125" style="11" customWidth="1"/>
    <col min="13320" max="13320" width="17.1796875" style="11" bestFit="1" customWidth="1"/>
    <col min="13321" max="13321" width="23.26953125" style="11" customWidth="1"/>
    <col min="13322" max="13322" width="28.7265625" style="11" bestFit="1" customWidth="1"/>
    <col min="13323" max="13324" width="9.1796875" style="11"/>
    <col min="13325" max="13325" width="13.26953125" style="11" customWidth="1"/>
    <col min="13326" max="13568" width="9.1796875" style="11"/>
    <col min="13569" max="13569" width="29" style="11" customWidth="1"/>
    <col min="13570" max="13570" width="18.7265625" style="11" bestFit="1" customWidth="1"/>
    <col min="13571" max="13571" width="8.1796875" style="11" bestFit="1" customWidth="1"/>
    <col min="13572" max="13573" width="8.26953125" style="11" bestFit="1" customWidth="1"/>
    <col min="13574" max="13574" width="7.26953125" style="11" bestFit="1" customWidth="1"/>
    <col min="13575" max="13575" width="23.26953125" style="11" customWidth="1"/>
    <col min="13576" max="13576" width="17.1796875" style="11" bestFit="1" customWidth="1"/>
    <col min="13577" max="13577" width="23.26953125" style="11" customWidth="1"/>
    <col min="13578" max="13578" width="28.7265625" style="11" bestFit="1" customWidth="1"/>
    <col min="13579" max="13580" width="9.1796875" style="11"/>
    <col min="13581" max="13581" width="13.26953125" style="11" customWidth="1"/>
    <col min="13582" max="13824" width="9.1796875" style="11"/>
    <col min="13825" max="13825" width="29" style="11" customWidth="1"/>
    <col min="13826" max="13826" width="18.7265625" style="11" bestFit="1" customWidth="1"/>
    <col min="13827" max="13827" width="8.1796875" style="11" bestFit="1" customWidth="1"/>
    <col min="13828" max="13829" width="8.26953125" style="11" bestFit="1" customWidth="1"/>
    <col min="13830" max="13830" width="7.26953125" style="11" bestFit="1" customWidth="1"/>
    <col min="13831" max="13831" width="23.26953125" style="11" customWidth="1"/>
    <col min="13832" max="13832" width="17.1796875" style="11" bestFit="1" customWidth="1"/>
    <col min="13833" max="13833" width="23.26953125" style="11" customWidth="1"/>
    <col min="13834" max="13834" width="28.7265625" style="11" bestFit="1" customWidth="1"/>
    <col min="13835" max="13836" width="9.1796875" style="11"/>
    <col min="13837" max="13837" width="13.26953125" style="11" customWidth="1"/>
    <col min="13838" max="14080" width="9.1796875" style="11"/>
    <col min="14081" max="14081" width="29" style="11" customWidth="1"/>
    <col min="14082" max="14082" width="18.7265625" style="11" bestFit="1" customWidth="1"/>
    <col min="14083" max="14083" width="8.1796875" style="11" bestFit="1" customWidth="1"/>
    <col min="14084" max="14085" width="8.26953125" style="11" bestFit="1" customWidth="1"/>
    <col min="14086" max="14086" width="7.26953125" style="11" bestFit="1" customWidth="1"/>
    <col min="14087" max="14087" width="23.26953125" style="11" customWidth="1"/>
    <col min="14088" max="14088" width="17.1796875" style="11" bestFit="1" customWidth="1"/>
    <col min="14089" max="14089" width="23.26953125" style="11" customWidth="1"/>
    <col min="14090" max="14090" width="28.7265625" style="11" bestFit="1" customWidth="1"/>
    <col min="14091" max="14092" width="9.1796875" style="11"/>
    <col min="14093" max="14093" width="13.26953125" style="11" customWidth="1"/>
    <col min="14094" max="14336" width="9.1796875" style="11"/>
    <col min="14337" max="14337" width="29" style="11" customWidth="1"/>
    <col min="14338" max="14338" width="18.7265625" style="11" bestFit="1" customWidth="1"/>
    <col min="14339" max="14339" width="8.1796875" style="11" bestFit="1" customWidth="1"/>
    <col min="14340" max="14341" width="8.26953125" style="11" bestFit="1" customWidth="1"/>
    <col min="14342" max="14342" width="7.26953125" style="11" bestFit="1" customWidth="1"/>
    <col min="14343" max="14343" width="23.26953125" style="11" customWidth="1"/>
    <col min="14344" max="14344" width="17.1796875" style="11" bestFit="1" customWidth="1"/>
    <col min="14345" max="14345" width="23.26953125" style="11" customWidth="1"/>
    <col min="14346" max="14346" width="28.7265625" style="11" bestFit="1" customWidth="1"/>
    <col min="14347" max="14348" width="9.1796875" style="11"/>
    <col min="14349" max="14349" width="13.26953125" style="11" customWidth="1"/>
    <col min="14350" max="14592" width="9.1796875" style="11"/>
    <col min="14593" max="14593" width="29" style="11" customWidth="1"/>
    <col min="14594" max="14594" width="18.7265625" style="11" bestFit="1" customWidth="1"/>
    <col min="14595" max="14595" width="8.1796875" style="11" bestFit="1" customWidth="1"/>
    <col min="14596" max="14597" width="8.26953125" style="11" bestFit="1" customWidth="1"/>
    <col min="14598" max="14598" width="7.26953125" style="11" bestFit="1" customWidth="1"/>
    <col min="14599" max="14599" width="23.26953125" style="11" customWidth="1"/>
    <col min="14600" max="14600" width="17.1796875" style="11" bestFit="1" customWidth="1"/>
    <col min="14601" max="14601" width="23.26953125" style="11" customWidth="1"/>
    <col min="14602" max="14602" width="28.7265625" style="11" bestFit="1" customWidth="1"/>
    <col min="14603" max="14604" width="9.1796875" style="11"/>
    <col min="14605" max="14605" width="13.26953125" style="11" customWidth="1"/>
    <col min="14606" max="14848" width="9.1796875" style="11"/>
    <col min="14849" max="14849" width="29" style="11" customWidth="1"/>
    <col min="14850" max="14850" width="18.7265625" style="11" bestFit="1" customWidth="1"/>
    <col min="14851" max="14851" width="8.1796875" style="11" bestFit="1" customWidth="1"/>
    <col min="14852" max="14853" width="8.26953125" style="11" bestFit="1" customWidth="1"/>
    <col min="14854" max="14854" width="7.26953125" style="11" bestFit="1" customWidth="1"/>
    <col min="14855" max="14855" width="23.26953125" style="11" customWidth="1"/>
    <col min="14856" max="14856" width="17.1796875" style="11" bestFit="1" customWidth="1"/>
    <col min="14857" max="14857" width="23.26953125" style="11" customWidth="1"/>
    <col min="14858" max="14858" width="28.7265625" style="11" bestFit="1" customWidth="1"/>
    <col min="14859" max="14860" width="9.1796875" style="11"/>
    <col min="14861" max="14861" width="13.26953125" style="11" customWidth="1"/>
    <col min="14862" max="15104" width="9.1796875" style="11"/>
    <col min="15105" max="15105" width="29" style="11" customWidth="1"/>
    <col min="15106" max="15106" width="18.7265625" style="11" bestFit="1" customWidth="1"/>
    <col min="15107" max="15107" width="8.1796875" style="11" bestFit="1" customWidth="1"/>
    <col min="15108" max="15109" width="8.26953125" style="11" bestFit="1" customWidth="1"/>
    <col min="15110" max="15110" width="7.26953125" style="11" bestFit="1" customWidth="1"/>
    <col min="15111" max="15111" width="23.26953125" style="11" customWidth="1"/>
    <col min="15112" max="15112" width="17.1796875" style="11" bestFit="1" customWidth="1"/>
    <col min="15113" max="15113" width="23.26953125" style="11" customWidth="1"/>
    <col min="15114" max="15114" width="28.7265625" style="11" bestFit="1" customWidth="1"/>
    <col min="15115" max="15116" width="9.1796875" style="11"/>
    <col min="15117" max="15117" width="13.26953125" style="11" customWidth="1"/>
    <col min="15118" max="15360" width="9.1796875" style="11"/>
    <col min="15361" max="15361" width="29" style="11" customWidth="1"/>
    <col min="15362" max="15362" width="18.7265625" style="11" bestFit="1" customWidth="1"/>
    <col min="15363" max="15363" width="8.1796875" style="11" bestFit="1" customWidth="1"/>
    <col min="15364" max="15365" width="8.26953125" style="11" bestFit="1" customWidth="1"/>
    <col min="15366" max="15366" width="7.26953125" style="11" bestFit="1" customWidth="1"/>
    <col min="15367" max="15367" width="23.26953125" style="11" customWidth="1"/>
    <col min="15368" max="15368" width="17.1796875" style="11" bestFit="1" customWidth="1"/>
    <col min="15369" max="15369" width="23.26953125" style="11" customWidth="1"/>
    <col min="15370" max="15370" width="28.7265625" style="11" bestFit="1" customWidth="1"/>
    <col min="15371" max="15372" width="9.1796875" style="11"/>
    <col min="15373" max="15373" width="13.26953125" style="11" customWidth="1"/>
    <col min="15374" max="15616" width="9.1796875" style="11"/>
    <col min="15617" max="15617" width="29" style="11" customWidth="1"/>
    <col min="15618" max="15618" width="18.7265625" style="11" bestFit="1" customWidth="1"/>
    <col min="15619" max="15619" width="8.1796875" style="11" bestFit="1" customWidth="1"/>
    <col min="15620" max="15621" width="8.26953125" style="11" bestFit="1" customWidth="1"/>
    <col min="15622" max="15622" width="7.26953125" style="11" bestFit="1" customWidth="1"/>
    <col min="15623" max="15623" width="23.26953125" style="11" customWidth="1"/>
    <col min="15624" max="15624" width="17.1796875" style="11" bestFit="1" customWidth="1"/>
    <col min="15625" max="15625" width="23.26953125" style="11" customWidth="1"/>
    <col min="15626" max="15626" width="28.7265625" style="11" bestFit="1" customWidth="1"/>
    <col min="15627" max="15628" width="9.1796875" style="11"/>
    <col min="15629" max="15629" width="13.26953125" style="11" customWidth="1"/>
    <col min="15630" max="15872" width="9.1796875" style="11"/>
    <col min="15873" max="15873" width="29" style="11" customWidth="1"/>
    <col min="15874" max="15874" width="18.7265625" style="11" bestFit="1" customWidth="1"/>
    <col min="15875" max="15875" width="8.1796875" style="11" bestFit="1" customWidth="1"/>
    <col min="15876" max="15877" width="8.26953125" style="11" bestFit="1" customWidth="1"/>
    <col min="15878" max="15878" width="7.26953125" style="11" bestFit="1" customWidth="1"/>
    <col min="15879" max="15879" width="23.26953125" style="11" customWidth="1"/>
    <col min="15880" max="15880" width="17.1796875" style="11" bestFit="1" customWidth="1"/>
    <col min="15881" max="15881" width="23.26953125" style="11" customWidth="1"/>
    <col min="15882" max="15882" width="28.7265625" style="11" bestFit="1" customWidth="1"/>
    <col min="15883" max="15884" width="9.1796875" style="11"/>
    <col min="15885" max="15885" width="13.26953125" style="11" customWidth="1"/>
    <col min="15886" max="16128" width="9.1796875" style="11"/>
    <col min="16129" max="16129" width="29" style="11" customWidth="1"/>
    <col min="16130" max="16130" width="18.7265625" style="11" bestFit="1" customWidth="1"/>
    <col min="16131" max="16131" width="8.1796875" style="11" bestFit="1" customWidth="1"/>
    <col min="16132" max="16133" width="8.26953125" style="11" bestFit="1" customWidth="1"/>
    <col min="16134" max="16134" width="7.26953125" style="11" bestFit="1" customWidth="1"/>
    <col min="16135" max="16135" width="23.26953125" style="11" customWidth="1"/>
    <col min="16136" max="16136" width="17.1796875" style="11" bestFit="1" customWidth="1"/>
    <col min="16137" max="16137" width="23.26953125" style="11" customWidth="1"/>
    <col min="16138" max="16138" width="28.7265625" style="11" bestFit="1" customWidth="1"/>
    <col min="16139" max="16140" width="9.1796875" style="11"/>
    <col min="16141" max="16141" width="13.26953125" style="11" customWidth="1"/>
    <col min="16142" max="16384" width="9.1796875" style="11"/>
  </cols>
  <sheetData>
    <row r="1" spans="1:14" s="5" customFormat="1" ht="69.75" customHeight="1">
      <c r="A1" s="1" t="s">
        <v>0</v>
      </c>
      <c r="B1" s="2" t="s">
        <v>1</v>
      </c>
      <c r="C1" s="2" t="s">
        <v>2</v>
      </c>
      <c r="D1" s="2" t="s">
        <v>3</v>
      </c>
      <c r="E1" s="2" t="s">
        <v>4</v>
      </c>
      <c r="F1" s="2" t="s">
        <v>5</v>
      </c>
      <c r="G1" s="260" t="s">
        <v>6</v>
      </c>
      <c r="H1" s="2" t="s">
        <v>703</v>
      </c>
      <c r="I1" s="2" t="s">
        <v>704</v>
      </c>
      <c r="J1" s="2" t="s">
        <v>705</v>
      </c>
      <c r="K1" s="2" t="s">
        <v>10</v>
      </c>
      <c r="L1" s="2" t="s">
        <v>706</v>
      </c>
      <c r="M1" s="4" t="s">
        <v>12</v>
      </c>
      <c r="N1" s="461" t="s">
        <v>508</v>
      </c>
    </row>
    <row r="2" spans="1:14" ht="20">
      <c r="A2" s="6" t="s">
        <v>708</v>
      </c>
      <c r="B2" s="7" t="s">
        <v>14</v>
      </c>
      <c r="C2" s="7" t="s">
        <v>879</v>
      </c>
      <c r="D2" s="7">
        <v>1</v>
      </c>
      <c r="E2" s="7" t="e">
        <f>#REF!</f>
        <v>#REF!</v>
      </c>
      <c r="F2" s="7">
        <f>SUM(F3:F7)</f>
        <v>49</v>
      </c>
      <c r="G2" s="462" t="s">
        <v>510</v>
      </c>
      <c r="H2" s="9"/>
      <c r="I2" s="9"/>
      <c r="J2" s="7"/>
      <c r="K2" s="7"/>
      <c r="L2" s="7"/>
      <c r="M2" s="17"/>
      <c r="N2" s="61"/>
    </row>
    <row r="3" spans="1:14" ht="21">
      <c r="A3" s="12" t="s">
        <v>17</v>
      </c>
      <c r="B3" s="13" t="s">
        <v>18</v>
      </c>
      <c r="C3" s="14">
        <v>1</v>
      </c>
      <c r="D3" s="14">
        <v>1</v>
      </c>
      <c r="E3" s="14">
        <f>D3+F3-1</f>
        <v>1</v>
      </c>
      <c r="F3" s="14">
        <v>1</v>
      </c>
      <c r="G3" s="263" t="s">
        <v>19</v>
      </c>
      <c r="H3" s="16"/>
      <c r="I3" s="16"/>
      <c r="J3" s="14"/>
      <c r="K3" s="14"/>
      <c r="L3" s="14"/>
      <c r="M3" s="17"/>
      <c r="N3" s="61"/>
    </row>
    <row r="4" spans="1:14" s="23" customFormat="1">
      <c r="A4" s="18" t="s">
        <v>710</v>
      </c>
      <c r="B4" s="18" t="s">
        <v>711</v>
      </c>
      <c r="C4" s="19">
        <v>2</v>
      </c>
      <c r="D4" s="19">
        <f>E3+1</f>
        <v>2</v>
      </c>
      <c r="E4" s="19">
        <f>D4+F4-1</f>
        <v>16</v>
      </c>
      <c r="F4" s="19">
        <v>15</v>
      </c>
      <c r="G4" s="22" t="s">
        <v>1982</v>
      </c>
      <c r="H4" s="66"/>
      <c r="I4" s="66"/>
      <c r="J4" s="19"/>
      <c r="K4" s="19"/>
      <c r="L4" s="19"/>
      <c r="M4" s="21"/>
      <c r="N4" s="22"/>
    </row>
    <row r="5" spans="1:14" s="23" customFormat="1">
      <c r="A5" s="18" t="s">
        <v>713</v>
      </c>
      <c r="B5" s="18" t="s">
        <v>714</v>
      </c>
      <c r="C5" s="19">
        <v>3</v>
      </c>
      <c r="D5" s="19">
        <f>E4+1</f>
        <v>17</v>
      </c>
      <c r="E5" s="19">
        <f>D5+F5-1</f>
        <v>26</v>
      </c>
      <c r="F5" s="19">
        <v>10</v>
      </c>
      <c r="G5" s="22" t="s">
        <v>715</v>
      </c>
      <c r="H5" s="66"/>
      <c r="I5" s="66"/>
      <c r="J5" s="19"/>
      <c r="K5" s="19"/>
      <c r="L5" s="19"/>
      <c r="M5" s="21"/>
      <c r="N5" s="22"/>
    </row>
    <row r="6" spans="1:14" s="23" customFormat="1" ht="10.5">
      <c r="A6" s="18" t="s">
        <v>1001</v>
      </c>
      <c r="B6" s="18" t="s">
        <v>1002</v>
      </c>
      <c r="C6" s="19">
        <v>4</v>
      </c>
      <c r="D6" s="19">
        <f>E5+1</f>
        <v>27</v>
      </c>
      <c r="E6" s="19">
        <f>D6+F6-1</f>
        <v>34</v>
      </c>
      <c r="F6" s="19">
        <v>8</v>
      </c>
      <c r="G6" s="22" t="s">
        <v>716</v>
      </c>
      <c r="H6" s="174"/>
      <c r="I6" s="174"/>
      <c r="J6" s="19"/>
      <c r="K6" s="19"/>
      <c r="L6" s="19"/>
      <c r="M6" s="21"/>
      <c r="N6" s="22"/>
    </row>
    <row r="7" spans="1:14" ht="12.5">
      <c r="A7" s="12" t="s">
        <v>717</v>
      </c>
      <c r="B7" s="13" t="s">
        <v>711</v>
      </c>
      <c r="C7" s="14">
        <v>5</v>
      </c>
      <c r="D7" s="19">
        <f>E6+1</f>
        <v>35</v>
      </c>
      <c r="E7" s="14">
        <f>D7+F7-1</f>
        <v>49</v>
      </c>
      <c r="F7" s="14">
        <v>15</v>
      </c>
      <c r="G7" s="266" t="s">
        <v>1983</v>
      </c>
      <c r="H7" s="26"/>
      <c r="I7" s="26"/>
      <c r="J7" s="14"/>
      <c r="K7" s="14"/>
      <c r="L7" s="14"/>
      <c r="M7" s="17"/>
      <c r="N7" s="61"/>
    </row>
    <row r="8" spans="1:14" ht="10.5">
      <c r="A8" s="6" t="s">
        <v>722</v>
      </c>
      <c r="B8" s="7" t="s">
        <v>14</v>
      </c>
      <c r="C8" s="27" t="s">
        <v>879</v>
      </c>
      <c r="D8" s="7">
        <v>1</v>
      </c>
      <c r="E8" s="7" t="e">
        <f>#REF!</f>
        <v>#REF!</v>
      </c>
      <c r="F8" s="7">
        <f>SUM(F9:F11)</f>
        <v>91</v>
      </c>
      <c r="G8" s="267"/>
      <c r="H8" s="29"/>
      <c r="I8" s="29"/>
      <c r="J8" s="7"/>
      <c r="K8" s="7"/>
      <c r="L8" s="7"/>
      <c r="M8" s="17"/>
      <c r="N8" s="61"/>
    </row>
    <row r="9" spans="1:14" s="23" customFormat="1" ht="20.5">
      <c r="A9" s="463" t="s">
        <v>1984</v>
      </c>
      <c r="B9" s="464" t="s">
        <v>1985</v>
      </c>
      <c r="C9" s="19">
        <v>7</v>
      </c>
      <c r="D9" s="19">
        <v>1</v>
      </c>
      <c r="E9" s="19">
        <f>D9+F9-1</f>
        <v>1</v>
      </c>
      <c r="F9" s="19">
        <v>1</v>
      </c>
      <c r="G9" s="265" t="s">
        <v>1986</v>
      </c>
      <c r="H9" s="465"/>
      <c r="I9" s="465"/>
      <c r="J9" s="466"/>
      <c r="K9" s="466"/>
      <c r="L9" s="466"/>
      <c r="M9" s="467"/>
      <c r="N9" s="22"/>
    </row>
    <row r="10" spans="1:14" ht="12.5">
      <c r="A10" s="30" t="s">
        <v>1987</v>
      </c>
      <c r="B10" s="13" t="s">
        <v>1988</v>
      </c>
      <c r="C10" s="14">
        <v>8</v>
      </c>
      <c r="D10" s="31">
        <f>E9+1</f>
        <v>2</v>
      </c>
      <c r="E10" s="14">
        <f>D10+F10-1</f>
        <v>11</v>
      </c>
      <c r="F10" s="31">
        <v>10</v>
      </c>
      <c r="G10" s="263" t="s">
        <v>1989</v>
      </c>
      <c r="H10" s="66" t="s">
        <v>1990</v>
      </c>
      <c r="I10" s="16" t="s">
        <v>1991</v>
      </c>
      <c r="J10" s="30" t="s">
        <v>1992</v>
      </c>
      <c r="K10" s="14" t="s">
        <v>730</v>
      </c>
      <c r="L10" s="31">
        <v>777</v>
      </c>
      <c r="M10" s="17" t="s">
        <v>1993</v>
      </c>
      <c r="N10" s="61" t="s">
        <v>1468</v>
      </c>
    </row>
    <row r="11" spans="1:14" ht="25">
      <c r="A11" s="49" t="s">
        <v>1994</v>
      </c>
      <c r="B11" s="13" t="s">
        <v>1995</v>
      </c>
      <c r="C11" s="14">
        <v>9</v>
      </c>
      <c r="D11" s="31">
        <f>E10+1</f>
        <v>12</v>
      </c>
      <c r="E11" s="14">
        <f>D11+F11-1</f>
        <v>91</v>
      </c>
      <c r="F11" s="14">
        <v>80</v>
      </c>
      <c r="G11" s="180" t="s">
        <v>738</v>
      </c>
      <c r="H11" s="66" t="s">
        <v>1990</v>
      </c>
      <c r="I11" s="16" t="s">
        <v>1991</v>
      </c>
      <c r="J11" s="49" t="s">
        <v>1996</v>
      </c>
      <c r="K11" s="14" t="s">
        <v>730</v>
      </c>
      <c r="L11" s="36"/>
      <c r="M11" s="17" t="s">
        <v>1993</v>
      </c>
      <c r="N11" s="61" t="s">
        <v>1468</v>
      </c>
    </row>
    <row r="12" spans="1:14" ht="10.5">
      <c r="A12" s="6" t="s">
        <v>858</v>
      </c>
      <c r="B12" s="7" t="s">
        <v>14</v>
      </c>
      <c r="C12" s="27" t="s">
        <v>879</v>
      </c>
      <c r="D12" s="7">
        <v>1</v>
      </c>
      <c r="E12" s="7" t="e">
        <f>#REF!</f>
        <v>#REF!</v>
      </c>
      <c r="F12" s="7">
        <f>SUM(F13:F14)</f>
        <v>10</v>
      </c>
      <c r="G12" s="267"/>
      <c r="H12" s="29"/>
      <c r="I12" s="29"/>
      <c r="J12" s="7"/>
      <c r="K12" s="41" t="s">
        <v>204</v>
      </c>
      <c r="L12" s="41"/>
      <c r="M12" s="17"/>
      <c r="N12" s="61"/>
    </row>
    <row r="13" spans="1:14" ht="21">
      <c r="A13" s="30" t="s">
        <v>723</v>
      </c>
      <c r="B13" s="13" t="s">
        <v>18</v>
      </c>
      <c r="C13" s="14">
        <v>11</v>
      </c>
      <c r="D13" s="14">
        <v>1</v>
      </c>
      <c r="E13" s="14">
        <v>1</v>
      </c>
      <c r="F13" s="14">
        <v>1</v>
      </c>
      <c r="G13" s="263" t="s">
        <v>205</v>
      </c>
      <c r="H13" s="16"/>
      <c r="I13" s="16"/>
      <c r="J13" s="14"/>
      <c r="K13" s="14"/>
      <c r="L13" s="14"/>
      <c r="M13" s="17"/>
      <c r="N13" s="61"/>
    </row>
    <row r="14" spans="1:14" ht="12.5">
      <c r="A14" s="42" t="s">
        <v>206</v>
      </c>
      <c r="B14" s="13" t="s">
        <v>207</v>
      </c>
      <c r="C14" s="14">
        <v>12</v>
      </c>
      <c r="D14" s="14">
        <v>2</v>
      </c>
      <c r="E14" s="14">
        <f>D14+F14-1</f>
        <v>10</v>
      </c>
      <c r="F14" s="14">
        <v>9</v>
      </c>
      <c r="G14" s="263" t="s">
        <v>233</v>
      </c>
      <c r="H14" s="16"/>
      <c r="I14" s="16"/>
      <c r="J14" s="14"/>
      <c r="K14" s="14"/>
      <c r="L14" s="14"/>
      <c r="M14" s="17"/>
      <c r="N14" s="61"/>
    </row>
    <row r="15" spans="1:14">
      <c r="M15" s="47"/>
    </row>
    <row r="16" spans="1:14">
      <c r="M16" s="47"/>
    </row>
    <row r="17" spans="13:13">
      <c r="M17" s="47"/>
    </row>
    <row r="18" spans="13:13">
      <c r="M18" s="47"/>
    </row>
    <row r="19" spans="13:13">
      <c r="M19" s="47"/>
    </row>
    <row r="20" spans="13:13">
      <c r="M20" s="47"/>
    </row>
    <row r="21" spans="13:13">
      <c r="M21" s="47"/>
    </row>
    <row r="22" spans="13:13">
      <c r="M22" s="47"/>
    </row>
    <row r="23" spans="13:13">
      <c r="M23" s="47"/>
    </row>
    <row r="24" spans="13:13">
      <c r="M24" s="47"/>
    </row>
    <row r="25" spans="13:13">
      <c r="M25" s="47"/>
    </row>
    <row r="26" spans="13:13">
      <c r="M26" s="47"/>
    </row>
    <row r="27" spans="13:13">
      <c r="M27" s="47"/>
    </row>
    <row r="28" spans="13:13">
      <c r="M28" s="47"/>
    </row>
    <row r="29" spans="13:13">
      <c r="M29" s="47"/>
    </row>
    <row r="30" spans="13:13">
      <c r="M30" s="47"/>
    </row>
    <row r="31" spans="13:13">
      <c r="M31" s="47"/>
    </row>
    <row r="32" spans="13:13">
      <c r="M32" s="47"/>
    </row>
    <row r="33" spans="13:13">
      <c r="M33" s="47"/>
    </row>
    <row r="34" spans="13:13">
      <c r="M34" s="47"/>
    </row>
    <row r="35" spans="13:13">
      <c r="M35" s="47"/>
    </row>
    <row r="36" spans="13:13">
      <c r="M36" s="47"/>
    </row>
    <row r="37" spans="13:13">
      <c r="M37" s="47"/>
    </row>
    <row r="38" spans="13:13">
      <c r="M38" s="47"/>
    </row>
    <row r="39" spans="13:13">
      <c r="M39" s="47"/>
    </row>
    <row r="40" spans="13:13">
      <c r="M40" s="47"/>
    </row>
    <row r="41" spans="13:13">
      <c r="M41" s="47"/>
    </row>
    <row r="42" spans="13:13">
      <c r="M42" s="47"/>
    </row>
    <row r="43" spans="13:13">
      <c r="M43" s="47"/>
    </row>
    <row r="44" spans="13:13">
      <c r="M44" s="47"/>
    </row>
    <row r="45" spans="13:13">
      <c r="M45" s="47"/>
    </row>
    <row r="46" spans="13:13">
      <c r="M46" s="47"/>
    </row>
    <row r="47" spans="13:13">
      <c r="M47" s="47"/>
    </row>
    <row r="48" spans="13:13">
      <c r="M48" s="47"/>
    </row>
    <row r="49" spans="13:13">
      <c r="M49" s="47"/>
    </row>
    <row r="50" spans="13:13">
      <c r="M50" s="47"/>
    </row>
    <row r="51" spans="13:13">
      <c r="M51" s="47"/>
    </row>
    <row r="52" spans="13:13">
      <c r="M52" s="47"/>
    </row>
    <row r="53" spans="13:13">
      <c r="M53" s="47"/>
    </row>
    <row r="54" spans="13:13">
      <c r="M54" s="47"/>
    </row>
    <row r="55" spans="13:13">
      <c r="M55" s="47"/>
    </row>
    <row r="56" spans="13:13">
      <c r="M56" s="47"/>
    </row>
    <row r="57" spans="13:13">
      <c r="M57" s="47"/>
    </row>
    <row r="58" spans="13:13">
      <c r="M58" s="47"/>
    </row>
    <row r="59" spans="13:13">
      <c r="M59" s="47"/>
    </row>
    <row r="60" spans="13:13">
      <c r="M60" s="47"/>
    </row>
    <row r="61" spans="13:13">
      <c r="M61" s="47"/>
    </row>
    <row r="62" spans="13:13">
      <c r="M62" s="47"/>
    </row>
    <row r="63" spans="13:13">
      <c r="M63" s="47"/>
    </row>
    <row r="64" spans="13:13">
      <c r="M64" s="47"/>
    </row>
    <row r="65" spans="13:13">
      <c r="M65" s="47"/>
    </row>
    <row r="66" spans="13:13">
      <c r="M66" s="47"/>
    </row>
    <row r="67" spans="13:13">
      <c r="M67" s="47"/>
    </row>
    <row r="68" spans="13:13">
      <c r="M68" s="47"/>
    </row>
    <row r="69" spans="13:13">
      <c r="M69" s="47"/>
    </row>
    <row r="70" spans="13:13">
      <c r="M70" s="47"/>
    </row>
    <row r="71" spans="13:13">
      <c r="M71" s="47"/>
    </row>
    <row r="72" spans="13:13">
      <c r="M72" s="47"/>
    </row>
    <row r="73" spans="13:13">
      <c r="M73" s="47"/>
    </row>
    <row r="74" spans="13:13">
      <c r="M74" s="47"/>
    </row>
    <row r="75" spans="13:13">
      <c r="M75" s="47"/>
    </row>
    <row r="76" spans="13:13">
      <c r="M76" s="47"/>
    </row>
    <row r="77" spans="13:13">
      <c r="M77" s="47"/>
    </row>
    <row r="78" spans="13:13">
      <c r="M78" s="47"/>
    </row>
    <row r="79" spans="13:13">
      <c r="M79" s="47"/>
    </row>
    <row r="80" spans="13:13">
      <c r="M80" s="47"/>
    </row>
    <row r="81" spans="13:13">
      <c r="M81" s="47"/>
    </row>
    <row r="82" spans="13:13">
      <c r="M82" s="47"/>
    </row>
    <row r="83" spans="13:13">
      <c r="M83" s="47"/>
    </row>
    <row r="84" spans="13:13">
      <c r="M84" s="47"/>
    </row>
    <row r="85" spans="13:13">
      <c r="M85" s="47"/>
    </row>
    <row r="86" spans="13:13">
      <c r="M86" s="47"/>
    </row>
    <row r="87" spans="13:13">
      <c r="M87" s="47"/>
    </row>
    <row r="88" spans="13:13">
      <c r="M88" s="47"/>
    </row>
    <row r="89" spans="13:13">
      <c r="M89" s="47"/>
    </row>
    <row r="90" spans="13:13">
      <c r="M90" s="47"/>
    </row>
    <row r="91" spans="13:13">
      <c r="M91" s="47"/>
    </row>
    <row r="92" spans="13:13">
      <c r="M92" s="47"/>
    </row>
    <row r="93" spans="13:13">
      <c r="M93" s="47"/>
    </row>
    <row r="94" spans="13:13">
      <c r="M94" s="47"/>
    </row>
    <row r="95" spans="13:13">
      <c r="M95" s="47"/>
    </row>
  </sheetData>
  <dataValidations count="1">
    <dataValidation type="list" allowBlank="1" showInputMessage="1" showErrorMessage="1" sqref="N11 JJ11 TF11 ADB11 AMX11 AWT11 BGP11 BQL11 CAH11 CKD11 CTZ11 DDV11 DNR11 DXN11 EHJ11 ERF11 FBB11 FKX11 FUT11 GEP11 GOL11 GYH11 HID11 HRZ11 IBV11 ILR11 IVN11 JFJ11 JPF11 JZB11 KIX11 KST11 LCP11 LML11 LWH11 MGD11 MPZ11 MZV11 NJR11 NTN11 ODJ11 ONF11 OXB11 PGX11 PQT11 QAP11 QKL11 QUH11 RED11 RNZ11 RXV11 SHR11 SRN11 TBJ11 TLF11 TVB11 UEX11 UOT11 UYP11 VIL11 VSH11 WCD11 WLZ11 WVV11 N65547 JJ65547 TF65547 ADB65547 AMX65547 AWT65547 BGP65547 BQL65547 CAH65547 CKD65547 CTZ65547 DDV65547 DNR65547 DXN65547 EHJ65547 ERF65547 FBB65547 FKX65547 FUT65547 GEP65547 GOL65547 GYH65547 HID65547 HRZ65547 IBV65547 ILR65547 IVN65547 JFJ65547 JPF65547 JZB65547 KIX65547 KST65547 LCP65547 LML65547 LWH65547 MGD65547 MPZ65547 MZV65547 NJR65547 NTN65547 ODJ65547 ONF65547 OXB65547 PGX65547 PQT65547 QAP65547 QKL65547 QUH65547 RED65547 RNZ65547 RXV65547 SHR65547 SRN65547 TBJ65547 TLF65547 TVB65547 UEX65547 UOT65547 UYP65547 VIL65547 VSH65547 WCD65547 WLZ65547 WVV65547 N131083 JJ131083 TF131083 ADB131083 AMX131083 AWT131083 BGP131083 BQL131083 CAH131083 CKD131083 CTZ131083 DDV131083 DNR131083 DXN131083 EHJ131083 ERF131083 FBB131083 FKX131083 FUT131083 GEP131083 GOL131083 GYH131083 HID131083 HRZ131083 IBV131083 ILR131083 IVN131083 JFJ131083 JPF131083 JZB131083 KIX131083 KST131083 LCP131083 LML131083 LWH131083 MGD131083 MPZ131083 MZV131083 NJR131083 NTN131083 ODJ131083 ONF131083 OXB131083 PGX131083 PQT131083 QAP131083 QKL131083 QUH131083 RED131083 RNZ131083 RXV131083 SHR131083 SRN131083 TBJ131083 TLF131083 TVB131083 UEX131083 UOT131083 UYP131083 VIL131083 VSH131083 WCD131083 WLZ131083 WVV131083 N196619 JJ196619 TF196619 ADB196619 AMX196619 AWT196619 BGP196619 BQL196619 CAH196619 CKD196619 CTZ196619 DDV196619 DNR196619 DXN196619 EHJ196619 ERF196619 FBB196619 FKX196619 FUT196619 GEP196619 GOL196619 GYH196619 HID196619 HRZ196619 IBV196619 ILR196619 IVN196619 JFJ196619 JPF196619 JZB196619 KIX196619 KST196619 LCP196619 LML196619 LWH196619 MGD196619 MPZ196619 MZV196619 NJR196619 NTN196619 ODJ196619 ONF196619 OXB196619 PGX196619 PQT196619 QAP196619 QKL196619 QUH196619 RED196619 RNZ196619 RXV196619 SHR196619 SRN196619 TBJ196619 TLF196619 TVB196619 UEX196619 UOT196619 UYP196619 VIL196619 VSH196619 WCD196619 WLZ196619 WVV196619 N262155 JJ262155 TF262155 ADB262155 AMX262155 AWT262155 BGP262155 BQL262155 CAH262155 CKD262155 CTZ262155 DDV262155 DNR262155 DXN262155 EHJ262155 ERF262155 FBB262155 FKX262155 FUT262155 GEP262155 GOL262155 GYH262155 HID262155 HRZ262155 IBV262155 ILR262155 IVN262155 JFJ262155 JPF262155 JZB262155 KIX262155 KST262155 LCP262155 LML262155 LWH262155 MGD262155 MPZ262155 MZV262155 NJR262155 NTN262155 ODJ262155 ONF262155 OXB262155 PGX262155 PQT262155 QAP262155 QKL262155 QUH262155 RED262155 RNZ262155 RXV262155 SHR262155 SRN262155 TBJ262155 TLF262155 TVB262155 UEX262155 UOT262155 UYP262155 VIL262155 VSH262155 WCD262155 WLZ262155 WVV262155 N327691 JJ327691 TF327691 ADB327691 AMX327691 AWT327691 BGP327691 BQL327691 CAH327691 CKD327691 CTZ327691 DDV327691 DNR327691 DXN327691 EHJ327691 ERF327691 FBB327691 FKX327691 FUT327691 GEP327691 GOL327691 GYH327691 HID327691 HRZ327691 IBV327691 ILR327691 IVN327691 JFJ327691 JPF327691 JZB327691 KIX327691 KST327691 LCP327691 LML327691 LWH327691 MGD327691 MPZ327691 MZV327691 NJR327691 NTN327691 ODJ327691 ONF327691 OXB327691 PGX327691 PQT327691 QAP327691 QKL327691 QUH327691 RED327691 RNZ327691 RXV327691 SHR327691 SRN327691 TBJ327691 TLF327691 TVB327691 UEX327691 UOT327691 UYP327691 VIL327691 VSH327691 WCD327691 WLZ327691 WVV327691 N393227 JJ393227 TF393227 ADB393227 AMX393227 AWT393227 BGP393227 BQL393227 CAH393227 CKD393227 CTZ393227 DDV393227 DNR393227 DXN393227 EHJ393227 ERF393227 FBB393227 FKX393227 FUT393227 GEP393227 GOL393227 GYH393227 HID393227 HRZ393227 IBV393227 ILR393227 IVN393227 JFJ393227 JPF393227 JZB393227 KIX393227 KST393227 LCP393227 LML393227 LWH393227 MGD393227 MPZ393227 MZV393227 NJR393227 NTN393227 ODJ393227 ONF393227 OXB393227 PGX393227 PQT393227 QAP393227 QKL393227 QUH393227 RED393227 RNZ393227 RXV393227 SHR393227 SRN393227 TBJ393227 TLF393227 TVB393227 UEX393227 UOT393227 UYP393227 VIL393227 VSH393227 WCD393227 WLZ393227 WVV393227 N458763 JJ458763 TF458763 ADB458763 AMX458763 AWT458763 BGP458763 BQL458763 CAH458763 CKD458763 CTZ458763 DDV458763 DNR458763 DXN458763 EHJ458763 ERF458763 FBB458763 FKX458763 FUT458763 GEP458763 GOL458763 GYH458763 HID458763 HRZ458763 IBV458763 ILR458763 IVN458763 JFJ458763 JPF458763 JZB458763 KIX458763 KST458763 LCP458763 LML458763 LWH458763 MGD458763 MPZ458763 MZV458763 NJR458763 NTN458763 ODJ458763 ONF458763 OXB458763 PGX458763 PQT458763 QAP458763 QKL458763 QUH458763 RED458763 RNZ458763 RXV458763 SHR458763 SRN458763 TBJ458763 TLF458763 TVB458763 UEX458763 UOT458763 UYP458763 VIL458763 VSH458763 WCD458763 WLZ458763 WVV458763 N524299 JJ524299 TF524299 ADB524299 AMX524299 AWT524299 BGP524299 BQL524299 CAH524299 CKD524299 CTZ524299 DDV524299 DNR524299 DXN524299 EHJ524299 ERF524299 FBB524299 FKX524299 FUT524299 GEP524299 GOL524299 GYH524299 HID524299 HRZ524299 IBV524299 ILR524299 IVN524299 JFJ524299 JPF524299 JZB524299 KIX524299 KST524299 LCP524299 LML524299 LWH524299 MGD524299 MPZ524299 MZV524299 NJR524299 NTN524299 ODJ524299 ONF524299 OXB524299 PGX524299 PQT524299 QAP524299 QKL524299 QUH524299 RED524299 RNZ524299 RXV524299 SHR524299 SRN524299 TBJ524299 TLF524299 TVB524299 UEX524299 UOT524299 UYP524299 VIL524299 VSH524299 WCD524299 WLZ524299 WVV524299 N589835 JJ589835 TF589835 ADB589835 AMX589835 AWT589835 BGP589835 BQL589835 CAH589835 CKD589835 CTZ589835 DDV589835 DNR589835 DXN589835 EHJ589835 ERF589835 FBB589835 FKX589835 FUT589835 GEP589835 GOL589835 GYH589835 HID589835 HRZ589835 IBV589835 ILR589835 IVN589835 JFJ589835 JPF589835 JZB589835 KIX589835 KST589835 LCP589835 LML589835 LWH589835 MGD589835 MPZ589835 MZV589835 NJR589835 NTN589835 ODJ589835 ONF589835 OXB589835 PGX589835 PQT589835 QAP589835 QKL589835 QUH589835 RED589835 RNZ589835 RXV589835 SHR589835 SRN589835 TBJ589835 TLF589835 TVB589835 UEX589835 UOT589835 UYP589835 VIL589835 VSH589835 WCD589835 WLZ589835 WVV589835 N655371 JJ655371 TF655371 ADB655371 AMX655371 AWT655371 BGP655371 BQL655371 CAH655371 CKD655371 CTZ655371 DDV655371 DNR655371 DXN655371 EHJ655371 ERF655371 FBB655371 FKX655371 FUT655371 GEP655371 GOL655371 GYH655371 HID655371 HRZ655371 IBV655371 ILR655371 IVN655371 JFJ655371 JPF655371 JZB655371 KIX655371 KST655371 LCP655371 LML655371 LWH655371 MGD655371 MPZ655371 MZV655371 NJR655371 NTN655371 ODJ655371 ONF655371 OXB655371 PGX655371 PQT655371 QAP655371 QKL655371 QUH655371 RED655371 RNZ655371 RXV655371 SHR655371 SRN655371 TBJ655371 TLF655371 TVB655371 UEX655371 UOT655371 UYP655371 VIL655371 VSH655371 WCD655371 WLZ655371 WVV655371 N720907 JJ720907 TF720907 ADB720907 AMX720907 AWT720907 BGP720907 BQL720907 CAH720907 CKD720907 CTZ720907 DDV720907 DNR720907 DXN720907 EHJ720907 ERF720907 FBB720907 FKX720907 FUT720907 GEP720907 GOL720907 GYH720907 HID720907 HRZ720907 IBV720907 ILR720907 IVN720907 JFJ720907 JPF720907 JZB720907 KIX720907 KST720907 LCP720907 LML720907 LWH720907 MGD720907 MPZ720907 MZV720907 NJR720907 NTN720907 ODJ720907 ONF720907 OXB720907 PGX720907 PQT720907 QAP720907 QKL720907 QUH720907 RED720907 RNZ720907 RXV720907 SHR720907 SRN720907 TBJ720907 TLF720907 TVB720907 UEX720907 UOT720907 UYP720907 VIL720907 VSH720907 WCD720907 WLZ720907 WVV720907 N786443 JJ786443 TF786443 ADB786443 AMX786443 AWT786443 BGP786443 BQL786443 CAH786443 CKD786443 CTZ786443 DDV786443 DNR786443 DXN786443 EHJ786443 ERF786443 FBB786443 FKX786443 FUT786443 GEP786443 GOL786443 GYH786443 HID786443 HRZ786443 IBV786443 ILR786443 IVN786443 JFJ786443 JPF786443 JZB786443 KIX786443 KST786443 LCP786443 LML786443 LWH786443 MGD786443 MPZ786443 MZV786443 NJR786443 NTN786443 ODJ786443 ONF786443 OXB786443 PGX786443 PQT786443 QAP786443 QKL786443 QUH786443 RED786443 RNZ786443 RXV786443 SHR786443 SRN786443 TBJ786443 TLF786443 TVB786443 UEX786443 UOT786443 UYP786443 VIL786443 VSH786443 WCD786443 WLZ786443 WVV786443 N851979 JJ851979 TF851979 ADB851979 AMX851979 AWT851979 BGP851979 BQL851979 CAH851979 CKD851979 CTZ851979 DDV851979 DNR851979 DXN851979 EHJ851979 ERF851979 FBB851979 FKX851979 FUT851979 GEP851979 GOL851979 GYH851979 HID851979 HRZ851979 IBV851979 ILR851979 IVN851979 JFJ851979 JPF851979 JZB851979 KIX851979 KST851979 LCP851979 LML851979 LWH851979 MGD851979 MPZ851979 MZV851979 NJR851979 NTN851979 ODJ851979 ONF851979 OXB851979 PGX851979 PQT851979 QAP851979 QKL851979 QUH851979 RED851979 RNZ851979 RXV851979 SHR851979 SRN851979 TBJ851979 TLF851979 TVB851979 UEX851979 UOT851979 UYP851979 VIL851979 VSH851979 WCD851979 WLZ851979 WVV851979 N917515 JJ917515 TF917515 ADB917515 AMX917515 AWT917515 BGP917515 BQL917515 CAH917515 CKD917515 CTZ917515 DDV917515 DNR917515 DXN917515 EHJ917515 ERF917515 FBB917515 FKX917515 FUT917515 GEP917515 GOL917515 GYH917515 HID917515 HRZ917515 IBV917515 ILR917515 IVN917515 JFJ917515 JPF917515 JZB917515 KIX917515 KST917515 LCP917515 LML917515 LWH917515 MGD917515 MPZ917515 MZV917515 NJR917515 NTN917515 ODJ917515 ONF917515 OXB917515 PGX917515 PQT917515 QAP917515 QKL917515 QUH917515 RED917515 RNZ917515 RXV917515 SHR917515 SRN917515 TBJ917515 TLF917515 TVB917515 UEX917515 UOT917515 UYP917515 VIL917515 VSH917515 WCD917515 WLZ917515 WVV917515 N983051 JJ983051 TF983051 ADB983051 AMX983051 AWT983051 BGP983051 BQL983051 CAH983051 CKD983051 CTZ983051 DDV983051 DNR983051 DXN983051 EHJ983051 ERF983051 FBB983051 FKX983051 FUT983051 GEP983051 GOL983051 GYH983051 HID983051 HRZ983051 IBV983051 ILR983051 IVN983051 JFJ983051 JPF983051 JZB983051 KIX983051 KST983051 LCP983051 LML983051 LWH983051 MGD983051 MPZ983051 MZV983051 NJR983051 NTN983051 ODJ983051 ONF983051 OXB983051 PGX983051 PQT983051 QAP983051 QKL983051 QUH983051 RED983051 RNZ983051 RXV983051 SHR983051 SRN983051 TBJ983051 TLF983051 TVB983051 UEX983051 UOT983051 UYP983051 VIL983051 VSH983051 WCD983051 WLZ983051 WVV983051" xr:uid="{4BC6E2BC-F041-4C01-B4A5-1C47175B844B}">
      <formula1>"Y,N"</formula1>
    </dataValidation>
  </dataValidations>
  <pageMargins left="0.75" right="0.75" top="1" bottom="1" header="0.5" footer="0.5"/>
  <pageSetup paperSize="9" orientation="portrait" verticalDpi="300" r:id="rId1"/>
  <headerFooter alignWithMargins="0">
    <oddHeader>&amp;L&amp;"Arial"&amp;9&amp;K0078D7 INTERNAL&amp;1#_x000D_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97D8-30E1-433D-8C18-960E16528697}">
  <sheetPr codeName="Sheet22"/>
  <dimension ref="A1:O50"/>
  <sheetViews>
    <sheetView topLeftCell="A25" workbookViewId="0">
      <selection activeCell="A40" sqref="A40"/>
    </sheetView>
  </sheetViews>
  <sheetFormatPr defaultRowHeight="12.5"/>
  <cols>
    <col min="1" max="1" width="57.7265625" customWidth="1"/>
    <col min="2" max="2" width="9.1796875" style="207" customWidth="1"/>
    <col min="3" max="3" width="8" bestFit="1" customWidth="1"/>
    <col min="4" max="5" width="8.1796875" bestFit="1" customWidth="1"/>
    <col min="6" max="6" width="7.26953125" bestFit="1" customWidth="1"/>
    <col min="7" max="7" width="21.1796875" style="208" customWidth="1"/>
    <col min="8" max="8" width="36.26953125" style="208" customWidth="1"/>
    <col min="9" max="9" width="13.54296875" bestFit="1" customWidth="1"/>
    <col min="10" max="10" width="11.81640625" customWidth="1"/>
    <col min="11" max="11" width="21.81640625" bestFit="1" customWidth="1"/>
    <col min="12" max="12" width="10.1796875" bestFit="1" customWidth="1"/>
    <col min="13" max="13" width="14.54296875" customWidth="1"/>
    <col min="14" max="14" width="8.26953125" style="23" bestFit="1" customWidth="1"/>
    <col min="256" max="256" width="57.7265625" customWidth="1"/>
    <col min="257" max="257" width="9.1796875" customWidth="1"/>
    <col min="258" max="258" width="8" bestFit="1" customWidth="1"/>
    <col min="259" max="260" width="8.1796875" bestFit="1" customWidth="1"/>
    <col min="261" max="261" width="7.26953125" bestFit="1" customWidth="1"/>
    <col min="262" max="262" width="21.1796875" customWidth="1"/>
    <col min="263" max="263" width="20" customWidth="1"/>
    <col min="264" max="264" width="13.54296875" bestFit="1" customWidth="1"/>
    <col min="265" max="265" width="11.81640625" customWidth="1"/>
    <col min="266" max="266" width="21.81640625" bestFit="1" customWidth="1"/>
    <col min="267" max="267" width="10.1796875" bestFit="1" customWidth="1"/>
    <col min="268" max="269" width="8.54296875" bestFit="1" customWidth="1"/>
    <col min="270" max="270" width="8.26953125" bestFit="1" customWidth="1"/>
    <col min="512" max="512" width="57.7265625" customWidth="1"/>
    <col min="513" max="513" width="9.1796875" customWidth="1"/>
    <col min="514" max="514" width="8" bestFit="1" customWidth="1"/>
    <col min="515" max="516" width="8.1796875" bestFit="1" customWidth="1"/>
    <col min="517" max="517" width="7.26953125" bestFit="1" customWidth="1"/>
    <col min="518" max="518" width="21.1796875" customWidth="1"/>
    <col min="519" max="519" width="20" customWidth="1"/>
    <col min="520" max="520" width="13.54296875" bestFit="1" customWidth="1"/>
    <col min="521" max="521" width="11.81640625" customWidth="1"/>
    <col min="522" max="522" width="21.81640625" bestFit="1" customWidth="1"/>
    <col min="523" max="523" width="10.1796875" bestFit="1" customWidth="1"/>
    <col min="524" max="525" width="8.54296875" bestFit="1" customWidth="1"/>
    <col min="526" max="526" width="8.26953125" bestFit="1" customWidth="1"/>
    <col min="768" max="768" width="57.7265625" customWidth="1"/>
    <col min="769" max="769" width="9.1796875" customWidth="1"/>
    <col min="770" max="770" width="8" bestFit="1" customWidth="1"/>
    <col min="771" max="772" width="8.1796875" bestFit="1" customWidth="1"/>
    <col min="773" max="773" width="7.26953125" bestFit="1" customWidth="1"/>
    <col min="774" max="774" width="21.1796875" customWidth="1"/>
    <col min="775" max="775" width="20" customWidth="1"/>
    <col min="776" max="776" width="13.54296875" bestFit="1" customWidth="1"/>
    <col min="777" max="777" width="11.81640625" customWidth="1"/>
    <col min="778" max="778" width="21.81640625" bestFit="1" customWidth="1"/>
    <col min="779" max="779" width="10.1796875" bestFit="1" customWidth="1"/>
    <col min="780" max="781" width="8.54296875" bestFit="1" customWidth="1"/>
    <col min="782" max="782" width="8.26953125" bestFit="1" customWidth="1"/>
    <col min="1024" max="1024" width="57.7265625" customWidth="1"/>
    <col min="1025" max="1025" width="9.1796875" customWidth="1"/>
    <col min="1026" max="1026" width="8" bestFit="1" customWidth="1"/>
    <col min="1027" max="1028" width="8.1796875" bestFit="1" customWidth="1"/>
    <col min="1029" max="1029" width="7.26953125" bestFit="1" customWidth="1"/>
    <col min="1030" max="1030" width="21.1796875" customWidth="1"/>
    <col min="1031" max="1031" width="20" customWidth="1"/>
    <col min="1032" max="1032" width="13.54296875" bestFit="1" customWidth="1"/>
    <col min="1033" max="1033" width="11.81640625" customWidth="1"/>
    <col min="1034" max="1034" width="21.81640625" bestFit="1" customWidth="1"/>
    <col min="1035" max="1035" width="10.1796875" bestFit="1" customWidth="1"/>
    <col min="1036" max="1037" width="8.54296875" bestFit="1" customWidth="1"/>
    <col min="1038" max="1038" width="8.26953125" bestFit="1" customWidth="1"/>
    <col min="1280" max="1280" width="57.7265625" customWidth="1"/>
    <col min="1281" max="1281" width="9.1796875" customWidth="1"/>
    <col min="1282" max="1282" width="8" bestFit="1" customWidth="1"/>
    <col min="1283" max="1284" width="8.1796875" bestFit="1" customWidth="1"/>
    <col min="1285" max="1285" width="7.26953125" bestFit="1" customWidth="1"/>
    <col min="1286" max="1286" width="21.1796875" customWidth="1"/>
    <col min="1287" max="1287" width="20" customWidth="1"/>
    <col min="1288" max="1288" width="13.54296875" bestFit="1" customWidth="1"/>
    <col min="1289" max="1289" width="11.81640625" customWidth="1"/>
    <col min="1290" max="1290" width="21.81640625" bestFit="1" customWidth="1"/>
    <col min="1291" max="1291" width="10.1796875" bestFit="1" customWidth="1"/>
    <col min="1292" max="1293" width="8.54296875" bestFit="1" customWidth="1"/>
    <col min="1294" max="1294" width="8.26953125" bestFit="1" customWidth="1"/>
    <col min="1536" max="1536" width="57.7265625" customWidth="1"/>
    <col min="1537" max="1537" width="9.1796875" customWidth="1"/>
    <col min="1538" max="1538" width="8" bestFit="1" customWidth="1"/>
    <col min="1539" max="1540" width="8.1796875" bestFit="1" customWidth="1"/>
    <col min="1541" max="1541" width="7.26953125" bestFit="1" customWidth="1"/>
    <col min="1542" max="1542" width="21.1796875" customWidth="1"/>
    <col min="1543" max="1543" width="20" customWidth="1"/>
    <col min="1544" max="1544" width="13.54296875" bestFit="1" customWidth="1"/>
    <col min="1545" max="1545" width="11.81640625" customWidth="1"/>
    <col min="1546" max="1546" width="21.81640625" bestFit="1" customWidth="1"/>
    <col min="1547" max="1547" width="10.1796875" bestFit="1" customWidth="1"/>
    <col min="1548" max="1549" width="8.54296875" bestFit="1" customWidth="1"/>
    <col min="1550" max="1550" width="8.26953125" bestFit="1" customWidth="1"/>
    <col min="1792" max="1792" width="57.7265625" customWidth="1"/>
    <col min="1793" max="1793" width="9.1796875" customWidth="1"/>
    <col min="1794" max="1794" width="8" bestFit="1" customWidth="1"/>
    <col min="1795" max="1796" width="8.1796875" bestFit="1" customWidth="1"/>
    <col min="1797" max="1797" width="7.26953125" bestFit="1" customWidth="1"/>
    <col min="1798" max="1798" width="21.1796875" customWidth="1"/>
    <col min="1799" max="1799" width="20" customWidth="1"/>
    <col min="1800" max="1800" width="13.54296875" bestFit="1" customWidth="1"/>
    <col min="1801" max="1801" width="11.81640625" customWidth="1"/>
    <col min="1802" max="1802" width="21.81640625" bestFit="1" customWidth="1"/>
    <col min="1803" max="1803" width="10.1796875" bestFit="1" customWidth="1"/>
    <col min="1804" max="1805" width="8.54296875" bestFit="1" customWidth="1"/>
    <col min="1806" max="1806" width="8.26953125" bestFit="1" customWidth="1"/>
    <col min="2048" max="2048" width="57.7265625" customWidth="1"/>
    <col min="2049" max="2049" width="9.1796875" customWidth="1"/>
    <col min="2050" max="2050" width="8" bestFit="1" customWidth="1"/>
    <col min="2051" max="2052" width="8.1796875" bestFit="1" customWidth="1"/>
    <col min="2053" max="2053" width="7.26953125" bestFit="1" customWidth="1"/>
    <col min="2054" max="2054" width="21.1796875" customWidth="1"/>
    <col min="2055" max="2055" width="20" customWidth="1"/>
    <col min="2056" max="2056" width="13.54296875" bestFit="1" customWidth="1"/>
    <col min="2057" max="2057" width="11.81640625" customWidth="1"/>
    <col min="2058" max="2058" width="21.81640625" bestFit="1" customWidth="1"/>
    <col min="2059" max="2059" width="10.1796875" bestFit="1" customWidth="1"/>
    <col min="2060" max="2061" width="8.54296875" bestFit="1" customWidth="1"/>
    <col min="2062" max="2062" width="8.26953125" bestFit="1" customWidth="1"/>
    <col min="2304" max="2304" width="57.7265625" customWidth="1"/>
    <col min="2305" max="2305" width="9.1796875" customWidth="1"/>
    <col min="2306" max="2306" width="8" bestFit="1" customWidth="1"/>
    <col min="2307" max="2308" width="8.1796875" bestFit="1" customWidth="1"/>
    <col min="2309" max="2309" width="7.26953125" bestFit="1" customWidth="1"/>
    <col min="2310" max="2310" width="21.1796875" customWidth="1"/>
    <col min="2311" max="2311" width="20" customWidth="1"/>
    <col min="2312" max="2312" width="13.54296875" bestFit="1" customWidth="1"/>
    <col min="2313" max="2313" width="11.81640625" customWidth="1"/>
    <col min="2314" max="2314" width="21.81640625" bestFit="1" customWidth="1"/>
    <col min="2315" max="2315" width="10.1796875" bestFit="1" customWidth="1"/>
    <col min="2316" max="2317" width="8.54296875" bestFit="1" customWidth="1"/>
    <col min="2318" max="2318" width="8.26953125" bestFit="1" customWidth="1"/>
    <col min="2560" max="2560" width="57.7265625" customWidth="1"/>
    <col min="2561" max="2561" width="9.1796875" customWidth="1"/>
    <col min="2562" max="2562" width="8" bestFit="1" customWidth="1"/>
    <col min="2563" max="2564" width="8.1796875" bestFit="1" customWidth="1"/>
    <col min="2565" max="2565" width="7.26953125" bestFit="1" customWidth="1"/>
    <col min="2566" max="2566" width="21.1796875" customWidth="1"/>
    <col min="2567" max="2567" width="20" customWidth="1"/>
    <col min="2568" max="2568" width="13.54296875" bestFit="1" customWidth="1"/>
    <col min="2569" max="2569" width="11.81640625" customWidth="1"/>
    <col min="2570" max="2570" width="21.81640625" bestFit="1" customWidth="1"/>
    <col min="2571" max="2571" width="10.1796875" bestFit="1" customWidth="1"/>
    <col min="2572" max="2573" width="8.54296875" bestFit="1" customWidth="1"/>
    <col min="2574" max="2574" width="8.26953125" bestFit="1" customWidth="1"/>
    <col min="2816" max="2816" width="57.7265625" customWidth="1"/>
    <col min="2817" max="2817" width="9.1796875" customWidth="1"/>
    <col min="2818" max="2818" width="8" bestFit="1" customWidth="1"/>
    <col min="2819" max="2820" width="8.1796875" bestFit="1" customWidth="1"/>
    <col min="2821" max="2821" width="7.26953125" bestFit="1" customWidth="1"/>
    <col min="2822" max="2822" width="21.1796875" customWidth="1"/>
    <col min="2823" max="2823" width="20" customWidth="1"/>
    <col min="2824" max="2824" width="13.54296875" bestFit="1" customWidth="1"/>
    <col min="2825" max="2825" width="11.81640625" customWidth="1"/>
    <col min="2826" max="2826" width="21.81640625" bestFit="1" customWidth="1"/>
    <col min="2827" max="2827" width="10.1796875" bestFit="1" customWidth="1"/>
    <col min="2828" max="2829" width="8.54296875" bestFit="1" customWidth="1"/>
    <col min="2830" max="2830" width="8.26953125" bestFit="1" customWidth="1"/>
    <col min="3072" max="3072" width="57.7265625" customWidth="1"/>
    <col min="3073" max="3073" width="9.1796875" customWidth="1"/>
    <col min="3074" max="3074" width="8" bestFit="1" customWidth="1"/>
    <col min="3075" max="3076" width="8.1796875" bestFit="1" customWidth="1"/>
    <col min="3077" max="3077" width="7.26953125" bestFit="1" customWidth="1"/>
    <col min="3078" max="3078" width="21.1796875" customWidth="1"/>
    <col min="3079" max="3079" width="20" customWidth="1"/>
    <col min="3080" max="3080" width="13.54296875" bestFit="1" customWidth="1"/>
    <col min="3081" max="3081" width="11.81640625" customWidth="1"/>
    <col min="3082" max="3082" width="21.81640625" bestFit="1" customWidth="1"/>
    <col min="3083" max="3083" width="10.1796875" bestFit="1" customWidth="1"/>
    <col min="3084" max="3085" width="8.54296875" bestFit="1" customWidth="1"/>
    <col min="3086" max="3086" width="8.26953125" bestFit="1" customWidth="1"/>
    <col min="3328" max="3328" width="57.7265625" customWidth="1"/>
    <col min="3329" max="3329" width="9.1796875" customWidth="1"/>
    <col min="3330" max="3330" width="8" bestFit="1" customWidth="1"/>
    <col min="3331" max="3332" width="8.1796875" bestFit="1" customWidth="1"/>
    <col min="3333" max="3333" width="7.26953125" bestFit="1" customWidth="1"/>
    <col min="3334" max="3334" width="21.1796875" customWidth="1"/>
    <col min="3335" max="3335" width="20" customWidth="1"/>
    <col min="3336" max="3336" width="13.54296875" bestFit="1" customWidth="1"/>
    <col min="3337" max="3337" width="11.81640625" customWidth="1"/>
    <col min="3338" max="3338" width="21.81640625" bestFit="1" customWidth="1"/>
    <col min="3339" max="3339" width="10.1796875" bestFit="1" customWidth="1"/>
    <col min="3340" max="3341" width="8.54296875" bestFit="1" customWidth="1"/>
    <col min="3342" max="3342" width="8.26953125" bestFit="1" customWidth="1"/>
    <col min="3584" max="3584" width="57.7265625" customWidth="1"/>
    <col min="3585" max="3585" width="9.1796875" customWidth="1"/>
    <col min="3586" max="3586" width="8" bestFit="1" customWidth="1"/>
    <col min="3587" max="3588" width="8.1796875" bestFit="1" customWidth="1"/>
    <col min="3589" max="3589" width="7.26953125" bestFit="1" customWidth="1"/>
    <col min="3590" max="3590" width="21.1796875" customWidth="1"/>
    <col min="3591" max="3591" width="20" customWidth="1"/>
    <col min="3592" max="3592" width="13.54296875" bestFit="1" customWidth="1"/>
    <col min="3593" max="3593" width="11.81640625" customWidth="1"/>
    <col min="3594" max="3594" width="21.81640625" bestFit="1" customWidth="1"/>
    <col min="3595" max="3595" width="10.1796875" bestFit="1" customWidth="1"/>
    <col min="3596" max="3597" width="8.54296875" bestFit="1" customWidth="1"/>
    <col min="3598" max="3598" width="8.26953125" bestFit="1" customWidth="1"/>
    <col min="3840" max="3840" width="57.7265625" customWidth="1"/>
    <col min="3841" max="3841" width="9.1796875" customWidth="1"/>
    <col min="3842" max="3842" width="8" bestFit="1" customWidth="1"/>
    <col min="3843" max="3844" width="8.1796875" bestFit="1" customWidth="1"/>
    <col min="3845" max="3845" width="7.26953125" bestFit="1" customWidth="1"/>
    <col min="3846" max="3846" width="21.1796875" customWidth="1"/>
    <col min="3847" max="3847" width="20" customWidth="1"/>
    <col min="3848" max="3848" width="13.54296875" bestFit="1" customWidth="1"/>
    <col min="3849" max="3849" width="11.81640625" customWidth="1"/>
    <col min="3850" max="3850" width="21.81640625" bestFit="1" customWidth="1"/>
    <col min="3851" max="3851" width="10.1796875" bestFit="1" customWidth="1"/>
    <col min="3852" max="3853" width="8.54296875" bestFit="1" customWidth="1"/>
    <col min="3854" max="3854" width="8.26953125" bestFit="1" customWidth="1"/>
    <col min="4096" max="4096" width="57.7265625" customWidth="1"/>
    <col min="4097" max="4097" width="9.1796875" customWidth="1"/>
    <col min="4098" max="4098" width="8" bestFit="1" customWidth="1"/>
    <col min="4099" max="4100" width="8.1796875" bestFit="1" customWidth="1"/>
    <col min="4101" max="4101" width="7.26953125" bestFit="1" customWidth="1"/>
    <col min="4102" max="4102" width="21.1796875" customWidth="1"/>
    <col min="4103" max="4103" width="20" customWidth="1"/>
    <col min="4104" max="4104" width="13.54296875" bestFit="1" customWidth="1"/>
    <col min="4105" max="4105" width="11.81640625" customWidth="1"/>
    <col min="4106" max="4106" width="21.81640625" bestFit="1" customWidth="1"/>
    <col min="4107" max="4107" width="10.1796875" bestFit="1" customWidth="1"/>
    <col min="4108" max="4109" width="8.54296875" bestFit="1" customWidth="1"/>
    <col min="4110" max="4110" width="8.26953125" bestFit="1" customWidth="1"/>
    <col min="4352" max="4352" width="57.7265625" customWidth="1"/>
    <col min="4353" max="4353" width="9.1796875" customWidth="1"/>
    <col min="4354" max="4354" width="8" bestFit="1" customWidth="1"/>
    <col min="4355" max="4356" width="8.1796875" bestFit="1" customWidth="1"/>
    <col min="4357" max="4357" width="7.26953125" bestFit="1" customWidth="1"/>
    <col min="4358" max="4358" width="21.1796875" customWidth="1"/>
    <col min="4359" max="4359" width="20" customWidth="1"/>
    <col min="4360" max="4360" width="13.54296875" bestFit="1" customWidth="1"/>
    <col min="4361" max="4361" width="11.81640625" customWidth="1"/>
    <col min="4362" max="4362" width="21.81640625" bestFit="1" customWidth="1"/>
    <col min="4363" max="4363" width="10.1796875" bestFit="1" customWidth="1"/>
    <col min="4364" max="4365" width="8.54296875" bestFit="1" customWidth="1"/>
    <col min="4366" max="4366" width="8.26953125" bestFit="1" customWidth="1"/>
    <col min="4608" max="4608" width="57.7265625" customWidth="1"/>
    <col min="4609" max="4609" width="9.1796875" customWidth="1"/>
    <col min="4610" max="4610" width="8" bestFit="1" customWidth="1"/>
    <col min="4611" max="4612" width="8.1796875" bestFit="1" customWidth="1"/>
    <col min="4613" max="4613" width="7.26953125" bestFit="1" customWidth="1"/>
    <col min="4614" max="4614" width="21.1796875" customWidth="1"/>
    <col min="4615" max="4615" width="20" customWidth="1"/>
    <col min="4616" max="4616" width="13.54296875" bestFit="1" customWidth="1"/>
    <col min="4617" max="4617" width="11.81640625" customWidth="1"/>
    <col min="4618" max="4618" width="21.81640625" bestFit="1" customWidth="1"/>
    <col min="4619" max="4619" width="10.1796875" bestFit="1" customWidth="1"/>
    <col min="4620" max="4621" width="8.54296875" bestFit="1" customWidth="1"/>
    <col min="4622" max="4622" width="8.26953125" bestFit="1" customWidth="1"/>
    <col min="4864" max="4864" width="57.7265625" customWidth="1"/>
    <col min="4865" max="4865" width="9.1796875" customWidth="1"/>
    <col min="4866" max="4866" width="8" bestFit="1" customWidth="1"/>
    <col min="4867" max="4868" width="8.1796875" bestFit="1" customWidth="1"/>
    <col min="4869" max="4869" width="7.26953125" bestFit="1" customWidth="1"/>
    <col min="4870" max="4870" width="21.1796875" customWidth="1"/>
    <col min="4871" max="4871" width="20" customWidth="1"/>
    <col min="4872" max="4872" width="13.54296875" bestFit="1" customWidth="1"/>
    <col min="4873" max="4873" width="11.81640625" customWidth="1"/>
    <col min="4874" max="4874" width="21.81640625" bestFit="1" customWidth="1"/>
    <col min="4875" max="4875" width="10.1796875" bestFit="1" customWidth="1"/>
    <col min="4876" max="4877" width="8.54296875" bestFit="1" customWidth="1"/>
    <col min="4878" max="4878" width="8.26953125" bestFit="1" customWidth="1"/>
    <col min="5120" max="5120" width="57.7265625" customWidth="1"/>
    <col min="5121" max="5121" width="9.1796875" customWidth="1"/>
    <col min="5122" max="5122" width="8" bestFit="1" customWidth="1"/>
    <col min="5123" max="5124" width="8.1796875" bestFit="1" customWidth="1"/>
    <col min="5125" max="5125" width="7.26953125" bestFit="1" customWidth="1"/>
    <col min="5126" max="5126" width="21.1796875" customWidth="1"/>
    <col min="5127" max="5127" width="20" customWidth="1"/>
    <col min="5128" max="5128" width="13.54296875" bestFit="1" customWidth="1"/>
    <col min="5129" max="5129" width="11.81640625" customWidth="1"/>
    <col min="5130" max="5130" width="21.81640625" bestFit="1" customWidth="1"/>
    <col min="5131" max="5131" width="10.1796875" bestFit="1" customWidth="1"/>
    <col min="5132" max="5133" width="8.54296875" bestFit="1" customWidth="1"/>
    <col min="5134" max="5134" width="8.26953125" bestFit="1" customWidth="1"/>
    <col min="5376" max="5376" width="57.7265625" customWidth="1"/>
    <col min="5377" max="5377" width="9.1796875" customWidth="1"/>
    <col min="5378" max="5378" width="8" bestFit="1" customWidth="1"/>
    <col min="5379" max="5380" width="8.1796875" bestFit="1" customWidth="1"/>
    <col min="5381" max="5381" width="7.26953125" bestFit="1" customWidth="1"/>
    <col min="5382" max="5382" width="21.1796875" customWidth="1"/>
    <col min="5383" max="5383" width="20" customWidth="1"/>
    <col min="5384" max="5384" width="13.54296875" bestFit="1" customWidth="1"/>
    <col min="5385" max="5385" width="11.81640625" customWidth="1"/>
    <col min="5386" max="5386" width="21.81640625" bestFit="1" customWidth="1"/>
    <col min="5387" max="5387" width="10.1796875" bestFit="1" customWidth="1"/>
    <col min="5388" max="5389" width="8.54296875" bestFit="1" customWidth="1"/>
    <col min="5390" max="5390" width="8.26953125" bestFit="1" customWidth="1"/>
    <col min="5632" max="5632" width="57.7265625" customWidth="1"/>
    <col min="5633" max="5633" width="9.1796875" customWidth="1"/>
    <col min="5634" max="5634" width="8" bestFit="1" customWidth="1"/>
    <col min="5635" max="5636" width="8.1796875" bestFit="1" customWidth="1"/>
    <col min="5637" max="5637" width="7.26953125" bestFit="1" customWidth="1"/>
    <col min="5638" max="5638" width="21.1796875" customWidth="1"/>
    <col min="5639" max="5639" width="20" customWidth="1"/>
    <col min="5640" max="5640" width="13.54296875" bestFit="1" customWidth="1"/>
    <col min="5641" max="5641" width="11.81640625" customWidth="1"/>
    <col min="5642" max="5642" width="21.81640625" bestFit="1" customWidth="1"/>
    <col min="5643" max="5643" width="10.1796875" bestFit="1" customWidth="1"/>
    <col min="5644" max="5645" width="8.54296875" bestFit="1" customWidth="1"/>
    <col min="5646" max="5646" width="8.26953125" bestFit="1" customWidth="1"/>
    <col min="5888" max="5888" width="57.7265625" customWidth="1"/>
    <col min="5889" max="5889" width="9.1796875" customWidth="1"/>
    <col min="5890" max="5890" width="8" bestFit="1" customWidth="1"/>
    <col min="5891" max="5892" width="8.1796875" bestFit="1" customWidth="1"/>
    <col min="5893" max="5893" width="7.26953125" bestFit="1" customWidth="1"/>
    <col min="5894" max="5894" width="21.1796875" customWidth="1"/>
    <col min="5895" max="5895" width="20" customWidth="1"/>
    <col min="5896" max="5896" width="13.54296875" bestFit="1" customWidth="1"/>
    <col min="5897" max="5897" width="11.81640625" customWidth="1"/>
    <col min="5898" max="5898" width="21.81640625" bestFit="1" customWidth="1"/>
    <col min="5899" max="5899" width="10.1796875" bestFit="1" customWidth="1"/>
    <col min="5900" max="5901" width="8.54296875" bestFit="1" customWidth="1"/>
    <col min="5902" max="5902" width="8.26953125" bestFit="1" customWidth="1"/>
    <col min="6144" max="6144" width="57.7265625" customWidth="1"/>
    <col min="6145" max="6145" width="9.1796875" customWidth="1"/>
    <col min="6146" max="6146" width="8" bestFit="1" customWidth="1"/>
    <col min="6147" max="6148" width="8.1796875" bestFit="1" customWidth="1"/>
    <col min="6149" max="6149" width="7.26953125" bestFit="1" customWidth="1"/>
    <col min="6150" max="6150" width="21.1796875" customWidth="1"/>
    <col min="6151" max="6151" width="20" customWidth="1"/>
    <col min="6152" max="6152" width="13.54296875" bestFit="1" customWidth="1"/>
    <col min="6153" max="6153" width="11.81640625" customWidth="1"/>
    <col min="6154" max="6154" width="21.81640625" bestFit="1" customWidth="1"/>
    <col min="6155" max="6155" width="10.1796875" bestFit="1" customWidth="1"/>
    <col min="6156" max="6157" width="8.54296875" bestFit="1" customWidth="1"/>
    <col min="6158" max="6158" width="8.26953125" bestFit="1" customWidth="1"/>
    <col min="6400" max="6400" width="57.7265625" customWidth="1"/>
    <col min="6401" max="6401" width="9.1796875" customWidth="1"/>
    <col min="6402" max="6402" width="8" bestFit="1" customWidth="1"/>
    <col min="6403" max="6404" width="8.1796875" bestFit="1" customWidth="1"/>
    <col min="6405" max="6405" width="7.26953125" bestFit="1" customWidth="1"/>
    <col min="6406" max="6406" width="21.1796875" customWidth="1"/>
    <col min="6407" max="6407" width="20" customWidth="1"/>
    <col min="6408" max="6408" width="13.54296875" bestFit="1" customWidth="1"/>
    <col min="6409" max="6409" width="11.81640625" customWidth="1"/>
    <col min="6410" max="6410" width="21.81640625" bestFit="1" customWidth="1"/>
    <col min="6411" max="6411" width="10.1796875" bestFit="1" customWidth="1"/>
    <col min="6412" max="6413" width="8.54296875" bestFit="1" customWidth="1"/>
    <col min="6414" max="6414" width="8.26953125" bestFit="1" customWidth="1"/>
    <col min="6656" max="6656" width="57.7265625" customWidth="1"/>
    <col min="6657" max="6657" width="9.1796875" customWidth="1"/>
    <col min="6658" max="6658" width="8" bestFit="1" customWidth="1"/>
    <col min="6659" max="6660" width="8.1796875" bestFit="1" customWidth="1"/>
    <col min="6661" max="6661" width="7.26953125" bestFit="1" customWidth="1"/>
    <col min="6662" max="6662" width="21.1796875" customWidth="1"/>
    <col min="6663" max="6663" width="20" customWidth="1"/>
    <col min="6664" max="6664" width="13.54296875" bestFit="1" customWidth="1"/>
    <col min="6665" max="6665" width="11.81640625" customWidth="1"/>
    <col min="6666" max="6666" width="21.81640625" bestFit="1" customWidth="1"/>
    <col min="6667" max="6667" width="10.1796875" bestFit="1" customWidth="1"/>
    <col min="6668" max="6669" width="8.54296875" bestFit="1" customWidth="1"/>
    <col min="6670" max="6670" width="8.26953125" bestFit="1" customWidth="1"/>
    <col min="6912" max="6912" width="57.7265625" customWidth="1"/>
    <col min="6913" max="6913" width="9.1796875" customWidth="1"/>
    <col min="6914" max="6914" width="8" bestFit="1" customWidth="1"/>
    <col min="6915" max="6916" width="8.1796875" bestFit="1" customWidth="1"/>
    <col min="6917" max="6917" width="7.26953125" bestFit="1" customWidth="1"/>
    <col min="6918" max="6918" width="21.1796875" customWidth="1"/>
    <col min="6919" max="6919" width="20" customWidth="1"/>
    <col min="6920" max="6920" width="13.54296875" bestFit="1" customWidth="1"/>
    <col min="6921" max="6921" width="11.81640625" customWidth="1"/>
    <col min="6922" max="6922" width="21.81640625" bestFit="1" customWidth="1"/>
    <col min="6923" max="6923" width="10.1796875" bestFit="1" customWidth="1"/>
    <col min="6924" max="6925" width="8.54296875" bestFit="1" customWidth="1"/>
    <col min="6926" max="6926" width="8.26953125" bestFit="1" customWidth="1"/>
    <col min="7168" max="7168" width="57.7265625" customWidth="1"/>
    <col min="7169" max="7169" width="9.1796875" customWidth="1"/>
    <col min="7170" max="7170" width="8" bestFit="1" customWidth="1"/>
    <col min="7171" max="7172" width="8.1796875" bestFit="1" customWidth="1"/>
    <col min="7173" max="7173" width="7.26953125" bestFit="1" customWidth="1"/>
    <col min="7174" max="7174" width="21.1796875" customWidth="1"/>
    <col min="7175" max="7175" width="20" customWidth="1"/>
    <col min="7176" max="7176" width="13.54296875" bestFit="1" customWidth="1"/>
    <col min="7177" max="7177" width="11.81640625" customWidth="1"/>
    <col min="7178" max="7178" width="21.81640625" bestFit="1" customWidth="1"/>
    <col min="7179" max="7179" width="10.1796875" bestFit="1" customWidth="1"/>
    <col min="7180" max="7181" width="8.54296875" bestFit="1" customWidth="1"/>
    <col min="7182" max="7182" width="8.26953125" bestFit="1" customWidth="1"/>
    <col min="7424" max="7424" width="57.7265625" customWidth="1"/>
    <col min="7425" max="7425" width="9.1796875" customWidth="1"/>
    <col min="7426" max="7426" width="8" bestFit="1" customWidth="1"/>
    <col min="7427" max="7428" width="8.1796875" bestFit="1" customWidth="1"/>
    <col min="7429" max="7429" width="7.26953125" bestFit="1" customWidth="1"/>
    <col min="7430" max="7430" width="21.1796875" customWidth="1"/>
    <col min="7431" max="7431" width="20" customWidth="1"/>
    <col min="7432" max="7432" width="13.54296875" bestFit="1" customWidth="1"/>
    <col min="7433" max="7433" width="11.81640625" customWidth="1"/>
    <col min="7434" max="7434" width="21.81640625" bestFit="1" customWidth="1"/>
    <col min="7435" max="7435" width="10.1796875" bestFit="1" customWidth="1"/>
    <col min="7436" max="7437" width="8.54296875" bestFit="1" customWidth="1"/>
    <col min="7438" max="7438" width="8.26953125" bestFit="1" customWidth="1"/>
    <col min="7680" max="7680" width="57.7265625" customWidth="1"/>
    <col min="7681" max="7681" width="9.1796875" customWidth="1"/>
    <col min="7682" max="7682" width="8" bestFit="1" customWidth="1"/>
    <col min="7683" max="7684" width="8.1796875" bestFit="1" customWidth="1"/>
    <col min="7685" max="7685" width="7.26953125" bestFit="1" customWidth="1"/>
    <col min="7686" max="7686" width="21.1796875" customWidth="1"/>
    <col min="7687" max="7687" width="20" customWidth="1"/>
    <col min="7688" max="7688" width="13.54296875" bestFit="1" customWidth="1"/>
    <col min="7689" max="7689" width="11.81640625" customWidth="1"/>
    <col min="7690" max="7690" width="21.81640625" bestFit="1" customWidth="1"/>
    <col min="7691" max="7691" width="10.1796875" bestFit="1" customWidth="1"/>
    <col min="7692" max="7693" width="8.54296875" bestFit="1" customWidth="1"/>
    <col min="7694" max="7694" width="8.26953125" bestFit="1" customWidth="1"/>
    <col min="7936" max="7936" width="57.7265625" customWidth="1"/>
    <col min="7937" max="7937" width="9.1796875" customWidth="1"/>
    <col min="7938" max="7938" width="8" bestFit="1" customWidth="1"/>
    <col min="7939" max="7940" width="8.1796875" bestFit="1" customWidth="1"/>
    <col min="7941" max="7941" width="7.26953125" bestFit="1" customWidth="1"/>
    <col min="7942" max="7942" width="21.1796875" customWidth="1"/>
    <col min="7943" max="7943" width="20" customWidth="1"/>
    <col min="7944" max="7944" width="13.54296875" bestFit="1" customWidth="1"/>
    <col min="7945" max="7945" width="11.81640625" customWidth="1"/>
    <col min="7946" max="7946" width="21.81640625" bestFit="1" customWidth="1"/>
    <col min="7947" max="7947" width="10.1796875" bestFit="1" customWidth="1"/>
    <col min="7948" max="7949" width="8.54296875" bestFit="1" customWidth="1"/>
    <col min="7950" max="7950" width="8.26953125" bestFit="1" customWidth="1"/>
    <col min="8192" max="8192" width="57.7265625" customWidth="1"/>
    <col min="8193" max="8193" width="9.1796875" customWidth="1"/>
    <col min="8194" max="8194" width="8" bestFit="1" customWidth="1"/>
    <col min="8195" max="8196" width="8.1796875" bestFit="1" customWidth="1"/>
    <col min="8197" max="8197" width="7.26953125" bestFit="1" customWidth="1"/>
    <col min="8198" max="8198" width="21.1796875" customWidth="1"/>
    <col min="8199" max="8199" width="20" customWidth="1"/>
    <col min="8200" max="8200" width="13.54296875" bestFit="1" customWidth="1"/>
    <col min="8201" max="8201" width="11.81640625" customWidth="1"/>
    <col min="8202" max="8202" width="21.81640625" bestFit="1" customWidth="1"/>
    <col min="8203" max="8203" width="10.1796875" bestFit="1" customWidth="1"/>
    <col min="8204" max="8205" width="8.54296875" bestFit="1" customWidth="1"/>
    <col min="8206" max="8206" width="8.26953125" bestFit="1" customWidth="1"/>
    <col min="8448" max="8448" width="57.7265625" customWidth="1"/>
    <col min="8449" max="8449" width="9.1796875" customWidth="1"/>
    <col min="8450" max="8450" width="8" bestFit="1" customWidth="1"/>
    <col min="8451" max="8452" width="8.1796875" bestFit="1" customWidth="1"/>
    <col min="8453" max="8453" width="7.26953125" bestFit="1" customWidth="1"/>
    <col min="8454" max="8454" width="21.1796875" customWidth="1"/>
    <col min="8455" max="8455" width="20" customWidth="1"/>
    <col min="8456" max="8456" width="13.54296875" bestFit="1" customWidth="1"/>
    <col min="8457" max="8457" width="11.81640625" customWidth="1"/>
    <col min="8458" max="8458" width="21.81640625" bestFit="1" customWidth="1"/>
    <col min="8459" max="8459" width="10.1796875" bestFit="1" customWidth="1"/>
    <col min="8460" max="8461" width="8.54296875" bestFit="1" customWidth="1"/>
    <col min="8462" max="8462" width="8.26953125" bestFit="1" customWidth="1"/>
    <col min="8704" max="8704" width="57.7265625" customWidth="1"/>
    <col min="8705" max="8705" width="9.1796875" customWidth="1"/>
    <col min="8706" max="8706" width="8" bestFit="1" customWidth="1"/>
    <col min="8707" max="8708" width="8.1796875" bestFit="1" customWidth="1"/>
    <col min="8709" max="8709" width="7.26953125" bestFit="1" customWidth="1"/>
    <col min="8710" max="8710" width="21.1796875" customWidth="1"/>
    <col min="8711" max="8711" width="20" customWidth="1"/>
    <col min="8712" max="8712" width="13.54296875" bestFit="1" customWidth="1"/>
    <col min="8713" max="8713" width="11.81640625" customWidth="1"/>
    <col min="8714" max="8714" width="21.81640625" bestFit="1" customWidth="1"/>
    <col min="8715" max="8715" width="10.1796875" bestFit="1" customWidth="1"/>
    <col min="8716" max="8717" width="8.54296875" bestFit="1" customWidth="1"/>
    <col min="8718" max="8718" width="8.26953125" bestFit="1" customWidth="1"/>
    <col min="8960" max="8960" width="57.7265625" customWidth="1"/>
    <col min="8961" max="8961" width="9.1796875" customWidth="1"/>
    <col min="8962" max="8962" width="8" bestFit="1" customWidth="1"/>
    <col min="8963" max="8964" width="8.1796875" bestFit="1" customWidth="1"/>
    <col min="8965" max="8965" width="7.26953125" bestFit="1" customWidth="1"/>
    <col min="8966" max="8966" width="21.1796875" customWidth="1"/>
    <col min="8967" max="8967" width="20" customWidth="1"/>
    <col min="8968" max="8968" width="13.54296875" bestFit="1" customWidth="1"/>
    <col min="8969" max="8969" width="11.81640625" customWidth="1"/>
    <col min="8970" max="8970" width="21.81640625" bestFit="1" customWidth="1"/>
    <col min="8971" max="8971" width="10.1796875" bestFit="1" customWidth="1"/>
    <col min="8972" max="8973" width="8.54296875" bestFit="1" customWidth="1"/>
    <col min="8974" max="8974" width="8.26953125" bestFit="1" customWidth="1"/>
    <col min="9216" max="9216" width="57.7265625" customWidth="1"/>
    <col min="9217" max="9217" width="9.1796875" customWidth="1"/>
    <col min="9218" max="9218" width="8" bestFit="1" customWidth="1"/>
    <col min="9219" max="9220" width="8.1796875" bestFit="1" customWidth="1"/>
    <col min="9221" max="9221" width="7.26953125" bestFit="1" customWidth="1"/>
    <col min="9222" max="9222" width="21.1796875" customWidth="1"/>
    <col min="9223" max="9223" width="20" customWidth="1"/>
    <col min="9224" max="9224" width="13.54296875" bestFit="1" customWidth="1"/>
    <col min="9225" max="9225" width="11.81640625" customWidth="1"/>
    <col min="9226" max="9226" width="21.81640625" bestFit="1" customWidth="1"/>
    <col min="9227" max="9227" width="10.1796875" bestFit="1" customWidth="1"/>
    <col min="9228" max="9229" width="8.54296875" bestFit="1" customWidth="1"/>
    <col min="9230" max="9230" width="8.26953125" bestFit="1" customWidth="1"/>
    <col min="9472" max="9472" width="57.7265625" customWidth="1"/>
    <col min="9473" max="9473" width="9.1796875" customWidth="1"/>
    <col min="9474" max="9474" width="8" bestFit="1" customWidth="1"/>
    <col min="9475" max="9476" width="8.1796875" bestFit="1" customWidth="1"/>
    <col min="9477" max="9477" width="7.26953125" bestFit="1" customWidth="1"/>
    <col min="9478" max="9478" width="21.1796875" customWidth="1"/>
    <col min="9479" max="9479" width="20" customWidth="1"/>
    <col min="9480" max="9480" width="13.54296875" bestFit="1" customWidth="1"/>
    <col min="9481" max="9481" width="11.81640625" customWidth="1"/>
    <col min="9482" max="9482" width="21.81640625" bestFit="1" customWidth="1"/>
    <col min="9483" max="9483" width="10.1796875" bestFit="1" customWidth="1"/>
    <col min="9484" max="9485" width="8.54296875" bestFit="1" customWidth="1"/>
    <col min="9486" max="9486" width="8.26953125" bestFit="1" customWidth="1"/>
    <col min="9728" max="9728" width="57.7265625" customWidth="1"/>
    <col min="9729" max="9729" width="9.1796875" customWidth="1"/>
    <col min="9730" max="9730" width="8" bestFit="1" customWidth="1"/>
    <col min="9731" max="9732" width="8.1796875" bestFit="1" customWidth="1"/>
    <col min="9733" max="9733" width="7.26953125" bestFit="1" customWidth="1"/>
    <col min="9734" max="9734" width="21.1796875" customWidth="1"/>
    <col min="9735" max="9735" width="20" customWidth="1"/>
    <col min="9736" max="9736" width="13.54296875" bestFit="1" customWidth="1"/>
    <col min="9737" max="9737" width="11.81640625" customWidth="1"/>
    <col min="9738" max="9738" width="21.81640625" bestFit="1" customWidth="1"/>
    <col min="9739" max="9739" width="10.1796875" bestFit="1" customWidth="1"/>
    <col min="9740" max="9741" width="8.54296875" bestFit="1" customWidth="1"/>
    <col min="9742" max="9742" width="8.26953125" bestFit="1" customWidth="1"/>
    <col min="9984" max="9984" width="57.7265625" customWidth="1"/>
    <col min="9985" max="9985" width="9.1796875" customWidth="1"/>
    <col min="9986" max="9986" width="8" bestFit="1" customWidth="1"/>
    <col min="9987" max="9988" width="8.1796875" bestFit="1" customWidth="1"/>
    <col min="9989" max="9989" width="7.26953125" bestFit="1" customWidth="1"/>
    <col min="9990" max="9990" width="21.1796875" customWidth="1"/>
    <col min="9991" max="9991" width="20" customWidth="1"/>
    <col min="9992" max="9992" width="13.54296875" bestFit="1" customWidth="1"/>
    <col min="9993" max="9993" width="11.81640625" customWidth="1"/>
    <col min="9994" max="9994" width="21.81640625" bestFit="1" customWidth="1"/>
    <col min="9995" max="9995" width="10.1796875" bestFit="1" customWidth="1"/>
    <col min="9996" max="9997" width="8.54296875" bestFit="1" customWidth="1"/>
    <col min="9998" max="9998" width="8.26953125" bestFit="1" customWidth="1"/>
    <col min="10240" max="10240" width="57.7265625" customWidth="1"/>
    <col min="10241" max="10241" width="9.1796875" customWidth="1"/>
    <col min="10242" max="10242" width="8" bestFit="1" customWidth="1"/>
    <col min="10243" max="10244" width="8.1796875" bestFit="1" customWidth="1"/>
    <col min="10245" max="10245" width="7.26953125" bestFit="1" customWidth="1"/>
    <col min="10246" max="10246" width="21.1796875" customWidth="1"/>
    <col min="10247" max="10247" width="20" customWidth="1"/>
    <col min="10248" max="10248" width="13.54296875" bestFit="1" customWidth="1"/>
    <col min="10249" max="10249" width="11.81640625" customWidth="1"/>
    <col min="10250" max="10250" width="21.81640625" bestFit="1" customWidth="1"/>
    <col min="10251" max="10251" width="10.1796875" bestFit="1" customWidth="1"/>
    <col min="10252" max="10253" width="8.54296875" bestFit="1" customWidth="1"/>
    <col min="10254" max="10254" width="8.26953125" bestFit="1" customWidth="1"/>
    <col min="10496" max="10496" width="57.7265625" customWidth="1"/>
    <col min="10497" max="10497" width="9.1796875" customWidth="1"/>
    <col min="10498" max="10498" width="8" bestFit="1" customWidth="1"/>
    <col min="10499" max="10500" width="8.1796875" bestFit="1" customWidth="1"/>
    <col min="10501" max="10501" width="7.26953125" bestFit="1" customWidth="1"/>
    <col min="10502" max="10502" width="21.1796875" customWidth="1"/>
    <col min="10503" max="10503" width="20" customWidth="1"/>
    <col min="10504" max="10504" width="13.54296875" bestFit="1" customWidth="1"/>
    <col min="10505" max="10505" width="11.81640625" customWidth="1"/>
    <col min="10506" max="10506" width="21.81640625" bestFit="1" customWidth="1"/>
    <col min="10507" max="10507" width="10.1796875" bestFit="1" customWidth="1"/>
    <col min="10508" max="10509" width="8.54296875" bestFit="1" customWidth="1"/>
    <col min="10510" max="10510" width="8.26953125" bestFit="1" customWidth="1"/>
    <col min="10752" max="10752" width="57.7265625" customWidth="1"/>
    <col min="10753" max="10753" width="9.1796875" customWidth="1"/>
    <col min="10754" max="10754" width="8" bestFit="1" customWidth="1"/>
    <col min="10755" max="10756" width="8.1796875" bestFit="1" customWidth="1"/>
    <col min="10757" max="10757" width="7.26953125" bestFit="1" customWidth="1"/>
    <col min="10758" max="10758" width="21.1796875" customWidth="1"/>
    <col min="10759" max="10759" width="20" customWidth="1"/>
    <col min="10760" max="10760" width="13.54296875" bestFit="1" customWidth="1"/>
    <col min="10761" max="10761" width="11.81640625" customWidth="1"/>
    <col min="10762" max="10762" width="21.81640625" bestFit="1" customWidth="1"/>
    <col min="10763" max="10763" width="10.1796875" bestFit="1" customWidth="1"/>
    <col min="10764" max="10765" width="8.54296875" bestFit="1" customWidth="1"/>
    <col min="10766" max="10766" width="8.26953125" bestFit="1" customWidth="1"/>
    <col min="11008" max="11008" width="57.7265625" customWidth="1"/>
    <col min="11009" max="11009" width="9.1796875" customWidth="1"/>
    <col min="11010" max="11010" width="8" bestFit="1" customWidth="1"/>
    <col min="11011" max="11012" width="8.1796875" bestFit="1" customWidth="1"/>
    <col min="11013" max="11013" width="7.26953125" bestFit="1" customWidth="1"/>
    <col min="11014" max="11014" width="21.1796875" customWidth="1"/>
    <col min="11015" max="11015" width="20" customWidth="1"/>
    <col min="11016" max="11016" width="13.54296875" bestFit="1" customWidth="1"/>
    <col min="11017" max="11017" width="11.81640625" customWidth="1"/>
    <col min="11018" max="11018" width="21.81640625" bestFit="1" customWidth="1"/>
    <col min="11019" max="11019" width="10.1796875" bestFit="1" customWidth="1"/>
    <col min="11020" max="11021" width="8.54296875" bestFit="1" customWidth="1"/>
    <col min="11022" max="11022" width="8.26953125" bestFit="1" customWidth="1"/>
    <col min="11264" max="11264" width="57.7265625" customWidth="1"/>
    <col min="11265" max="11265" width="9.1796875" customWidth="1"/>
    <col min="11266" max="11266" width="8" bestFit="1" customWidth="1"/>
    <col min="11267" max="11268" width="8.1796875" bestFit="1" customWidth="1"/>
    <col min="11269" max="11269" width="7.26953125" bestFit="1" customWidth="1"/>
    <col min="11270" max="11270" width="21.1796875" customWidth="1"/>
    <col min="11271" max="11271" width="20" customWidth="1"/>
    <col min="11272" max="11272" width="13.54296875" bestFit="1" customWidth="1"/>
    <col min="11273" max="11273" width="11.81640625" customWidth="1"/>
    <col min="11274" max="11274" width="21.81640625" bestFit="1" customWidth="1"/>
    <col min="11275" max="11275" width="10.1796875" bestFit="1" customWidth="1"/>
    <col min="11276" max="11277" width="8.54296875" bestFit="1" customWidth="1"/>
    <col min="11278" max="11278" width="8.26953125" bestFit="1" customWidth="1"/>
    <col min="11520" max="11520" width="57.7265625" customWidth="1"/>
    <col min="11521" max="11521" width="9.1796875" customWidth="1"/>
    <col min="11522" max="11522" width="8" bestFit="1" customWidth="1"/>
    <col min="11523" max="11524" width="8.1796875" bestFit="1" customWidth="1"/>
    <col min="11525" max="11525" width="7.26953125" bestFit="1" customWidth="1"/>
    <col min="11526" max="11526" width="21.1796875" customWidth="1"/>
    <col min="11527" max="11527" width="20" customWidth="1"/>
    <col min="11528" max="11528" width="13.54296875" bestFit="1" customWidth="1"/>
    <col min="11529" max="11529" width="11.81640625" customWidth="1"/>
    <col min="11530" max="11530" width="21.81640625" bestFit="1" customWidth="1"/>
    <col min="11531" max="11531" width="10.1796875" bestFit="1" customWidth="1"/>
    <col min="11532" max="11533" width="8.54296875" bestFit="1" customWidth="1"/>
    <col min="11534" max="11534" width="8.26953125" bestFit="1" customWidth="1"/>
    <col min="11776" max="11776" width="57.7265625" customWidth="1"/>
    <col min="11777" max="11777" width="9.1796875" customWidth="1"/>
    <col min="11778" max="11778" width="8" bestFit="1" customWidth="1"/>
    <col min="11779" max="11780" width="8.1796875" bestFit="1" customWidth="1"/>
    <col min="11781" max="11781" width="7.26953125" bestFit="1" customWidth="1"/>
    <col min="11782" max="11782" width="21.1796875" customWidth="1"/>
    <col min="11783" max="11783" width="20" customWidth="1"/>
    <col min="11784" max="11784" width="13.54296875" bestFit="1" customWidth="1"/>
    <col min="11785" max="11785" width="11.81640625" customWidth="1"/>
    <col min="11786" max="11786" width="21.81640625" bestFit="1" customWidth="1"/>
    <col min="11787" max="11787" width="10.1796875" bestFit="1" customWidth="1"/>
    <col min="11788" max="11789" width="8.54296875" bestFit="1" customWidth="1"/>
    <col min="11790" max="11790" width="8.26953125" bestFit="1" customWidth="1"/>
    <col min="12032" max="12032" width="57.7265625" customWidth="1"/>
    <col min="12033" max="12033" width="9.1796875" customWidth="1"/>
    <col min="12034" max="12034" width="8" bestFit="1" customWidth="1"/>
    <col min="12035" max="12036" width="8.1796875" bestFit="1" customWidth="1"/>
    <col min="12037" max="12037" width="7.26953125" bestFit="1" customWidth="1"/>
    <col min="12038" max="12038" width="21.1796875" customWidth="1"/>
    <col min="12039" max="12039" width="20" customWidth="1"/>
    <col min="12040" max="12040" width="13.54296875" bestFit="1" customWidth="1"/>
    <col min="12041" max="12041" width="11.81640625" customWidth="1"/>
    <col min="12042" max="12042" width="21.81640625" bestFit="1" customWidth="1"/>
    <col min="12043" max="12043" width="10.1796875" bestFit="1" customWidth="1"/>
    <col min="12044" max="12045" width="8.54296875" bestFit="1" customWidth="1"/>
    <col min="12046" max="12046" width="8.26953125" bestFit="1" customWidth="1"/>
    <col min="12288" max="12288" width="57.7265625" customWidth="1"/>
    <col min="12289" max="12289" width="9.1796875" customWidth="1"/>
    <col min="12290" max="12290" width="8" bestFit="1" customWidth="1"/>
    <col min="12291" max="12292" width="8.1796875" bestFit="1" customWidth="1"/>
    <col min="12293" max="12293" width="7.26953125" bestFit="1" customWidth="1"/>
    <col min="12294" max="12294" width="21.1796875" customWidth="1"/>
    <col min="12295" max="12295" width="20" customWidth="1"/>
    <col min="12296" max="12296" width="13.54296875" bestFit="1" customWidth="1"/>
    <col min="12297" max="12297" width="11.81640625" customWidth="1"/>
    <col min="12298" max="12298" width="21.81640625" bestFit="1" customWidth="1"/>
    <col min="12299" max="12299" width="10.1796875" bestFit="1" customWidth="1"/>
    <col min="12300" max="12301" width="8.54296875" bestFit="1" customWidth="1"/>
    <col min="12302" max="12302" width="8.26953125" bestFit="1" customWidth="1"/>
    <col min="12544" max="12544" width="57.7265625" customWidth="1"/>
    <col min="12545" max="12545" width="9.1796875" customWidth="1"/>
    <col min="12546" max="12546" width="8" bestFit="1" customWidth="1"/>
    <col min="12547" max="12548" width="8.1796875" bestFit="1" customWidth="1"/>
    <col min="12549" max="12549" width="7.26953125" bestFit="1" customWidth="1"/>
    <col min="12550" max="12550" width="21.1796875" customWidth="1"/>
    <col min="12551" max="12551" width="20" customWidth="1"/>
    <col min="12552" max="12552" width="13.54296875" bestFit="1" customWidth="1"/>
    <col min="12553" max="12553" width="11.81640625" customWidth="1"/>
    <col min="12554" max="12554" width="21.81640625" bestFit="1" customWidth="1"/>
    <col min="12555" max="12555" width="10.1796875" bestFit="1" customWidth="1"/>
    <col min="12556" max="12557" width="8.54296875" bestFit="1" customWidth="1"/>
    <col min="12558" max="12558" width="8.26953125" bestFit="1" customWidth="1"/>
    <col min="12800" max="12800" width="57.7265625" customWidth="1"/>
    <col min="12801" max="12801" width="9.1796875" customWidth="1"/>
    <col min="12802" max="12802" width="8" bestFit="1" customWidth="1"/>
    <col min="12803" max="12804" width="8.1796875" bestFit="1" customWidth="1"/>
    <col min="12805" max="12805" width="7.26953125" bestFit="1" customWidth="1"/>
    <col min="12806" max="12806" width="21.1796875" customWidth="1"/>
    <col min="12807" max="12807" width="20" customWidth="1"/>
    <col min="12808" max="12808" width="13.54296875" bestFit="1" customWidth="1"/>
    <col min="12809" max="12809" width="11.81640625" customWidth="1"/>
    <col min="12810" max="12810" width="21.81640625" bestFit="1" customWidth="1"/>
    <col min="12811" max="12811" width="10.1796875" bestFit="1" customWidth="1"/>
    <col min="12812" max="12813" width="8.54296875" bestFit="1" customWidth="1"/>
    <col min="12814" max="12814" width="8.26953125" bestFit="1" customWidth="1"/>
    <col min="13056" max="13056" width="57.7265625" customWidth="1"/>
    <col min="13057" max="13057" width="9.1796875" customWidth="1"/>
    <col min="13058" max="13058" width="8" bestFit="1" customWidth="1"/>
    <col min="13059" max="13060" width="8.1796875" bestFit="1" customWidth="1"/>
    <col min="13061" max="13061" width="7.26953125" bestFit="1" customWidth="1"/>
    <col min="13062" max="13062" width="21.1796875" customWidth="1"/>
    <col min="13063" max="13063" width="20" customWidth="1"/>
    <col min="13064" max="13064" width="13.54296875" bestFit="1" customWidth="1"/>
    <col min="13065" max="13065" width="11.81640625" customWidth="1"/>
    <col min="13066" max="13066" width="21.81640625" bestFit="1" customWidth="1"/>
    <col min="13067" max="13067" width="10.1796875" bestFit="1" customWidth="1"/>
    <col min="13068" max="13069" width="8.54296875" bestFit="1" customWidth="1"/>
    <col min="13070" max="13070" width="8.26953125" bestFit="1" customWidth="1"/>
    <col min="13312" max="13312" width="57.7265625" customWidth="1"/>
    <col min="13313" max="13313" width="9.1796875" customWidth="1"/>
    <col min="13314" max="13314" width="8" bestFit="1" customWidth="1"/>
    <col min="13315" max="13316" width="8.1796875" bestFit="1" customWidth="1"/>
    <col min="13317" max="13317" width="7.26953125" bestFit="1" customWidth="1"/>
    <col min="13318" max="13318" width="21.1796875" customWidth="1"/>
    <col min="13319" max="13319" width="20" customWidth="1"/>
    <col min="13320" max="13320" width="13.54296875" bestFit="1" customWidth="1"/>
    <col min="13321" max="13321" width="11.81640625" customWidth="1"/>
    <col min="13322" max="13322" width="21.81640625" bestFit="1" customWidth="1"/>
    <col min="13323" max="13323" width="10.1796875" bestFit="1" customWidth="1"/>
    <col min="13324" max="13325" width="8.54296875" bestFit="1" customWidth="1"/>
    <col min="13326" max="13326" width="8.26953125" bestFit="1" customWidth="1"/>
    <col min="13568" max="13568" width="57.7265625" customWidth="1"/>
    <col min="13569" max="13569" width="9.1796875" customWidth="1"/>
    <col min="13570" max="13570" width="8" bestFit="1" customWidth="1"/>
    <col min="13571" max="13572" width="8.1796875" bestFit="1" customWidth="1"/>
    <col min="13573" max="13573" width="7.26953125" bestFit="1" customWidth="1"/>
    <col min="13574" max="13574" width="21.1796875" customWidth="1"/>
    <col min="13575" max="13575" width="20" customWidth="1"/>
    <col min="13576" max="13576" width="13.54296875" bestFit="1" customWidth="1"/>
    <col min="13577" max="13577" width="11.81640625" customWidth="1"/>
    <col min="13578" max="13578" width="21.81640625" bestFit="1" customWidth="1"/>
    <col min="13579" max="13579" width="10.1796875" bestFit="1" customWidth="1"/>
    <col min="13580" max="13581" width="8.54296875" bestFit="1" customWidth="1"/>
    <col min="13582" max="13582" width="8.26953125" bestFit="1" customWidth="1"/>
    <col min="13824" max="13824" width="57.7265625" customWidth="1"/>
    <col min="13825" max="13825" width="9.1796875" customWidth="1"/>
    <col min="13826" max="13826" width="8" bestFit="1" customWidth="1"/>
    <col min="13827" max="13828" width="8.1796875" bestFit="1" customWidth="1"/>
    <col min="13829" max="13829" width="7.26953125" bestFit="1" customWidth="1"/>
    <col min="13830" max="13830" width="21.1796875" customWidth="1"/>
    <col min="13831" max="13831" width="20" customWidth="1"/>
    <col min="13832" max="13832" width="13.54296875" bestFit="1" customWidth="1"/>
    <col min="13833" max="13833" width="11.81640625" customWidth="1"/>
    <col min="13834" max="13834" width="21.81640625" bestFit="1" customWidth="1"/>
    <col min="13835" max="13835" width="10.1796875" bestFit="1" customWidth="1"/>
    <col min="13836" max="13837" width="8.54296875" bestFit="1" customWidth="1"/>
    <col min="13838" max="13838" width="8.26953125" bestFit="1" customWidth="1"/>
    <col min="14080" max="14080" width="57.7265625" customWidth="1"/>
    <col min="14081" max="14081" width="9.1796875" customWidth="1"/>
    <col min="14082" max="14082" width="8" bestFit="1" customWidth="1"/>
    <col min="14083" max="14084" width="8.1796875" bestFit="1" customWidth="1"/>
    <col min="14085" max="14085" width="7.26953125" bestFit="1" customWidth="1"/>
    <col min="14086" max="14086" width="21.1796875" customWidth="1"/>
    <col min="14087" max="14087" width="20" customWidth="1"/>
    <col min="14088" max="14088" width="13.54296875" bestFit="1" customWidth="1"/>
    <col min="14089" max="14089" width="11.81640625" customWidth="1"/>
    <col min="14090" max="14090" width="21.81640625" bestFit="1" customWidth="1"/>
    <col min="14091" max="14091" width="10.1796875" bestFit="1" customWidth="1"/>
    <col min="14092" max="14093" width="8.54296875" bestFit="1" customWidth="1"/>
    <col min="14094" max="14094" width="8.26953125" bestFit="1" customWidth="1"/>
    <col min="14336" max="14336" width="57.7265625" customWidth="1"/>
    <col min="14337" max="14337" width="9.1796875" customWidth="1"/>
    <col min="14338" max="14338" width="8" bestFit="1" customWidth="1"/>
    <col min="14339" max="14340" width="8.1796875" bestFit="1" customWidth="1"/>
    <col min="14341" max="14341" width="7.26953125" bestFit="1" customWidth="1"/>
    <col min="14342" max="14342" width="21.1796875" customWidth="1"/>
    <col min="14343" max="14343" width="20" customWidth="1"/>
    <col min="14344" max="14344" width="13.54296875" bestFit="1" customWidth="1"/>
    <col min="14345" max="14345" width="11.81640625" customWidth="1"/>
    <col min="14346" max="14346" width="21.81640625" bestFit="1" customWidth="1"/>
    <col min="14347" max="14347" width="10.1796875" bestFit="1" customWidth="1"/>
    <col min="14348" max="14349" width="8.54296875" bestFit="1" customWidth="1"/>
    <col min="14350" max="14350" width="8.26953125" bestFit="1" customWidth="1"/>
    <col min="14592" max="14592" width="57.7265625" customWidth="1"/>
    <col min="14593" max="14593" width="9.1796875" customWidth="1"/>
    <col min="14594" max="14594" width="8" bestFit="1" customWidth="1"/>
    <col min="14595" max="14596" width="8.1796875" bestFit="1" customWidth="1"/>
    <col min="14597" max="14597" width="7.26953125" bestFit="1" customWidth="1"/>
    <col min="14598" max="14598" width="21.1796875" customWidth="1"/>
    <col min="14599" max="14599" width="20" customWidth="1"/>
    <col min="14600" max="14600" width="13.54296875" bestFit="1" customWidth="1"/>
    <col min="14601" max="14601" width="11.81640625" customWidth="1"/>
    <col min="14602" max="14602" width="21.81640625" bestFit="1" customWidth="1"/>
    <col min="14603" max="14603" width="10.1796875" bestFit="1" customWidth="1"/>
    <col min="14604" max="14605" width="8.54296875" bestFit="1" customWidth="1"/>
    <col min="14606" max="14606" width="8.26953125" bestFit="1" customWidth="1"/>
    <col min="14848" max="14848" width="57.7265625" customWidth="1"/>
    <col min="14849" max="14849" width="9.1796875" customWidth="1"/>
    <col min="14850" max="14850" width="8" bestFit="1" customWidth="1"/>
    <col min="14851" max="14852" width="8.1796875" bestFit="1" customWidth="1"/>
    <col min="14853" max="14853" width="7.26953125" bestFit="1" customWidth="1"/>
    <col min="14854" max="14854" width="21.1796875" customWidth="1"/>
    <col min="14855" max="14855" width="20" customWidth="1"/>
    <col min="14856" max="14856" width="13.54296875" bestFit="1" customWidth="1"/>
    <col min="14857" max="14857" width="11.81640625" customWidth="1"/>
    <col min="14858" max="14858" width="21.81640625" bestFit="1" customWidth="1"/>
    <col min="14859" max="14859" width="10.1796875" bestFit="1" customWidth="1"/>
    <col min="14860" max="14861" width="8.54296875" bestFit="1" customWidth="1"/>
    <col min="14862" max="14862" width="8.26953125" bestFit="1" customWidth="1"/>
    <col min="15104" max="15104" width="57.7265625" customWidth="1"/>
    <col min="15105" max="15105" width="9.1796875" customWidth="1"/>
    <col min="15106" max="15106" width="8" bestFit="1" customWidth="1"/>
    <col min="15107" max="15108" width="8.1796875" bestFit="1" customWidth="1"/>
    <col min="15109" max="15109" width="7.26953125" bestFit="1" customWidth="1"/>
    <col min="15110" max="15110" width="21.1796875" customWidth="1"/>
    <col min="15111" max="15111" width="20" customWidth="1"/>
    <col min="15112" max="15112" width="13.54296875" bestFit="1" customWidth="1"/>
    <col min="15113" max="15113" width="11.81640625" customWidth="1"/>
    <col min="15114" max="15114" width="21.81640625" bestFit="1" customWidth="1"/>
    <col min="15115" max="15115" width="10.1796875" bestFit="1" customWidth="1"/>
    <col min="15116" max="15117" width="8.54296875" bestFit="1" customWidth="1"/>
    <col min="15118" max="15118" width="8.26953125" bestFit="1" customWidth="1"/>
    <col min="15360" max="15360" width="57.7265625" customWidth="1"/>
    <col min="15361" max="15361" width="9.1796875" customWidth="1"/>
    <col min="15362" max="15362" width="8" bestFit="1" customWidth="1"/>
    <col min="15363" max="15364" width="8.1796875" bestFit="1" customWidth="1"/>
    <col min="15365" max="15365" width="7.26953125" bestFit="1" customWidth="1"/>
    <col min="15366" max="15366" width="21.1796875" customWidth="1"/>
    <col min="15367" max="15367" width="20" customWidth="1"/>
    <col min="15368" max="15368" width="13.54296875" bestFit="1" customWidth="1"/>
    <col min="15369" max="15369" width="11.81640625" customWidth="1"/>
    <col min="15370" max="15370" width="21.81640625" bestFit="1" customWidth="1"/>
    <col min="15371" max="15371" width="10.1796875" bestFit="1" customWidth="1"/>
    <col min="15372" max="15373" width="8.54296875" bestFit="1" customWidth="1"/>
    <col min="15374" max="15374" width="8.26953125" bestFit="1" customWidth="1"/>
    <col min="15616" max="15616" width="57.7265625" customWidth="1"/>
    <col min="15617" max="15617" width="9.1796875" customWidth="1"/>
    <col min="15618" max="15618" width="8" bestFit="1" customWidth="1"/>
    <col min="15619" max="15620" width="8.1796875" bestFit="1" customWidth="1"/>
    <col min="15621" max="15621" width="7.26953125" bestFit="1" customWidth="1"/>
    <col min="15622" max="15622" width="21.1796875" customWidth="1"/>
    <col min="15623" max="15623" width="20" customWidth="1"/>
    <col min="15624" max="15624" width="13.54296875" bestFit="1" customWidth="1"/>
    <col min="15625" max="15625" width="11.81640625" customWidth="1"/>
    <col min="15626" max="15626" width="21.81640625" bestFit="1" customWidth="1"/>
    <col min="15627" max="15627" width="10.1796875" bestFit="1" customWidth="1"/>
    <col min="15628" max="15629" width="8.54296875" bestFit="1" customWidth="1"/>
    <col min="15630" max="15630" width="8.26953125" bestFit="1" customWidth="1"/>
    <col min="15872" max="15872" width="57.7265625" customWidth="1"/>
    <col min="15873" max="15873" width="9.1796875" customWidth="1"/>
    <col min="15874" max="15874" width="8" bestFit="1" customWidth="1"/>
    <col min="15875" max="15876" width="8.1796875" bestFit="1" customWidth="1"/>
    <col min="15877" max="15877" width="7.26953125" bestFit="1" customWidth="1"/>
    <col min="15878" max="15878" width="21.1796875" customWidth="1"/>
    <col min="15879" max="15879" width="20" customWidth="1"/>
    <col min="15880" max="15880" width="13.54296875" bestFit="1" customWidth="1"/>
    <col min="15881" max="15881" width="11.81640625" customWidth="1"/>
    <col min="15882" max="15882" width="21.81640625" bestFit="1" customWidth="1"/>
    <col min="15883" max="15883" width="10.1796875" bestFit="1" customWidth="1"/>
    <col min="15884" max="15885" width="8.54296875" bestFit="1" customWidth="1"/>
    <col min="15886" max="15886" width="8.26953125" bestFit="1" customWidth="1"/>
    <col min="16128" max="16128" width="57.7265625" customWidth="1"/>
    <col min="16129" max="16129" width="9.1796875" customWidth="1"/>
    <col min="16130" max="16130" width="8" bestFit="1" customWidth="1"/>
    <col min="16131" max="16132" width="8.1796875" bestFit="1" customWidth="1"/>
    <col min="16133" max="16133" width="7.26953125" bestFit="1" customWidth="1"/>
    <col min="16134" max="16134" width="21.1796875" customWidth="1"/>
    <col min="16135" max="16135" width="20" customWidth="1"/>
    <col min="16136" max="16136" width="13.54296875" bestFit="1" customWidth="1"/>
    <col min="16137" max="16137" width="11.81640625" customWidth="1"/>
    <col min="16138" max="16138" width="21.81640625" bestFit="1" customWidth="1"/>
    <col min="16139" max="16139" width="10.1796875" bestFit="1" customWidth="1"/>
    <col min="16140" max="16141" width="8.54296875" bestFit="1" customWidth="1"/>
    <col min="16142" max="16142" width="8.26953125" bestFit="1" customWidth="1"/>
  </cols>
  <sheetData>
    <row r="1" spans="1:15" s="5" customFormat="1" ht="60.5">
      <c r="A1" s="1" t="s">
        <v>0</v>
      </c>
      <c r="B1" s="56" t="s">
        <v>1</v>
      </c>
      <c r="C1" s="1" t="s">
        <v>2</v>
      </c>
      <c r="D1" s="2" t="s">
        <v>3</v>
      </c>
      <c r="E1" s="2" t="s">
        <v>4</v>
      </c>
      <c r="F1" s="2" t="s">
        <v>5</v>
      </c>
      <c r="G1" s="3" t="s">
        <v>6</v>
      </c>
      <c r="H1" s="3" t="s">
        <v>702</v>
      </c>
      <c r="I1" s="2" t="s">
        <v>7</v>
      </c>
      <c r="J1" s="2" t="s">
        <v>8</v>
      </c>
      <c r="K1" s="2" t="s">
        <v>9</v>
      </c>
      <c r="L1" s="2" t="s">
        <v>10</v>
      </c>
      <c r="M1" s="2" t="s">
        <v>12</v>
      </c>
      <c r="N1" s="159" t="s">
        <v>508</v>
      </c>
      <c r="O1" s="160" t="s">
        <v>707</v>
      </c>
    </row>
    <row r="2" spans="1:15" s="11" customFormat="1" ht="10.5">
      <c r="A2" s="6" t="s">
        <v>1997</v>
      </c>
      <c r="B2" s="161" t="s">
        <v>14</v>
      </c>
      <c r="C2" s="162" t="s">
        <v>15</v>
      </c>
      <c r="D2" s="7">
        <v>1</v>
      </c>
      <c r="E2" s="7">
        <f>E8</f>
        <v>50</v>
      </c>
      <c r="F2" s="7">
        <f>SUM(F3:F8)</f>
        <v>50</v>
      </c>
      <c r="G2" s="8"/>
      <c r="H2" s="8"/>
      <c r="I2" s="9"/>
      <c r="J2" s="9"/>
      <c r="K2" s="7"/>
      <c r="L2" s="7"/>
      <c r="M2" s="163"/>
      <c r="N2" s="164"/>
      <c r="O2" s="165"/>
    </row>
    <row r="3" spans="1:15" s="11" customFormat="1" ht="21">
      <c r="A3" s="12" t="s">
        <v>17</v>
      </c>
      <c r="B3" s="166" t="s">
        <v>18</v>
      </c>
      <c r="C3" s="167">
        <v>1</v>
      </c>
      <c r="D3" s="14">
        <v>1</v>
      </c>
      <c r="E3" s="14">
        <f t="shared" ref="E3:E8" si="0">D3+F3-1</f>
        <v>1</v>
      </c>
      <c r="F3" s="14">
        <v>1</v>
      </c>
      <c r="G3" s="15" t="s">
        <v>19</v>
      </c>
      <c r="H3" s="15"/>
      <c r="I3" s="16"/>
      <c r="J3" s="16"/>
      <c r="K3" s="14"/>
      <c r="L3" s="14"/>
      <c r="M3" s="168" t="s">
        <v>1998</v>
      </c>
      <c r="N3" s="22"/>
      <c r="O3" s="169"/>
    </row>
    <row r="4" spans="1:15" s="23" customFormat="1">
      <c r="A4" s="64" t="s">
        <v>21</v>
      </c>
      <c r="B4" s="170" t="s">
        <v>22</v>
      </c>
      <c r="C4" s="171">
        <v>2</v>
      </c>
      <c r="D4" s="19">
        <f>E3+1</f>
        <v>2</v>
      </c>
      <c r="E4" s="19">
        <f t="shared" si="0"/>
        <v>16</v>
      </c>
      <c r="F4" s="19">
        <v>15</v>
      </c>
      <c r="G4" s="20" t="s">
        <v>1999</v>
      </c>
      <c r="H4" s="20"/>
      <c r="I4" s="66"/>
      <c r="J4" s="66"/>
      <c r="K4" s="19"/>
      <c r="L4" s="19"/>
      <c r="M4" s="172"/>
      <c r="N4" s="22"/>
      <c r="O4" s="173"/>
    </row>
    <row r="5" spans="1:15" s="23" customFormat="1">
      <c r="A5" s="64" t="s">
        <v>24</v>
      </c>
      <c r="B5" s="170" t="s">
        <v>25</v>
      </c>
      <c r="C5" s="171">
        <v>3</v>
      </c>
      <c r="D5" s="19">
        <f>E4+1</f>
        <v>17</v>
      </c>
      <c r="E5" s="19">
        <f t="shared" si="0"/>
        <v>26</v>
      </c>
      <c r="F5" s="19">
        <v>10</v>
      </c>
      <c r="G5" s="20" t="s">
        <v>26</v>
      </c>
      <c r="H5" s="20"/>
      <c r="I5" s="66"/>
      <c r="J5" s="66"/>
      <c r="K5" s="19"/>
      <c r="L5" s="19"/>
      <c r="M5" s="172"/>
      <c r="N5" s="22"/>
      <c r="O5" s="173"/>
    </row>
    <row r="6" spans="1:15" s="23" customFormat="1">
      <c r="A6" s="64" t="s">
        <v>215</v>
      </c>
      <c r="B6" s="170" t="s">
        <v>216</v>
      </c>
      <c r="C6" s="171">
        <v>4</v>
      </c>
      <c r="D6" s="19">
        <f>E7+1</f>
        <v>42</v>
      </c>
      <c r="E6" s="19">
        <f t="shared" si="0"/>
        <v>49</v>
      </c>
      <c r="F6" s="19">
        <v>8</v>
      </c>
      <c r="G6" s="20" t="s">
        <v>292</v>
      </c>
      <c r="H6" s="20"/>
      <c r="I6" s="174"/>
      <c r="J6" s="174"/>
      <c r="K6" s="19"/>
      <c r="L6" s="19"/>
      <c r="M6" s="172"/>
      <c r="N6" s="22"/>
      <c r="O6" s="173"/>
    </row>
    <row r="7" spans="1:15" s="11" customFormat="1">
      <c r="A7" s="64" t="s">
        <v>30</v>
      </c>
      <c r="B7" s="170" t="s">
        <v>22</v>
      </c>
      <c r="C7" s="171">
        <v>5</v>
      </c>
      <c r="D7" s="19">
        <f>E5+1</f>
        <v>27</v>
      </c>
      <c r="E7" s="19">
        <f t="shared" si="0"/>
        <v>41</v>
      </c>
      <c r="F7" s="19">
        <v>15</v>
      </c>
      <c r="G7" s="25" t="s">
        <v>2000</v>
      </c>
      <c r="H7" s="25"/>
      <c r="I7" s="26"/>
      <c r="J7" s="26"/>
      <c r="K7" s="14"/>
      <c r="L7" s="14"/>
      <c r="M7" s="168"/>
      <c r="N7" s="22"/>
      <c r="O7" s="169"/>
    </row>
    <row r="8" spans="1:15" s="23" customFormat="1" ht="10">
      <c r="A8" s="80" t="s">
        <v>33</v>
      </c>
      <c r="B8" s="175" t="s">
        <v>34</v>
      </c>
      <c r="C8" s="171">
        <v>6</v>
      </c>
      <c r="D8" s="19">
        <f>E6+1</f>
        <v>50</v>
      </c>
      <c r="E8" s="19">
        <f t="shared" si="0"/>
        <v>50</v>
      </c>
      <c r="F8" s="19">
        <v>1</v>
      </c>
      <c r="G8" s="20" t="s">
        <v>35</v>
      </c>
      <c r="H8" s="20"/>
      <c r="I8" s="66"/>
      <c r="J8" s="66"/>
      <c r="K8" s="19"/>
      <c r="L8" s="19"/>
      <c r="M8" s="172"/>
      <c r="N8" s="22"/>
      <c r="O8" s="173"/>
    </row>
    <row r="9" spans="1:15" s="11" customFormat="1" ht="10.5">
      <c r="A9" s="6" t="s">
        <v>2001</v>
      </c>
      <c r="B9" s="161" t="s">
        <v>14</v>
      </c>
      <c r="C9" s="176" t="s">
        <v>15</v>
      </c>
      <c r="D9" s="7">
        <v>1</v>
      </c>
      <c r="E9" s="7">
        <f xml:space="preserve"> E46</f>
        <v>415</v>
      </c>
      <c r="F9" s="7">
        <f>SUM(F10:F46)</f>
        <v>415</v>
      </c>
      <c r="G9" s="28"/>
      <c r="H9" s="28"/>
      <c r="I9" s="29"/>
      <c r="J9" s="29"/>
      <c r="K9" s="7"/>
      <c r="L9" s="7"/>
      <c r="M9" s="163"/>
      <c r="N9" s="164"/>
      <c r="O9" s="165"/>
    </row>
    <row r="10" spans="1:15" s="11" customFormat="1" ht="21">
      <c r="A10" s="30" t="s">
        <v>37</v>
      </c>
      <c r="B10" s="166" t="s">
        <v>18</v>
      </c>
      <c r="C10" s="167">
        <v>7</v>
      </c>
      <c r="D10" s="31">
        <v>1</v>
      </c>
      <c r="E10" s="14">
        <f t="shared" ref="E10:E46" si="1">D10+F10-1</f>
        <v>1</v>
      </c>
      <c r="F10" s="31">
        <v>1</v>
      </c>
      <c r="G10" s="15" t="s">
        <v>38</v>
      </c>
      <c r="H10" s="15"/>
      <c r="I10" s="16"/>
      <c r="J10" s="16"/>
      <c r="K10" s="31"/>
      <c r="L10" s="31"/>
      <c r="M10" s="168" t="s">
        <v>1998</v>
      </c>
      <c r="N10" s="22"/>
      <c r="O10" s="169"/>
    </row>
    <row r="11" spans="1:15" s="11" customFormat="1">
      <c r="A11" s="468" t="s">
        <v>957</v>
      </c>
      <c r="B11" s="166" t="s">
        <v>488</v>
      </c>
      <c r="C11" s="167">
        <v>8</v>
      </c>
      <c r="D11" s="14">
        <f t="shared" ref="D11:D46" si="2">E10+1</f>
        <v>2</v>
      </c>
      <c r="E11" s="14">
        <f t="shared" si="1"/>
        <v>12</v>
      </c>
      <c r="F11" s="14">
        <v>11</v>
      </c>
      <c r="H11" s="15"/>
      <c r="I11" s="16" t="s">
        <v>297</v>
      </c>
      <c r="J11" s="16" t="s">
        <v>2002</v>
      </c>
      <c r="K11" s="15" t="s">
        <v>2003</v>
      </c>
      <c r="L11" s="14" t="s">
        <v>730</v>
      </c>
      <c r="M11" s="168" t="s">
        <v>1998</v>
      </c>
      <c r="N11" s="22" t="s">
        <v>306</v>
      </c>
      <c r="O11" s="169"/>
    </row>
    <row r="12" spans="1:15" s="11" customFormat="1">
      <c r="A12" s="468" t="s">
        <v>2004</v>
      </c>
      <c r="B12" s="166" t="s">
        <v>18</v>
      </c>
      <c r="C12" s="167">
        <v>9</v>
      </c>
      <c r="D12" s="14">
        <f t="shared" si="2"/>
        <v>13</v>
      </c>
      <c r="E12" s="14">
        <f t="shared" si="1"/>
        <v>13</v>
      </c>
      <c r="F12" s="14">
        <v>1</v>
      </c>
      <c r="G12" s="15" t="s">
        <v>2005</v>
      </c>
      <c r="H12" s="15"/>
      <c r="I12" s="16" t="s">
        <v>297</v>
      </c>
      <c r="J12" s="16" t="s">
        <v>2006</v>
      </c>
      <c r="K12" s="15" t="s">
        <v>2007</v>
      </c>
      <c r="L12" s="14" t="s">
        <v>730</v>
      </c>
      <c r="M12" s="168" t="s">
        <v>1998</v>
      </c>
      <c r="N12" s="22" t="s">
        <v>306</v>
      </c>
      <c r="O12" s="169"/>
    </row>
    <row r="13" spans="1:15" s="11" customFormat="1" ht="50.5">
      <c r="A13" s="468" t="s">
        <v>2008</v>
      </c>
      <c r="B13" s="166" t="s">
        <v>1351</v>
      </c>
      <c r="C13" s="167">
        <v>10</v>
      </c>
      <c r="D13" s="14">
        <f t="shared" si="2"/>
        <v>14</v>
      </c>
      <c r="E13" s="14">
        <f t="shared" si="1"/>
        <v>14</v>
      </c>
      <c r="F13" s="14">
        <v>1</v>
      </c>
      <c r="G13" s="11" t="s">
        <v>2009</v>
      </c>
      <c r="H13" s="469" t="s">
        <v>2010</v>
      </c>
      <c r="I13" s="16" t="s">
        <v>297</v>
      </c>
      <c r="J13" s="16" t="s">
        <v>2011</v>
      </c>
      <c r="K13" s="15" t="s">
        <v>2012</v>
      </c>
      <c r="L13" s="14" t="s">
        <v>730</v>
      </c>
      <c r="M13" s="168" t="s">
        <v>1998</v>
      </c>
      <c r="N13" s="22" t="s">
        <v>306</v>
      </c>
      <c r="O13" s="169"/>
    </row>
    <row r="14" spans="1:15" s="11" customFormat="1" ht="20.5">
      <c r="A14" s="468" t="s">
        <v>2013</v>
      </c>
      <c r="B14" s="166" t="s">
        <v>216</v>
      </c>
      <c r="C14" s="167">
        <v>11</v>
      </c>
      <c r="D14" s="14">
        <f t="shared" si="2"/>
        <v>15</v>
      </c>
      <c r="E14" s="14">
        <f t="shared" si="1"/>
        <v>22</v>
      </c>
      <c r="F14" s="14">
        <v>8</v>
      </c>
      <c r="G14" s="73" t="s">
        <v>2014</v>
      </c>
      <c r="H14" s="73"/>
      <c r="I14" s="16" t="s">
        <v>297</v>
      </c>
      <c r="J14" s="16" t="s">
        <v>2015</v>
      </c>
      <c r="K14" s="15" t="s">
        <v>2016</v>
      </c>
      <c r="L14" s="14" t="s">
        <v>730</v>
      </c>
      <c r="M14" s="168" t="s">
        <v>1998</v>
      </c>
      <c r="N14" s="22" t="s">
        <v>306</v>
      </c>
      <c r="O14" s="169"/>
    </row>
    <row r="15" spans="1:15" s="11" customFormat="1" ht="24.75" customHeight="1">
      <c r="A15" s="468" t="s">
        <v>2017</v>
      </c>
      <c r="B15" s="166" t="s">
        <v>216</v>
      </c>
      <c r="C15" s="167">
        <v>12</v>
      </c>
      <c r="D15" s="14">
        <f t="shared" si="2"/>
        <v>23</v>
      </c>
      <c r="E15" s="14">
        <f t="shared" si="1"/>
        <v>30</v>
      </c>
      <c r="F15" s="14">
        <v>8</v>
      </c>
      <c r="G15" s="11" t="s">
        <v>2018</v>
      </c>
      <c r="H15" s="73"/>
      <c r="I15" s="16" t="s">
        <v>297</v>
      </c>
      <c r="J15" s="16" t="s">
        <v>2019</v>
      </c>
      <c r="K15" s="15" t="s">
        <v>2020</v>
      </c>
      <c r="L15" s="14" t="s">
        <v>730</v>
      </c>
      <c r="M15" s="168" t="s">
        <v>1998</v>
      </c>
      <c r="N15" s="22" t="s">
        <v>306</v>
      </c>
      <c r="O15" s="169"/>
    </row>
    <row r="16" spans="1:15" s="11" customFormat="1">
      <c r="A16" s="468" t="s">
        <v>2021</v>
      </c>
      <c r="B16" s="166" t="s">
        <v>18</v>
      </c>
      <c r="C16" s="167">
        <v>13</v>
      </c>
      <c r="D16" s="14">
        <f t="shared" si="2"/>
        <v>31</v>
      </c>
      <c r="E16" s="14">
        <f t="shared" si="1"/>
        <v>31</v>
      </c>
      <c r="F16" s="14">
        <v>1</v>
      </c>
      <c r="G16" s="11" t="s">
        <v>2022</v>
      </c>
      <c r="H16" s="73"/>
      <c r="I16" s="16" t="s">
        <v>297</v>
      </c>
      <c r="J16" s="16" t="s">
        <v>542</v>
      </c>
      <c r="K16" s="15" t="s">
        <v>2023</v>
      </c>
      <c r="L16" s="14" t="s">
        <v>730</v>
      </c>
      <c r="M16" s="168" t="s">
        <v>1998</v>
      </c>
      <c r="N16" s="22" t="s">
        <v>306</v>
      </c>
      <c r="O16" s="169"/>
    </row>
    <row r="17" spans="1:15" s="11" customFormat="1">
      <c r="A17" s="468" t="s">
        <v>2024</v>
      </c>
      <c r="B17" s="166" t="s">
        <v>216</v>
      </c>
      <c r="C17" s="167">
        <v>14</v>
      </c>
      <c r="D17" s="14">
        <f t="shared" si="2"/>
        <v>32</v>
      </c>
      <c r="E17" s="14">
        <f t="shared" si="1"/>
        <v>39</v>
      </c>
      <c r="F17" s="14">
        <v>8</v>
      </c>
      <c r="G17" s="11" t="s">
        <v>2025</v>
      </c>
      <c r="H17" s="73"/>
      <c r="I17" s="16" t="s">
        <v>297</v>
      </c>
      <c r="J17" s="16" t="s">
        <v>2019</v>
      </c>
      <c r="K17" s="15" t="s">
        <v>2026</v>
      </c>
      <c r="L17" s="14" t="s">
        <v>730</v>
      </c>
      <c r="M17" s="168" t="s">
        <v>1998</v>
      </c>
      <c r="N17" s="22" t="s">
        <v>306</v>
      </c>
      <c r="O17" s="169"/>
    </row>
    <row r="18" spans="1:15" s="11" customFormat="1">
      <c r="A18" s="468" t="s">
        <v>2027</v>
      </c>
      <c r="B18" s="166" t="s">
        <v>18</v>
      </c>
      <c r="C18" s="167">
        <v>15</v>
      </c>
      <c r="D18" s="14">
        <f t="shared" si="2"/>
        <v>40</v>
      </c>
      <c r="E18" s="14">
        <f t="shared" si="1"/>
        <v>40</v>
      </c>
      <c r="F18" s="14">
        <v>1</v>
      </c>
      <c r="G18" s="11" t="s">
        <v>2028</v>
      </c>
      <c r="H18" s="73"/>
      <c r="I18" s="16" t="s">
        <v>297</v>
      </c>
      <c r="J18" s="16" t="s">
        <v>2019</v>
      </c>
      <c r="K18" s="15" t="s">
        <v>2029</v>
      </c>
      <c r="L18" s="14" t="s">
        <v>730</v>
      </c>
      <c r="M18" s="168" t="s">
        <v>1998</v>
      </c>
      <c r="N18" s="22" t="s">
        <v>306</v>
      </c>
      <c r="O18" s="169"/>
    </row>
    <row r="19" spans="1:15" s="11" customFormat="1">
      <c r="A19" s="468" t="s">
        <v>2030</v>
      </c>
      <c r="B19" s="166" t="s">
        <v>18</v>
      </c>
      <c r="C19" s="167">
        <v>19</v>
      </c>
      <c r="D19" s="14">
        <f t="shared" si="2"/>
        <v>41</v>
      </c>
      <c r="E19" s="14">
        <f t="shared" si="1"/>
        <v>41</v>
      </c>
      <c r="F19" s="14">
        <v>1</v>
      </c>
      <c r="G19" s="11" t="s">
        <v>2031</v>
      </c>
      <c r="H19" s="73"/>
      <c r="I19" s="16" t="s">
        <v>297</v>
      </c>
      <c r="J19" s="16" t="s">
        <v>2019</v>
      </c>
      <c r="K19" s="15" t="s">
        <v>2032</v>
      </c>
      <c r="L19" s="14" t="s">
        <v>730</v>
      </c>
      <c r="M19" s="168" t="s">
        <v>1998</v>
      </c>
      <c r="N19" s="22" t="s">
        <v>306</v>
      </c>
      <c r="O19" s="169"/>
    </row>
    <row r="20" spans="1:15" s="11" customFormat="1">
      <c r="A20" s="468" t="s">
        <v>2033</v>
      </c>
      <c r="B20" s="166" t="s">
        <v>18</v>
      </c>
      <c r="C20" s="167">
        <v>20</v>
      </c>
      <c r="D20" s="14">
        <f t="shared" si="2"/>
        <v>42</v>
      </c>
      <c r="E20" s="14">
        <f t="shared" si="1"/>
        <v>42</v>
      </c>
      <c r="F20" s="183">
        <v>1</v>
      </c>
      <c r="G20" s="11" t="s">
        <v>2034</v>
      </c>
      <c r="H20" s="73"/>
      <c r="I20" s="16" t="s">
        <v>297</v>
      </c>
      <c r="J20" s="16" t="s">
        <v>2019</v>
      </c>
      <c r="K20" s="15" t="s">
        <v>2035</v>
      </c>
      <c r="L20" s="14" t="s">
        <v>730</v>
      </c>
      <c r="M20" s="168" t="s">
        <v>1998</v>
      </c>
      <c r="N20" s="22" t="s">
        <v>306</v>
      </c>
      <c r="O20" s="169"/>
    </row>
    <row r="21" spans="1:15" s="11" customFormat="1">
      <c r="A21" s="468" t="s">
        <v>2036</v>
      </c>
      <c r="B21" s="166" t="s">
        <v>18</v>
      </c>
      <c r="C21" s="167">
        <v>21</v>
      </c>
      <c r="D21" s="14">
        <f t="shared" si="2"/>
        <v>43</v>
      </c>
      <c r="E21" s="14">
        <f t="shared" si="1"/>
        <v>43</v>
      </c>
      <c r="F21" s="14">
        <v>1</v>
      </c>
      <c r="G21" s="11" t="s">
        <v>2037</v>
      </c>
      <c r="H21" s="73"/>
      <c r="I21" s="16" t="s">
        <v>297</v>
      </c>
      <c r="J21" s="16" t="s">
        <v>2019</v>
      </c>
      <c r="K21" s="15" t="s">
        <v>2038</v>
      </c>
      <c r="L21" s="14" t="s">
        <v>730</v>
      </c>
      <c r="M21" s="168" t="s">
        <v>1998</v>
      </c>
      <c r="N21" s="22" t="s">
        <v>306</v>
      </c>
      <c r="O21" s="169"/>
    </row>
    <row r="22" spans="1:15" s="11" customFormat="1" ht="50.5">
      <c r="A22" s="468" t="s">
        <v>2039</v>
      </c>
      <c r="B22" s="166" t="s">
        <v>18</v>
      </c>
      <c r="C22" s="167">
        <v>22</v>
      </c>
      <c r="D22" s="14">
        <f t="shared" si="2"/>
        <v>44</v>
      </c>
      <c r="E22" s="14">
        <f t="shared" si="1"/>
        <v>44</v>
      </c>
      <c r="F22" s="14">
        <v>1</v>
      </c>
      <c r="G22" s="15" t="s">
        <v>2040</v>
      </c>
      <c r="H22" s="15"/>
      <c r="I22" s="16" t="s">
        <v>297</v>
      </c>
      <c r="J22" s="16" t="s">
        <v>2019</v>
      </c>
      <c r="K22" s="15" t="s">
        <v>2041</v>
      </c>
      <c r="L22" s="14" t="s">
        <v>730</v>
      </c>
      <c r="M22" s="168" t="s">
        <v>1998</v>
      </c>
      <c r="N22" s="22" t="s">
        <v>306</v>
      </c>
      <c r="O22" s="169"/>
    </row>
    <row r="23" spans="1:15" s="11" customFormat="1" ht="40.5">
      <c r="A23" s="468" t="s">
        <v>2042</v>
      </c>
      <c r="B23" s="470" t="s">
        <v>55</v>
      </c>
      <c r="C23" s="167">
        <v>23</v>
      </c>
      <c r="D23" s="14">
        <f t="shared" si="2"/>
        <v>45</v>
      </c>
      <c r="E23" s="14">
        <f t="shared" si="1"/>
        <v>45</v>
      </c>
      <c r="F23" s="14">
        <v>1</v>
      </c>
      <c r="G23" s="15" t="s">
        <v>2043</v>
      </c>
      <c r="H23" s="471" t="s">
        <v>2044</v>
      </c>
      <c r="I23" s="16" t="s">
        <v>297</v>
      </c>
      <c r="J23" s="16" t="s">
        <v>2002</v>
      </c>
      <c r="K23" s="15" t="s">
        <v>2045</v>
      </c>
      <c r="L23" s="14" t="s">
        <v>730</v>
      </c>
      <c r="M23" s="168" t="s">
        <v>1998</v>
      </c>
      <c r="N23" s="22" t="s">
        <v>306</v>
      </c>
      <c r="O23" s="169"/>
    </row>
    <row r="24" spans="1:15" s="11" customFormat="1" ht="40.5">
      <c r="A24" s="468" t="s">
        <v>2046</v>
      </c>
      <c r="B24" s="470" t="s">
        <v>55</v>
      </c>
      <c r="C24" s="167">
        <v>24</v>
      </c>
      <c r="D24" s="14">
        <f t="shared" si="2"/>
        <v>46</v>
      </c>
      <c r="E24" s="14">
        <f t="shared" si="1"/>
        <v>46</v>
      </c>
      <c r="F24" s="14">
        <v>1</v>
      </c>
      <c r="G24" s="15" t="s">
        <v>2047</v>
      </c>
      <c r="H24" s="471" t="s">
        <v>2044</v>
      </c>
      <c r="I24" s="16" t="s">
        <v>297</v>
      </c>
      <c r="J24" s="16" t="s">
        <v>2002</v>
      </c>
      <c r="K24" s="15" t="s">
        <v>2048</v>
      </c>
      <c r="L24" s="14" t="s">
        <v>730</v>
      </c>
      <c r="M24" s="168" t="s">
        <v>1998</v>
      </c>
      <c r="N24" s="22" t="s">
        <v>306</v>
      </c>
      <c r="O24" s="169"/>
    </row>
    <row r="25" spans="1:15" s="11" customFormat="1" ht="40.5">
      <c r="A25" s="468" t="s">
        <v>2049</v>
      </c>
      <c r="B25" s="470" t="s">
        <v>55</v>
      </c>
      <c r="C25" s="167">
        <v>25</v>
      </c>
      <c r="D25" s="14">
        <f t="shared" si="2"/>
        <v>47</v>
      </c>
      <c r="E25" s="14">
        <f t="shared" si="1"/>
        <v>47</v>
      </c>
      <c r="F25" s="14">
        <v>1</v>
      </c>
      <c r="G25" s="15" t="s">
        <v>2050</v>
      </c>
      <c r="H25" s="471" t="s">
        <v>2044</v>
      </c>
      <c r="I25" s="16" t="s">
        <v>297</v>
      </c>
      <c r="J25" s="16" t="s">
        <v>2002</v>
      </c>
      <c r="K25" s="15" t="s">
        <v>2051</v>
      </c>
      <c r="L25" s="14" t="s">
        <v>730</v>
      </c>
      <c r="M25" s="168" t="s">
        <v>1998</v>
      </c>
      <c r="N25" s="22" t="s">
        <v>306</v>
      </c>
      <c r="O25" s="169"/>
    </row>
    <row r="26" spans="1:15" s="11" customFormat="1" ht="40.5">
      <c r="A26" s="468" t="s">
        <v>2052</v>
      </c>
      <c r="B26" s="470" t="s">
        <v>55</v>
      </c>
      <c r="C26" s="167">
        <v>26</v>
      </c>
      <c r="D26" s="14">
        <f t="shared" si="2"/>
        <v>48</v>
      </c>
      <c r="E26" s="14">
        <f t="shared" si="1"/>
        <v>48</v>
      </c>
      <c r="F26" s="14">
        <v>1</v>
      </c>
      <c r="G26" s="15" t="s">
        <v>2053</v>
      </c>
      <c r="H26" s="471" t="s">
        <v>2044</v>
      </c>
      <c r="I26" s="16" t="s">
        <v>297</v>
      </c>
      <c r="J26" s="16" t="s">
        <v>2002</v>
      </c>
      <c r="K26" s="15" t="s">
        <v>2054</v>
      </c>
      <c r="L26" s="14" t="s">
        <v>730</v>
      </c>
      <c r="M26" s="168" t="s">
        <v>1998</v>
      </c>
      <c r="N26" s="22" t="s">
        <v>306</v>
      </c>
      <c r="O26" s="169"/>
    </row>
    <row r="27" spans="1:15" s="11" customFormat="1" ht="40.5">
      <c r="A27" s="468" t="s">
        <v>2055</v>
      </c>
      <c r="B27" s="470" t="s">
        <v>55</v>
      </c>
      <c r="C27" s="167">
        <v>27</v>
      </c>
      <c r="D27" s="14">
        <f t="shared" si="2"/>
        <v>49</v>
      </c>
      <c r="E27" s="14">
        <f t="shared" si="1"/>
        <v>49</v>
      </c>
      <c r="F27" s="14">
        <v>1</v>
      </c>
      <c r="G27" s="15" t="s">
        <v>2056</v>
      </c>
      <c r="H27" s="471" t="s">
        <v>2044</v>
      </c>
      <c r="I27" s="16" t="s">
        <v>297</v>
      </c>
      <c r="J27" s="16" t="s">
        <v>2002</v>
      </c>
      <c r="K27" s="15" t="s">
        <v>2057</v>
      </c>
      <c r="L27" s="14" t="s">
        <v>730</v>
      </c>
      <c r="M27" s="168" t="s">
        <v>1998</v>
      </c>
      <c r="N27" s="22" t="s">
        <v>306</v>
      </c>
      <c r="O27" s="169"/>
    </row>
    <row r="28" spans="1:15" s="11" customFormat="1" ht="40.5">
      <c r="A28" s="468" t="s">
        <v>2058</v>
      </c>
      <c r="B28" s="470" t="s">
        <v>55</v>
      </c>
      <c r="C28" s="167">
        <v>28</v>
      </c>
      <c r="D28" s="14">
        <f t="shared" si="2"/>
        <v>50</v>
      </c>
      <c r="E28" s="14">
        <f t="shared" si="1"/>
        <v>50</v>
      </c>
      <c r="F28" s="14">
        <v>1</v>
      </c>
      <c r="G28" s="15" t="s">
        <v>2059</v>
      </c>
      <c r="H28" s="471" t="s">
        <v>2044</v>
      </c>
      <c r="I28" s="16" t="s">
        <v>423</v>
      </c>
      <c r="J28" s="16" t="s">
        <v>2002</v>
      </c>
      <c r="K28" s="15" t="s">
        <v>2060</v>
      </c>
      <c r="L28" s="14" t="s">
        <v>730</v>
      </c>
      <c r="M28" s="168" t="s">
        <v>1998</v>
      </c>
      <c r="N28" s="22" t="s">
        <v>306</v>
      </c>
      <c r="O28" s="169"/>
    </row>
    <row r="29" spans="1:15" s="11" customFormat="1" ht="40.5">
      <c r="A29" s="468" t="s">
        <v>2061</v>
      </c>
      <c r="B29" s="470" t="s">
        <v>55</v>
      </c>
      <c r="C29" s="167">
        <v>29</v>
      </c>
      <c r="D29" s="14">
        <f t="shared" si="2"/>
        <v>51</v>
      </c>
      <c r="E29" s="14">
        <f t="shared" si="1"/>
        <v>51</v>
      </c>
      <c r="F29" s="14">
        <v>1</v>
      </c>
      <c r="G29" s="15" t="s">
        <v>2062</v>
      </c>
      <c r="H29" s="471" t="s">
        <v>2044</v>
      </c>
      <c r="I29" s="16" t="s">
        <v>423</v>
      </c>
      <c r="J29" s="16" t="s">
        <v>2002</v>
      </c>
      <c r="K29" s="15" t="s">
        <v>2063</v>
      </c>
      <c r="L29" s="14" t="s">
        <v>730</v>
      </c>
      <c r="M29" s="168" t="s">
        <v>1998</v>
      </c>
      <c r="N29" s="22" t="s">
        <v>306</v>
      </c>
      <c r="O29" s="169"/>
    </row>
    <row r="30" spans="1:15" s="11" customFormat="1">
      <c r="A30" s="468" t="s">
        <v>2064</v>
      </c>
      <c r="B30" s="166" t="s">
        <v>34</v>
      </c>
      <c r="C30" s="167">
        <v>30</v>
      </c>
      <c r="D30" s="14">
        <f t="shared" si="2"/>
        <v>52</v>
      </c>
      <c r="E30" s="14">
        <f t="shared" si="1"/>
        <v>52</v>
      </c>
      <c r="F30" s="14">
        <v>1</v>
      </c>
      <c r="G30" s="15" t="s">
        <v>2065</v>
      </c>
      <c r="H30" s="33"/>
      <c r="I30" s="16" t="s">
        <v>423</v>
      </c>
      <c r="J30" s="16" t="s">
        <v>2002</v>
      </c>
      <c r="K30" s="15" t="s">
        <v>2066</v>
      </c>
      <c r="L30" s="14" t="s">
        <v>730</v>
      </c>
      <c r="M30" s="168" t="s">
        <v>1998</v>
      </c>
      <c r="N30" s="22" t="s">
        <v>306</v>
      </c>
      <c r="O30" s="169"/>
    </row>
    <row r="31" spans="1:15" s="11" customFormat="1">
      <c r="A31" s="468" t="s">
        <v>2067</v>
      </c>
      <c r="B31" s="166" t="s">
        <v>18</v>
      </c>
      <c r="C31" s="167">
        <v>31</v>
      </c>
      <c r="D31" s="14">
        <f t="shared" si="2"/>
        <v>53</v>
      </c>
      <c r="E31" s="14">
        <f t="shared" si="1"/>
        <v>53</v>
      </c>
      <c r="F31" s="14">
        <v>1</v>
      </c>
      <c r="G31" s="75" t="s">
        <v>2068</v>
      </c>
      <c r="H31" s="75" t="s">
        <v>2069</v>
      </c>
      <c r="I31" s="16" t="s">
        <v>423</v>
      </c>
      <c r="J31" s="16" t="s">
        <v>2002</v>
      </c>
      <c r="K31" s="15" t="s">
        <v>2070</v>
      </c>
      <c r="L31" s="14" t="s">
        <v>730</v>
      </c>
      <c r="M31" s="168" t="s">
        <v>1998</v>
      </c>
      <c r="N31" s="22" t="s">
        <v>306</v>
      </c>
      <c r="O31" s="169"/>
    </row>
    <row r="32" spans="1:15" s="11" customFormat="1" ht="20">
      <c r="A32" s="468" t="s">
        <v>2071</v>
      </c>
      <c r="B32" s="166" t="s">
        <v>2072</v>
      </c>
      <c r="C32" s="167">
        <v>32</v>
      </c>
      <c r="D32" s="14">
        <f t="shared" si="2"/>
        <v>54</v>
      </c>
      <c r="E32" s="14">
        <f t="shared" si="1"/>
        <v>103</v>
      </c>
      <c r="F32" s="14">
        <v>50</v>
      </c>
      <c r="G32" s="75" t="s">
        <v>2073</v>
      </c>
      <c r="H32" s="75"/>
      <c r="I32" s="16" t="s">
        <v>423</v>
      </c>
      <c r="J32" s="16" t="s">
        <v>2002</v>
      </c>
      <c r="K32" s="15" t="s">
        <v>2070</v>
      </c>
      <c r="L32" s="14" t="s">
        <v>730</v>
      </c>
      <c r="M32" s="168" t="s">
        <v>1998</v>
      </c>
      <c r="N32" s="22" t="s">
        <v>306</v>
      </c>
      <c r="O32" s="169"/>
    </row>
    <row r="33" spans="1:15" s="11" customFormat="1" ht="20">
      <c r="A33" s="468" t="s">
        <v>2074</v>
      </c>
      <c r="B33" s="166" t="s">
        <v>2072</v>
      </c>
      <c r="C33" s="167">
        <v>33</v>
      </c>
      <c r="D33" s="14">
        <f t="shared" si="2"/>
        <v>104</v>
      </c>
      <c r="E33" s="14">
        <f t="shared" si="1"/>
        <v>153</v>
      </c>
      <c r="F33" s="14">
        <v>50</v>
      </c>
      <c r="G33" s="75" t="s">
        <v>2075</v>
      </c>
      <c r="H33" s="472" t="s">
        <v>2076</v>
      </c>
      <c r="I33" s="16" t="s">
        <v>423</v>
      </c>
      <c r="J33" s="16" t="s">
        <v>2002</v>
      </c>
      <c r="K33" s="15" t="s">
        <v>2070</v>
      </c>
      <c r="L33" s="14" t="s">
        <v>730</v>
      </c>
      <c r="M33" s="168" t="s">
        <v>1998</v>
      </c>
      <c r="N33" s="22" t="s">
        <v>306</v>
      </c>
      <c r="O33" s="169"/>
    </row>
    <row r="34" spans="1:15" s="11" customFormat="1" ht="20">
      <c r="A34" s="468" t="s">
        <v>2077</v>
      </c>
      <c r="B34" s="166" t="s">
        <v>18</v>
      </c>
      <c r="C34" s="167">
        <v>34</v>
      </c>
      <c r="D34" s="14">
        <f t="shared" si="2"/>
        <v>154</v>
      </c>
      <c r="E34" s="14">
        <f t="shared" si="1"/>
        <v>154</v>
      </c>
      <c r="F34" s="14">
        <v>1</v>
      </c>
      <c r="G34" s="75" t="s">
        <v>2078</v>
      </c>
      <c r="H34" s="75" t="s">
        <v>2079</v>
      </c>
      <c r="I34" s="16" t="s">
        <v>423</v>
      </c>
      <c r="J34" s="16" t="s">
        <v>2080</v>
      </c>
      <c r="K34" s="15" t="s">
        <v>2081</v>
      </c>
      <c r="L34" s="14" t="s">
        <v>730</v>
      </c>
      <c r="M34" s="168" t="s">
        <v>1998</v>
      </c>
      <c r="N34" s="22" t="s">
        <v>306</v>
      </c>
      <c r="O34" s="169"/>
    </row>
    <row r="35" spans="1:15" s="11" customFormat="1">
      <c r="A35" s="468" t="s">
        <v>2082</v>
      </c>
      <c r="B35" s="166" t="s">
        <v>18</v>
      </c>
      <c r="C35" s="167">
        <v>35</v>
      </c>
      <c r="D35" s="14">
        <f t="shared" si="2"/>
        <v>155</v>
      </c>
      <c r="E35" s="14">
        <f t="shared" si="1"/>
        <v>155</v>
      </c>
      <c r="F35" s="14">
        <v>1</v>
      </c>
      <c r="G35" s="75" t="s">
        <v>2083</v>
      </c>
      <c r="H35" s="75"/>
      <c r="I35" s="16" t="s">
        <v>423</v>
      </c>
      <c r="J35" s="16" t="s">
        <v>2084</v>
      </c>
      <c r="K35" s="15" t="s">
        <v>2085</v>
      </c>
      <c r="L35" s="14" t="s">
        <v>730</v>
      </c>
      <c r="M35" s="168" t="s">
        <v>1998</v>
      </c>
      <c r="N35" s="22" t="s">
        <v>306</v>
      </c>
      <c r="O35" s="169"/>
    </row>
    <row r="36" spans="1:15" s="11" customFormat="1">
      <c r="A36" s="468" t="s">
        <v>2086</v>
      </c>
      <c r="B36" s="166" t="s">
        <v>216</v>
      </c>
      <c r="C36" s="167">
        <v>36</v>
      </c>
      <c r="D36" s="14">
        <f t="shared" si="2"/>
        <v>156</v>
      </c>
      <c r="E36" s="14">
        <f t="shared" si="1"/>
        <v>163</v>
      </c>
      <c r="F36" s="14">
        <v>8</v>
      </c>
      <c r="G36" s="75" t="s">
        <v>2087</v>
      </c>
      <c r="H36" s="33"/>
      <c r="I36" s="16" t="s">
        <v>423</v>
      </c>
      <c r="J36" s="16" t="s">
        <v>2002</v>
      </c>
      <c r="K36" s="15" t="s">
        <v>2088</v>
      </c>
      <c r="L36" s="14" t="s">
        <v>730</v>
      </c>
      <c r="M36" s="168" t="s">
        <v>1998</v>
      </c>
      <c r="N36" s="22" t="s">
        <v>306</v>
      </c>
      <c r="O36" s="169"/>
    </row>
    <row r="37" spans="1:15" s="11" customFormat="1">
      <c r="A37" s="468" t="s">
        <v>2089</v>
      </c>
      <c r="B37" s="166" t="s">
        <v>216</v>
      </c>
      <c r="C37" s="167">
        <v>37</v>
      </c>
      <c r="D37" s="14">
        <f t="shared" si="2"/>
        <v>164</v>
      </c>
      <c r="E37" s="14">
        <f t="shared" si="1"/>
        <v>171</v>
      </c>
      <c r="F37" s="14">
        <v>8</v>
      </c>
      <c r="G37" s="75" t="s">
        <v>2090</v>
      </c>
      <c r="H37" s="33"/>
      <c r="I37" s="16" t="s">
        <v>423</v>
      </c>
      <c r="J37" s="16" t="s">
        <v>2002</v>
      </c>
      <c r="K37" s="15" t="s">
        <v>2091</v>
      </c>
      <c r="L37" s="14" t="s">
        <v>730</v>
      </c>
      <c r="M37" s="168" t="s">
        <v>1998</v>
      </c>
      <c r="N37" s="22" t="s">
        <v>306</v>
      </c>
      <c r="O37" s="169"/>
    </row>
    <row r="38" spans="1:15" s="11" customFormat="1" ht="25">
      <c r="A38" s="468" t="s">
        <v>2092</v>
      </c>
      <c r="B38" s="166" t="s">
        <v>216</v>
      </c>
      <c r="C38" s="167">
        <v>38</v>
      </c>
      <c r="D38" s="14">
        <f t="shared" si="2"/>
        <v>172</v>
      </c>
      <c r="E38" s="14">
        <f t="shared" si="1"/>
        <v>179</v>
      </c>
      <c r="F38" s="14">
        <v>8</v>
      </c>
      <c r="G38" s="75" t="s">
        <v>2093</v>
      </c>
      <c r="H38" s="33"/>
      <c r="I38" s="16" t="s">
        <v>423</v>
      </c>
      <c r="J38" s="16" t="s">
        <v>2002</v>
      </c>
      <c r="K38" s="15" t="s">
        <v>2094</v>
      </c>
      <c r="L38" s="14" t="s">
        <v>730</v>
      </c>
      <c r="M38" s="168" t="s">
        <v>1998</v>
      </c>
      <c r="N38" s="22" t="s">
        <v>306</v>
      </c>
      <c r="O38" s="169"/>
    </row>
    <row r="39" spans="1:15" s="11" customFormat="1">
      <c r="A39" s="468" t="s">
        <v>2095</v>
      </c>
      <c r="B39" s="166" t="s">
        <v>609</v>
      </c>
      <c r="C39" s="167">
        <v>39</v>
      </c>
      <c r="D39" s="14">
        <f t="shared" si="2"/>
        <v>180</v>
      </c>
      <c r="E39" s="14">
        <f t="shared" si="1"/>
        <v>181</v>
      </c>
      <c r="F39" s="14">
        <v>2</v>
      </c>
      <c r="G39" s="75" t="s">
        <v>2096</v>
      </c>
      <c r="H39" s="15"/>
      <c r="I39" s="16" t="s">
        <v>423</v>
      </c>
      <c r="J39" s="16" t="s">
        <v>2002</v>
      </c>
      <c r="K39" s="15" t="s">
        <v>2097</v>
      </c>
      <c r="L39" s="14" t="s">
        <v>730</v>
      </c>
      <c r="M39" s="168" t="s">
        <v>1998</v>
      </c>
      <c r="N39" s="22" t="s">
        <v>306</v>
      </c>
      <c r="O39" s="169"/>
    </row>
    <row r="40" spans="1:15" s="11" customFormat="1">
      <c r="A40" s="468" t="s">
        <v>2098</v>
      </c>
      <c r="B40" s="166" t="s">
        <v>216</v>
      </c>
      <c r="C40" s="167">
        <v>40</v>
      </c>
      <c r="D40" s="14">
        <f t="shared" si="2"/>
        <v>182</v>
      </c>
      <c r="E40" s="14">
        <f t="shared" si="1"/>
        <v>189</v>
      </c>
      <c r="F40" s="14">
        <v>8</v>
      </c>
      <c r="G40" s="75" t="s">
        <v>2099</v>
      </c>
      <c r="H40" s="15"/>
      <c r="I40" s="16" t="s">
        <v>423</v>
      </c>
      <c r="J40" s="16" t="s">
        <v>2002</v>
      </c>
      <c r="K40" s="15" t="s">
        <v>2100</v>
      </c>
      <c r="L40" s="14" t="s">
        <v>846</v>
      </c>
      <c r="M40" s="168" t="s">
        <v>1998</v>
      </c>
      <c r="N40" s="22" t="s">
        <v>306</v>
      </c>
      <c r="O40" s="169"/>
    </row>
    <row r="41" spans="1:15" s="199" customFormat="1" ht="13.5" customHeight="1">
      <c r="A41" s="468" t="s">
        <v>2101</v>
      </c>
      <c r="B41" s="166" t="s">
        <v>18</v>
      </c>
      <c r="C41" s="167">
        <v>41</v>
      </c>
      <c r="D41" s="14">
        <f t="shared" si="2"/>
        <v>190</v>
      </c>
      <c r="E41" s="192">
        <f t="shared" si="1"/>
        <v>190</v>
      </c>
      <c r="F41" s="192">
        <v>1</v>
      </c>
      <c r="G41" s="75" t="s">
        <v>2102</v>
      </c>
      <c r="H41" s="182"/>
      <c r="I41" s="195" t="s">
        <v>423</v>
      </c>
      <c r="J41" s="16" t="s">
        <v>2002</v>
      </c>
      <c r="K41" s="15" t="s">
        <v>2103</v>
      </c>
      <c r="L41" s="14" t="s">
        <v>846</v>
      </c>
      <c r="M41" s="168" t="s">
        <v>1998</v>
      </c>
      <c r="N41" s="22" t="s">
        <v>306</v>
      </c>
    </row>
    <row r="42" spans="1:15" s="199" customFormat="1" ht="13.5" customHeight="1">
      <c r="A42" s="468" t="s">
        <v>2104</v>
      </c>
      <c r="B42" s="166" t="s">
        <v>760</v>
      </c>
      <c r="C42" s="167">
        <v>42</v>
      </c>
      <c r="D42" s="14">
        <f t="shared" si="2"/>
        <v>191</v>
      </c>
      <c r="E42" s="192">
        <f t="shared" si="1"/>
        <v>193</v>
      </c>
      <c r="F42" s="192">
        <v>3</v>
      </c>
      <c r="G42" s="468" t="s">
        <v>2104</v>
      </c>
      <c r="H42" s="182"/>
      <c r="I42" s="195" t="s">
        <v>423</v>
      </c>
      <c r="J42" s="16" t="s">
        <v>2105</v>
      </c>
      <c r="K42" s="15" t="s">
        <v>2106</v>
      </c>
      <c r="L42" s="14" t="s">
        <v>846</v>
      </c>
      <c r="M42" s="168" t="s">
        <v>1998</v>
      </c>
      <c r="N42" s="22" t="s">
        <v>306</v>
      </c>
    </row>
    <row r="43" spans="1:15" s="199" customFormat="1" ht="20">
      <c r="A43" s="468" t="s">
        <v>2107</v>
      </c>
      <c r="B43" s="166" t="s">
        <v>2108</v>
      </c>
      <c r="C43" s="167">
        <v>43</v>
      </c>
      <c r="D43" s="14">
        <f t="shared" si="2"/>
        <v>194</v>
      </c>
      <c r="E43" s="192">
        <f t="shared" si="1"/>
        <v>293</v>
      </c>
      <c r="F43" s="192">
        <v>100</v>
      </c>
      <c r="G43" s="75" t="s">
        <v>2109</v>
      </c>
      <c r="H43" s="75"/>
      <c r="I43" s="195" t="s">
        <v>423</v>
      </c>
      <c r="J43" s="16" t="s">
        <v>2110</v>
      </c>
      <c r="K43" s="15" t="s">
        <v>2111</v>
      </c>
      <c r="L43" s="14" t="s">
        <v>846</v>
      </c>
      <c r="M43" s="168" t="s">
        <v>1998</v>
      </c>
      <c r="N43" s="22" t="s">
        <v>306</v>
      </c>
    </row>
    <row r="44" spans="1:15" s="199" customFormat="1" ht="20">
      <c r="A44" s="468" t="s">
        <v>2112</v>
      </c>
      <c r="B44" s="166" t="s">
        <v>2113</v>
      </c>
      <c r="C44" s="167">
        <v>44</v>
      </c>
      <c r="D44" s="14">
        <f t="shared" si="2"/>
        <v>294</v>
      </c>
      <c r="E44" s="192">
        <f t="shared" si="1"/>
        <v>413</v>
      </c>
      <c r="F44" s="192">
        <v>120</v>
      </c>
      <c r="G44" s="75" t="s">
        <v>2114</v>
      </c>
      <c r="H44" s="75"/>
      <c r="I44" s="195" t="s">
        <v>423</v>
      </c>
      <c r="J44" s="16" t="s">
        <v>2110</v>
      </c>
      <c r="K44" s="15" t="s">
        <v>2115</v>
      </c>
      <c r="L44" s="14" t="s">
        <v>846</v>
      </c>
      <c r="M44" s="168" t="s">
        <v>1998</v>
      </c>
      <c r="N44" s="22" t="s">
        <v>306</v>
      </c>
    </row>
    <row r="45" spans="1:15" s="199" customFormat="1">
      <c r="A45" s="468" t="s">
        <v>2116</v>
      </c>
      <c r="B45" s="166" t="s">
        <v>18</v>
      </c>
      <c r="C45" s="167">
        <v>45</v>
      </c>
      <c r="D45" s="14">
        <f t="shared" si="2"/>
        <v>414</v>
      </c>
      <c r="E45" s="192">
        <f t="shared" si="1"/>
        <v>414</v>
      </c>
      <c r="F45" s="192">
        <v>1</v>
      </c>
      <c r="G45" s="75" t="s">
        <v>2117</v>
      </c>
      <c r="H45" s="473" t="s">
        <v>2118</v>
      </c>
      <c r="I45" s="195"/>
      <c r="J45" s="16"/>
      <c r="K45" s="15"/>
      <c r="L45" s="14"/>
      <c r="M45" s="168"/>
      <c r="N45" s="22"/>
    </row>
    <row r="46" spans="1:15" s="23" customFormat="1" ht="10">
      <c r="A46" s="80" t="s">
        <v>33</v>
      </c>
      <c r="B46" s="175" t="s">
        <v>34</v>
      </c>
      <c r="C46" s="167">
        <v>46</v>
      </c>
      <c r="D46" s="14">
        <f t="shared" si="2"/>
        <v>415</v>
      </c>
      <c r="E46" s="192">
        <f t="shared" si="1"/>
        <v>415</v>
      </c>
      <c r="F46" s="19">
        <v>1</v>
      </c>
      <c r="G46" s="20" t="s">
        <v>35</v>
      </c>
      <c r="H46" s="20"/>
      <c r="I46" s="66"/>
      <c r="J46" s="66"/>
      <c r="K46" s="19"/>
      <c r="L46" s="19"/>
      <c r="M46" s="172"/>
      <c r="N46" s="22"/>
      <c r="O46" s="173"/>
    </row>
    <row r="47" spans="1:15" s="11" customFormat="1" ht="18.75" customHeight="1">
      <c r="A47" s="6" t="s">
        <v>2119</v>
      </c>
      <c r="B47" s="161" t="s">
        <v>14</v>
      </c>
      <c r="C47" s="176" t="s">
        <v>15</v>
      </c>
      <c r="D47" s="7">
        <v>1</v>
      </c>
      <c r="E47" s="7">
        <f>E50</f>
        <v>11</v>
      </c>
      <c r="F47" s="7">
        <f>SUM(F48:F50)</f>
        <v>11</v>
      </c>
      <c r="G47" s="28"/>
      <c r="H47" s="28"/>
      <c r="I47" s="29"/>
      <c r="J47" s="29"/>
      <c r="K47" s="7"/>
      <c r="L47" s="41" t="s">
        <v>204</v>
      </c>
      <c r="M47" s="163"/>
      <c r="N47" s="164"/>
      <c r="O47" s="165"/>
    </row>
    <row r="48" spans="1:15" s="11" customFormat="1" ht="21">
      <c r="A48" s="30" t="s">
        <v>37</v>
      </c>
      <c r="B48" s="166" t="s">
        <v>18</v>
      </c>
      <c r="C48" s="167">
        <v>45</v>
      </c>
      <c r="D48" s="14">
        <v>1</v>
      </c>
      <c r="E48" s="14">
        <v>1</v>
      </c>
      <c r="F48" s="14">
        <v>1</v>
      </c>
      <c r="G48" s="15" t="s">
        <v>205</v>
      </c>
      <c r="H48" s="15"/>
      <c r="I48" s="16"/>
      <c r="J48" s="16"/>
      <c r="K48" s="14"/>
      <c r="L48" s="14"/>
      <c r="M48" s="168"/>
      <c r="N48" s="22"/>
      <c r="O48" s="169"/>
    </row>
    <row r="49" spans="1:15" s="11" customFormat="1">
      <c r="A49" s="42" t="s">
        <v>206</v>
      </c>
      <c r="B49" s="166" t="s">
        <v>207</v>
      </c>
      <c r="C49" s="167">
        <v>46</v>
      </c>
      <c r="D49" s="14">
        <f>E48+1</f>
        <v>2</v>
      </c>
      <c r="E49" s="14">
        <f>D49+F49-1</f>
        <v>10</v>
      </c>
      <c r="F49" s="14">
        <v>9</v>
      </c>
      <c r="G49" s="15" t="s">
        <v>208</v>
      </c>
      <c r="H49" s="15"/>
      <c r="I49" s="16"/>
      <c r="J49" s="16"/>
      <c r="K49" s="14"/>
      <c r="L49" s="14"/>
      <c r="M49" s="168"/>
      <c r="N49" s="22"/>
      <c r="O49" s="169"/>
    </row>
    <row r="50" spans="1:15" s="23" customFormat="1" ht="10.5" thickBot="1">
      <c r="A50" s="81" t="s">
        <v>33</v>
      </c>
      <c r="B50" s="200" t="s">
        <v>34</v>
      </c>
      <c r="C50" s="201">
        <v>47</v>
      </c>
      <c r="D50" s="52">
        <f>E49+1</f>
        <v>11</v>
      </c>
      <c r="E50" s="202">
        <f>D50+F50-1</f>
        <v>11</v>
      </c>
      <c r="F50" s="202">
        <v>1</v>
      </c>
      <c r="G50" s="83" t="s">
        <v>35</v>
      </c>
      <c r="H50" s="83"/>
      <c r="I50" s="203"/>
      <c r="J50" s="203"/>
      <c r="K50" s="202"/>
      <c r="L50" s="202"/>
      <c r="M50" s="204"/>
      <c r="N50" s="205"/>
      <c r="O50" s="206"/>
    </row>
  </sheetData>
  <pageMargins left="0.75" right="0.75" top="1" bottom="1" header="0.5" footer="0.5"/>
  <pageSetup paperSize="9" orientation="portrait" horizontalDpi="300" verticalDpi="300" r:id="rId1"/>
  <headerFooter alignWithMargins="0">
    <oddHeader>&amp;L&amp;"Arial"&amp;9&amp;K0078D7 INTERNAL&amp;1#_x000D_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94446-DC34-4D6E-9FFC-85DAD0CF76F4}">
  <sheetPr codeName="Sheet24"/>
  <dimension ref="A1:O18"/>
  <sheetViews>
    <sheetView workbookViewId="0">
      <selection activeCell="H28" sqref="H28"/>
    </sheetView>
  </sheetViews>
  <sheetFormatPr defaultRowHeight="12.5"/>
  <cols>
    <col min="1" max="1" width="57.7265625" customWidth="1"/>
    <col min="2" max="2" width="9.1796875" style="207" customWidth="1"/>
    <col min="3" max="3" width="8" bestFit="1" customWidth="1"/>
    <col min="4" max="5" width="8.1796875" bestFit="1" customWidth="1"/>
    <col min="6" max="6" width="7.26953125" bestFit="1" customWidth="1"/>
    <col min="7" max="7" width="21.1796875" style="208" customWidth="1"/>
    <col min="8" max="8" width="16" style="208" customWidth="1"/>
    <col min="9" max="9" width="13.54296875" bestFit="1" customWidth="1"/>
    <col min="10" max="10" width="11.81640625" customWidth="1"/>
    <col min="11" max="11" width="21.81640625" bestFit="1" customWidth="1"/>
    <col min="12" max="12" width="10.1796875" bestFit="1" customWidth="1"/>
    <col min="13" max="13" width="14.54296875" customWidth="1"/>
    <col min="14" max="14" width="8.26953125" style="23" bestFit="1" customWidth="1"/>
    <col min="256" max="256" width="57.7265625" customWidth="1"/>
    <col min="257" max="257" width="9.1796875" customWidth="1"/>
    <col min="258" max="258" width="8" bestFit="1" customWidth="1"/>
    <col min="259" max="260" width="8.1796875" bestFit="1" customWidth="1"/>
    <col min="261" max="261" width="7.26953125" bestFit="1" customWidth="1"/>
    <col min="262" max="262" width="21.1796875" customWidth="1"/>
    <col min="263" max="263" width="20" customWidth="1"/>
    <col min="264" max="264" width="13.54296875" bestFit="1" customWidth="1"/>
    <col min="265" max="265" width="11.81640625" customWidth="1"/>
    <col min="266" max="266" width="21.81640625" bestFit="1" customWidth="1"/>
    <col min="267" max="267" width="10.1796875" bestFit="1" customWidth="1"/>
    <col min="268" max="269" width="8.54296875" bestFit="1" customWidth="1"/>
    <col min="270" max="270" width="8.26953125" bestFit="1" customWidth="1"/>
    <col min="512" max="512" width="57.7265625" customWidth="1"/>
    <col min="513" max="513" width="9.1796875" customWidth="1"/>
    <col min="514" max="514" width="8" bestFit="1" customWidth="1"/>
    <col min="515" max="516" width="8.1796875" bestFit="1" customWidth="1"/>
    <col min="517" max="517" width="7.26953125" bestFit="1" customWidth="1"/>
    <col min="518" max="518" width="21.1796875" customWidth="1"/>
    <col min="519" max="519" width="20" customWidth="1"/>
    <col min="520" max="520" width="13.54296875" bestFit="1" customWidth="1"/>
    <col min="521" max="521" width="11.81640625" customWidth="1"/>
    <col min="522" max="522" width="21.81640625" bestFit="1" customWidth="1"/>
    <col min="523" max="523" width="10.1796875" bestFit="1" customWidth="1"/>
    <col min="524" max="525" width="8.54296875" bestFit="1" customWidth="1"/>
    <col min="526" max="526" width="8.26953125" bestFit="1" customWidth="1"/>
    <col min="768" max="768" width="57.7265625" customWidth="1"/>
    <col min="769" max="769" width="9.1796875" customWidth="1"/>
    <col min="770" max="770" width="8" bestFit="1" customWidth="1"/>
    <col min="771" max="772" width="8.1796875" bestFit="1" customWidth="1"/>
    <col min="773" max="773" width="7.26953125" bestFit="1" customWidth="1"/>
    <col min="774" max="774" width="21.1796875" customWidth="1"/>
    <col min="775" max="775" width="20" customWidth="1"/>
    <col min="776" max="776" width="13.54296875" bestFit="1" customWidth="1"/>
    <col min="777" max="777" width="11.81640625" customWidth="1"/>
    <col min="778" max="778" width="21.81640625" bestFit="1" customWidth="1"/>
    <col min="779" max="779" width="10.1796875" bestFit="1" customWidth="1"/>
    <col min="780" max="781" width="8.54296875" bestFit="1" customWidth="1"/>
    <col min="782" max="782" width="8.26953125" bestFit="1" customWidth="1"/>
    <col min="1024" max="1024" width="57.7265625" customWidth="1"/>
    <col min="1025" max="1025" width="9.1796875" customWidth="1"/>
    <col min="1026" max="1026" width="8" bestFit="1" customWidth="1"/>
    <col min="1027" max="1028" width="8.1796875" bestFit="1" customWidth="1"/>
    <col min="1029" max="1029" width="7.26953125" bestFit="1" customWidth="1"/>
    <col min="1030" max="1030" width="21.1796875" customWidth="1"/>
    <col min="1031" max="1031" width="20" customWidth="1"/>
    <col min="1032" max="1032" width="13.54296875" bestFit="1" customWidth="1"/>
    <col min="1033" max="1033" width="11.81640625" customWidth="1"/>
    <col min="1034" max="1034" width="21.81640625" bestFit="1" customWidth="1"/>
    <col min="1035" max="1035" width="10.1796875" bestFit="1" customWidth="1"/>
    <col min="1036" max="1037" width="8.54296875" bestFit="1" customWidth="1"/>
    <col min="1038" max="1038" width="8.26953125" bestFit="1" customWidth="1"/>
    <col min="1280" max="1280" width="57.7265625" customWidth="1"/>
    <col min="1281" max="1281" width="9.1796875" customWidth="1"/>
    <col min="1282" max="1282" width="8" bestFit="1" customWidth="1"/>
    <col min="1283" max="1284" width="8.1796875" bestFit="1" customWidth="1"/>
    <col min="1285" max="1285" width="7.26953125" bestFit="1" customWidth="1"/>
    <col min="1286" max="1286" width="21.1796875" customWidth="1"/>
    <col min="1287" max="1287" width="20" customWidth="1"/>
    <col min="1288" max="1288" width="13.54296875" bestFit="1" customWidth="1"/>
    <col min="1289" max="1289" width="11.81640625" customWidth="1"/>
    <col min="1290" max="1290" width="21.81640625" bestFit="1" customWidth="1"/>
    <col min="1291" max="1291" width="10.1796875" bestFit="1" customWidth="1"/>
    <col min="1292" max="1293" width="8.54296875" bestFit="1" customWidth="1"/>
    <col min="1294" max="1294" width="8.26953125" bestFit="1" customWidth="1"/>
    <col min="1536" max="1536" width="57.7265625" customWidth="1"/>
    <col min="1537" max="1537" width="9.1796875" customWidth="1"/>
    <col min="1538" max="1538" width="8" bestFit="1" customWidth="1"/>
    <col min="1539" max="1540" width="8.1796875" bestFit="1" customWidth="1"/>
    <col min="1541" max="1541" width="7.26953125" bestFit="1" customWidth="1"/>
    <col min="1542" max="1542" width="21.1796875" customWidth="1"/>
    <col min="1543" max="1543" width="20" customWidth="1"/>
    <col min="1544" max="1544" width="13.54296875" bestFit="1" customWidth="1"/>
    <col min="1545" max="1545" width="11.81640625" customWidth="1"/>
    <col min="1546" max="1546" width="21.81640625" bestFit="1" customWidth="1"/>
    <col min="1547" max="1547" width="10.1796875" bestFit="1" customWidth="1"/>
    <col min="1548" max="1549" width="8.54296875" bestFit="1" customWidth="1"/>
    <col min="1550" max="1550" width="8.26953125" bestFit="1" customWidth="1"/>
    <col min="1792" max="1792" width="57.7265625" customWidth="1"/>
    <col min="1793" max="1793" width="9.1796875" customWidth="1"/>
    <col min="1794" max="1794" width="8" bestFit="1" customWidth="1"/>
    <col min="1795" max="1796" width="8.1796875" bestFit="1" customWidth="1"/>
    <col min="1797" max="1797" width="7.26953125" bestFit="1" customWidth="1"/>
    <col min="1798" max="1798" width="21.1796875" customWidth="1"/>
    <col min="1799" max="1799" width="20" customWidth="1"/>
    <col min="1800" max="1800" width="13.54296875" bestFit="1" customWidth="1"/>
    <col min="1801" max="1801" width="11.81640625" customWidth="1"/>
    <col min="1802" max="1802" width="21.81640625" bestFit="1" customWidth="1"/>
    <col min="1803" max="1803" width="10.1796875" bestFit="1" customWidth="1"/>
    <col min="1804" max="1805" width="8.54296875" bestFit="1" customWidth="1"/>
    <col min="1806" max="1806" width="8.26953125" bestFit="1" customWidth="1"/>
    <col min="2048" max="2048" width="57.7265625" customWidth="1"/>
    <col min="2049" max="2049" width="9.1796875" customWidth="1"/>
    <col min="2050" max="2050" width="8" bestFit="1" customWidth="1"/>
    <col min="2051" max="2052" width="8.1796875" bestFit="1" customWidth="1"/>
    <col min="2053" max="2053" width="7.26953125" bestFit="1" customWidth="1"/>
    <col min="2054" max="2054" width="21.1796875" customWidth="1"/>
    <col min="2055" max="2055" width="20" customWidth="1"/>
    <col min="2056" max="2056" width="13.54296875" bestFit="1" customWidth="1"/>
    <col min="2057" max="2057" width="11.81640625" customWidth="1"/>
    <col min="2058" max="2058" width="21.81640625" bestFit="1" customWidth="1"/>
    <col min="2059" max="2059" width="10.1796875" bestFit="1" customWidth="1"/>
    <col min="2060" max="2061" width="8.54296875" bestFit="1" customWidth="1"/>
    <col min="2062" max="2062" width="8.26953125" bestFit="1" customWidth="1"/>
    <col min="2304" max="2304" width="57.7265625" customWidth="1"/>
    <col min="2305" max="2305" width="9.1796875" customWidth="1"/>
    <col min="2306" max="2306" width="8" bestFit="1" customWidth="1"/>
    <col min="2307" max="2308" width="8.1796875" bestFit="1" customWidth="1"/>
    <col min="2309" max="2309" width="7.26953125" bestFit="1" customWidth="1"/>
    <col min="2310" max="2310" width="21.1796875" customWidth="1"/>
    <col min="2311" max="2311" width="20" customWidth="1"/>
    <col min="2312" max="2312" width="13.54296875" bestFit="1" customWidth="1"/>
    <col min="2313" max="2313" width="11.81640625" customWidth="1"/>
    <col min="2314" max="2314" width="21.81640625" bestFit="1" customWidth="1"/>
    <col min="2315" max="2315" width="10.1796875" bestFit="1" customWidth="1"/>
    <col min="2316" max="2317" width="8.54296875" bestFit="1" customWidth="1"/>
    <col min="2318" max="2318" width="8.26953125" bestFit="1" customWidth="1"/>
    <col min="2560" max="2560" width="57.7265625" customWidth="1"/>
    <col min="2561" max="2561" width="9.1796875" customWidth="1"/>
    <col min="2562" max="2562" width="8" bestFit="1" customWidth="1"/>
    <col min="2563" max="2564" width="8.1796875" bestFit="1" customWidth="1"/>
    <col min="2565" max="2565" width="7.26953125" bestFit="1" customWidth="1"/>
    <col min="2566" max="2566" width="21.1796875" customWidth="1"/>
    <col min="2567" max="2567" width="20" customWidth="1"/>
    <col min="2568" max="2568" width="13.54296875" bestFit="1" customWidth="1"/>
    <col min="2569" max="2569" width="11.81640625" customWidth="1"/>
    <col min="2570" max="2570" width="21.81640625" bestFit="1" customWidth="1"/>
    <col min="2571" max="2571" width="10.1796875" bestFit="1" customWidth="1"/>
    <col min="2572" max="2573" width="8.54296875" bestFit="1" customWidth="1"/>
    <col min="2574" max="2574" width="8.26953125" bestFit="1" customWidth="1"/>
    <col min="2816" max="2816" width="57.7265625" customWidth="1"/>
    <col min="2817" max="2817" width="9.1796875" customWidth="1"/>
    <col min="2818" max="2818" width="8" bestFit="1" customWidth="1"/>
    <col min="2819" max="2820" width="8.1796875" bestFit="1" customWidth="1"/>
    <col min="2821" max="2821" width="7.26953125" bestFit="1" customWidth="1"/>
    <col min="2822" max="2822" width="21.1796875" customWidth="1"/>
    <col min="2823" max="2823" width="20" customWidth="1"/>
    <col min="2824" max="2824" width="13.54296875" bestFit="1" customWidth="1"/>
    <col min="2825" max="2825" width="11.81640625" customWidth="1"/>
    <col min="2826" max="2826" width="21.81640625" bestFit="1" customWidth="1"/>
    <col min="2827" max="2827" width="10.1796875" bestFit="1" customWidth="1"/>
    <col min="2828" max="2829" width="8.54296875" bestFit="1" customWidth="1"/>
    <col min="2830" max="2830" width="8.26953125" bestFit="1" customWidth="1"/>
    <col min="3072" max="3072" width="57.7265625" customWidth="1"/>
    <col min="3073" max="3073" width="9.1796875" customWidth="1"/>
    <col min="3074" max="3074" width="8" bestFit="1" customWidth="1"/>
    <col min="3075" max="3076" width="8.1796875" bestFit="1" customWidth="1"/>
    <col min="3077" max="3077" width="7.26953125" bestFit="1" customWidth="1"/>
    <col min="3078" max="3078" width="21.1796875" customWidth="1"/>
    <col min="3079" max="3079" width="20" customWidth="1"/>
    <col min="3080" max="3080" width="13.54296875" bestFit="1" customWidth="1"/>
    <col min="3081" max="3081" width="11.81640625" customWidth="1"/>
    <col min="3082" max="3082" width="21.81640625" bestFit="1" customWidth="1"/>
    <col min="3083" max="3083" width="10.1796875" bestFit="1" customWidth="1"/>
    <col min="3084" max="3085" width="8.54296875" bestFit="1" customWidth="1"/>
    <col min="3086" max="3086" width="8.26953125" bestFit="1" customWidth="1"/>
    <col min="3328" max="3328" width="57.7265625" customWidth="1"/>
    <col min="3329" max="3329" width="9.1796875" customWidth="1"/>
    <col min="3330" max="3330" width="8" bestFit="1" customWidth="1"/>
    <col min="3331" max="3332" width="8.1796875" bestFit="1" customWidth="1"/>
    <col min="3333" max="3333" width="7.26953125" bestFit="1" customWidth="1"/>
    <col min="3334" max="3334" width="21.1796875" customWidth="1"/>
    <col min="3335" max="3335" width="20" customWidth="1"/>
    <col min="3336" max="3336" width="13.54296875" bestFit="1" customWidth="1"/>
    <col min="3337" max="3337" width="11.81640625" customWidth="1"/>
    <col min="3338" max="3338" width="21.81640625" bestFit="1" customWidth="1"/>
    <col min="3339" max="3339" width="10.1796875" bestFit="1" customWidth="1"/>
    <col min="3340" max="3341" width="8.54296875" bestFit="1" customWidth="1"/>
    <col min="3342" max="3342" width="8.26953125" bestFit="1" customWidth="1"/>
    <col min="3584" max="3584" width="57.7265625" customWidth="1"/>
    <col min="3585" max="3585" width="9.1796875" customWidth="1"/>
    <col min="3586" max="3586" width="8" bestFit="1" customWidth="1"/>
    <col min="3587" max="3588" width="8.1796875" bestFit="1" customWidth="1"/>
    <col min="3589" max="3589" width="7.26953125" bestFit="1" customWidth="1"/>
    <col min="3590" max="3590" width="21.1796875" customWidth="1"/>
    <col min="3591" max="3591" width="20" customWidth="1"/>
    <col min="3592" max="3592" width="13.54296875" bestFit="1" customWidth="1"/>
    <col min="3593" max="3593" width="11.81640625" customWidth="1"/>
    <col min="3594" max="3594" width="21.81640625" bestFit="1" customWidth="1"/>
    <col min="3595" max="3595" width="10.1796875" bestFit="1" customWidth="1"/>
    <col min="3596" max="3597" width="8.54296875" bestFit="1" customWidth="1"/>
    <col min="3598" max="3598" width="8.26953125" bestFit="1" customWidth="1"/>
    <col min="3840" max="3840" width="57.7265625" customWidth="1"/>
    <col min="3841" max="3841" width="9.1796875" customWidth="1"/>
    <col min="3842" max="3842" width="8" bestFit="1" customWidth="1"/>
    <col min="3843" max="3844" width="8.1796875" bestFit="1" customWidth="1"/>
    <col min="3845" max="3845" width="7.26953125" bestFit="1" customWidth="1"/>
    <col min="3846" max="3846" width="21.1796875" customWidth="1"/>
    <col min="3847" max="3847" width="20" customWidth="1"/>
    <col min="3848" max="3848" width="13.54296875" bestFit="1" customWidth="1"/>
    <col min="3849" max="3849" width="11.81640625" customWidth="1"/>
    <col min="3850" max="3850" width="21.81640625" bestFit="1" customWidth="1"/>
    <col min="3851" max="3851" width="10.1796875" bestFit="1" customWidth="1"/>
    <col min="3852" max="3853" width="8.54296875" bestFit="1" customWidth="1"/>
    <col min="3854" max="3854" width="8.26953125" bestFit="1" customWidth="1"/>
    <col min="4096" max="4096" width="57.7265625" customWidth="1"/>
    <col min="4097" max="4097" width="9.1796875" customWidth="1"/>
    <col min="4098" max="4098" width="8" bestFit="1" customWidth="1"/>
    <col min="4099" max="4100" width="8.1796875" bestFit="1" customWidth="1"/>
    <col min="4101" max="4101" width="7.26953125" bestFit="1" customWidth="1"/>
    <col min="4102" max="4102" width="21.1796875" customWidth="1"/>
    <col min="4103" max="4103" width="20" customWidth="1"/>
    <col min="4104" max="4104" width="13.54296875" bestFit="1" customWidth="1"/>
    <col min="4105" max="4105" width="11.81640625" customWidth="1"/>
    <col min="4106" max="4106" width="21.81640625" bestFit="1" customWidth="1"/>
    <col min="4107" max="4107" width="10.1796875" bestFit="1" customWidth="1"/>
    <col min="4108" max="4109" width="8.54296875" bestFit="1" customWidth="1"/>
    <col min="4110" max="4110" width="8.26953125" bestFit="1" customWidth="1"/>
    <col min="4352" max="4352" width="57.7265625" customWidth="1"/>
    <col min="4353" max="4353" width="9.1796875" customWidth="1"/>
    <col min="4354" max="4354" width="8" bestFit="1" customWidth="1"/>
    <col min="4355" max="4356" width="8.1796875" bestFit="1" customWidth="1"/>
    <col min="4357" max="4357" width="7.26953125" bestFit="1" customWidth="1"/>
    <col min="4358" max="4358" width="21.1796875" customWidth="1"/>
    <col min="4359" max="4359" width="20" customWidth="1"/>
    <col min="4360" max="4360" width="13.54296875" bestFit="1" customWidth="1"/>
    <col min="4361" max="4361" width="11.81640625" customWidth="1"/>
    <col min="4362" max="4362" width="21.81640625" bestFit="1" customWidth="1"/>
    <col min="4363" max="4363" width="10.1796875" bestFit="1" customWidth="1"/>
    <col min="4364" max="4365" width="8.54296875" bestFit="1" customWidth="1"/>
    <col min="4366" max="4366" width="8.26953125" bestFit="1" customWidth="1"/>
    <col min="4608" max="4608" width="57.7265625" customWidth="1"/>
    <col min="4609" max="4609" width="9.1796875" customWidth="1"/>
    <col min="4610" max="4610" width="8" bestFit="1" customWidth="1"/>
    <col min="4611" max="4612" width="8.1796875" bestFit="1" customWidth="1"/>
    <col min="4613" max="4613" width="7.26953125" bestFit="1" customWidth="1"/>
    <col min="4614" max="4614" width="21.1796875" customWidth="1"/>
    <col min="4615" max="4615" width="20" customWidth="1"/>
    <col min="4616" max="4616" width="13.54296875" bestFit="1" customWidth="1"/>
    <col min="4617" max="4617" width="11.81640625" customWidth="1"/>
    <col min="4618" max="4618" width="21.81640625" bestFit="1" customWidth="1"/>
    <col min="4619" max="4619" width="10.1796875" bestFit="1" customWidth="1"/>
    <col min="4620" max="4621" width="8.54296875" bestFit="1" customWidth="1"/>
    <col min="4622" max="4622" width="8.26953125" bestFit="1" customWidth="1"/>
    <col min="4864" max="4864" width="57.7265625" customWidth="1"/>
    <col min="4865" max="4865" width="9.1796875" customWidth="1"/>
    <col min="4866" max="4866" width="8" bestFit="1" customWidth="1"/>
    <col min="4867" max="4868" width="8.1796875" bestFit="1" customWidth="1"/>
    <col min="4869" max="4869" width="7.26953125" bestFit="1" customWidth="1"/>
    <col min="4870" max="4870" width="21.1796875" customWidth="1"/>
    <col min="4871" max="4871" width="20" customWidth="1"/>
    <col min="4872" max="4872" width="13.54296875" bestFit="1" customWidth="1"/>
    <col min="4873" max="4873" width="11.81640625" customWidth="1"/>
    <col min="4874" max="4874" width="21.81640625" bestFit="1" customWidth="1"/>
    <col min="4875" max="4875" width="10.1796875" bestFit="1" customWidth="1"/>
    <col min="4876" max="4877" width="8.54296875" bestFit="1" customWidth="1"/>
    <col min="4878" max="4878" width="8.26953125" bestFit="1" customWidth="1"/>
    <col min="5120" max="5120" width="57.7265625" customWidth="1"/>
    <col min="5121" max="5121" width="9.1796875" customWidth="1"/>
    <col min="5122" max="5122" width="8" bestFit="1" customWidth="1"/>
    <col min="5123" max="5124" width="8.1796875" bestFit="1" customWidth="1"/>
    <col min="5125" max="5125" width="7.26953125" bestFit="1" customWidth="1"/>
    <col min="5126" max="5126" width="21.1796875" customWidth="1"/>
    <col min="5127" max="5127" width="20" customWidth="1"/>
    <col min="5128" max="5128" width="13.54296875" bestFit="1" customWidth="1"/>
    <col min="5129" max="5129" width="11.81640625" customWidth="1"/>
    <col min="5130" max="5130" width="21.81640625" bestFit="1" customWidth="1"/>
    <col min="5131" max="5131" width="10.1796875" bestFit="1" customWidth="1"/>
    <col min="5132" max="5133" width="8.54296875" bestFit="1" customWidth="1"/>
    <col min="5134" max="5134" width="8.26953125" bestFit="1" customWidth="1"/>
    <col min="5376" max="5376" width="57.7265625" customWidth="1"/>
    <col min="5377" max="5377" width="9.1796875" customWidth="1"/>
    <col min="5378" max="5378" width="8" bestFit="1" customWidth="1"/>
    <col min="5379" max="5380" width="8.1796875" bestFit="1" customWidth="1"/>
    <col min="5381" max="5381" width="7.26953125" bestFit="1" customWidth="1"/>
    <col min="5382" max="5382" width="21.1796875" customWidth="1"/>
    <col min="5383" max="5383" width="20" customWidth="1"/>
    <col min="5384" max="5384" width="13.54296875" bestFit="1" customWidth="1"/>
    <col min="5385" max="5385" width="11.81640625" customWidth="1"/>
    <col min="5386" max="5386" width="21.81640625" bestFit="1" customWidth="1"/>
    <col min="5387" max="5387" width="10.1796875" bestFit="1" customWidth="1"/>
    <col min="5388" max="5389" width="8.54296875" bestFit="1" customWidth="1"/>
    <col min="5390" max="5390" width="8.26953125" bestFit="1" customWidth="1"/>
    <col min="5632" max="5632" width="57.7265625" customWidth="1"/>
    <col min="5633" max="5633" width="9.1796875" customWidth="1"/>
    <col min="5634" max="5634" width="8" bestFit="1" customWidth="1"/>
    <col min="5635" max="5636" width="8.1796875" bestFit="1" customWidth="1"/>
    <col min="5637" max="5637" width="7.26953125" bestFit="1" customWidth="1"/>
    <col min="5638" max="5638" width="21.1796875" customWidth="1"/>
    <col min="5639" max="5639" width="20" customWidth="1"/>
    <col min="5640" max="5640" width="13.54296875" bestFit="1" customWidth="1"/>
    <col min="5641" max="5641" width="11.81640625" customWidth="1"/>
    <col min="5642" max="5642" width="21.81640625" bestFit="1" customWidth="1"/>
    <col min="5643" max="5643" width="10.1796875" bestFit="1" customWidth="1"/>
    <col min="5644" max="5645" width="8.54296875" bestFit="1" customWidth="1"/>
    <col min="5646" max="5646" width="8.26953125" bestFit="1" customWidth="1"/>
    <col min="5888" max="5888" width="57.7265625" customWidth="1"/>
    <col min="5889" max="5889" width="9.1796875" customWidth="1"/>
    <col min="5890" max="5890" width="8" bestFit="1" customWidth="1"/>
    <col min="5891" max="5892" width="8.1796875" bestFit="1" customWidth="1"/>
    <col min="5893" max="5893" width="7.26953125" bestFit="1" customWidth="1"/>
    <col min="5894" max="5894" width="21.1796875" customWidth="1"/>
    <col min="5895" max="5895" width="20" customWidth="1"/>
    <col min="5896" max="5896" width="13.54296875" bestFit="1" customWidth="1"/>
    <col min="5897" max="5897" width="11.81640625" customWidth="1"/>
    <col min="5898" max="5898" width="21.81640625" bestFit="1" customWidth="1"/>
    <col min="5899" max="5899" width="10.1796875" bestFit="1" customWidth="1"/>
    <col min="5900" max="5901" width="8.54296875" bestFit="1" customWidth="1"/>
    <col min="5902" max="5902" width="8.26953125" bestFit="1" customWidth="1"/>
    <col min="6144" max="6144" width="57.7265625" customWidth="1"/>
    <col min="6145" max="6145" width="9.1796875" customWidth="1"/>
    <col min="6146" max="6146" width="8" bestFit="1" customWidth="1"/>
    <col min="6147" max="6148" width="8.1796875" bestFit="1" customWidth="1"/>
    <col min="6149" max="6149" width="7.26953125" bestFit="1" customWidth="1"/>
    <col min="6150" max="6150" width="21.1796875" customWidth="1"/>
    <col min="6151" max="6151" width="20" customWidth="1"/>
    <col min="6152" max="6152" width="13.54296875" bestFit="1" customWidth="1"/>
    <col min="6153" max="6153" width="11.81640625" customWidth="1"/>
    <col min="6154" max="6154" width="21.81640625" bestFit="1" customWidth="1"/>
    <col min="6155" max="6155" width="10.1796875" bestFit="1" customWidth="1"/>
    <col min="6156" max="6157" width="8.54296875" bestFit="1" customWidth="1"/>
    <col min="6158" max="6158" width="8.26953125" bestFit="1" customWidth="1"/>
    <col min="6400" max="6400" width="57.7265625" customWidth="1"/>
    <col min="6401" max="6401" width="9.1796875" customWidth="1"/>
    <col min="6402" max="6402" width="8" bestFit="1" customWidth="1"/>
    <col min="6403" max="6404" width="8.1796875" bestFit="1" customWidth="1"/>
    <col min="6405" max="6405" width="7.26953125" bestFit="1" customWidth="1"/>
    <col min="6406" max="6406" width="21.1796875" customWidth="1"/>
    <col min="6407" max="6407" width="20" customWidth="1"/>
    <col min="6408" max="6408" width="13.54296875" bestFit="1" customWidth="1"/>
    <col min="6409" max="6409" width="11.81640625" customWidth="1"/>
    <col min="6410" max="6410" width="21.81640625" bestFit="1" customWidth="1"/>
    <col min="6411" max="6411" width="10.1796875" bestFit="1" customWidth="1"/>
    <col min="6412" max="6413" width="8.54296875" bestFit="1" customWidth="1"/>
    <col min="6414" max="6414" width="8.26953125" bestFit="1" customWidth="1"/>
    <col min="6656" max="6656" width="57.7265625" customWidth="1"/>
    <col min="6657" max="6657" width="9.1796875" customWidth="1"/>
    <col min="6658" max="6658" width="8" bestFit="1" customWidth="1"/>
    <col min="6659" max="6660" width="8.1796875" bestFit="1" customWidth="1"/>
    <col min="6661" max="6661" width="7.26953125" bestFit="1" customWidth="1"/>
    <col min="6662" max="6662" width="21.1796875" customWidth="1"/>
    <col min="6663" max="6663" width="20" customWidth="1"/>
    <col min="6664" max="6664" width="13.54296875" bestFit="1" customWidth="1"/>
    <col min="6665" max="6665" width="11.81640625" customWidth="1"/>
    <col min="6666" max="6666" width="21.81640625" bestFit="1" customWidth="1"/>
    <col min="6667" max="6667" width="10.1796875" bestFit="1" customWidth="1"/>
    <col min="6668" max="6669" width="8.54296875" bestFit="1" customWidth="1"/>
    <col min="6670" max="6670" width="8.26953125" bestFit="1" customWidth="1"/>
    <col min="6912" max="6912" width="57.7265625" customWidth="1"/>
    <col min="6913" max="6913" width="9.1796875" customWidth="1"/>
    <col min="6914" max="6914" width="8" bestFit="1" customWidth="1"/>
    <col min="6915" max="6916" width="8.1796875" bestFit="1" customWidth="1"/>
    <col min="6917" max="6917" width="7.26953125" bestFit="1" customWidth="1"/>
    <col min="6918" max="6918" width="21.1796875" customWidth="1"/>
    <col min="6919" max="6919" width="20" customWidth="1"/>
    <col min="6920" max="6920" width="13.54296875" bestFit="1" customWidth="1"/>
    <col min="6921" max="6921" width="11.81640625" customWidth="1"/>
    <col min="6922" max="6922" width="21.81640625" bestFit="1" customWidth="1"/>
    <col min="6923" max="6923" width="10.1796875" bestFit="1" customWidth="1"/>
    <col min="6924" max="6925" width="8.54296875" bestFit="1" customWidth="1"/>
    <col min="6926" max="6926" width="8.26953125" bestFit="1" customWidth="1"/>
    <col min="7168" max="7168" width="57.7265625" customWidth="1"/>
    <col min="7169" max="7169" width="9.1796875" customWidth="1"/>
    <col min="7170" max="7170" width="8" bestFit="1" customWidth="1"/>
    <col min="7171" max="7172" width="8.1796875" bestFit="1" customWidth="1"/>
    <col min="7173" max="7173" width="7.26953125" bestFit="1" customWidth="1"/>
    <col min="7174" max="7174" width="21.1796875" customWidth="1"/>
    <col min="7175" max="7175" width="20" customWidth="1"/>
    <col min="7176" max="7176" width="13.54296875" bestFit="1" customWidth="1"/>
    <col min="7177" max="7177" width="11.81640625" customWidth="1"/>
    <col min="7178" max="7178" width="21.81640625" bestFit="1" customWidth="1"/>
    <col min="7179" max="7179" width="10.1796875" bestFit="1" customWidth="1"/>
    <col min="7180" max="7181" width="8.54296875" bestFit="1" customWidth="1"/>
    <col min="7182" max="7182" width="8.26953125" bestFit="1" customWidth="1"/>
    <col min="7424" max="7424" width="57.7265625" customWidth="1"/>
    <col min="7425" max="7425" width="9.1796875" customWidth="1"/>
    <col min="7426" max="7426" width="8" bestFit="1" customWidth="1"/>
    <col min="7427" max="7428" width="8.1796875" bestFit="1" customWidth="1"/>
    <col min="7429" max="7429" width="7.26953125" bestFit="1" customWidth="1"/>
    <col min="7430" max="7430" width="21.1796875" customWidth="1"/>
    <col min="7431" max="7431" width="20" customWidth="1"/>
    <col min="7432" max="7432" width="13.54296875" bestFit="1" customWidth="1"/>
    <col min="7433" max="7433" width="11.81640625" customWidth="1"/>
    <col min="7434" max="7434" width="21.81640625" bestFit="1" customWidth="1"/>
    <col min="7435" max="7435" width="10.1796875" bestFit="1" customWidth="1"/>
    <col min="7436" max="7437" width="8.54296875" bestFit="1" customWidth="1"/>
    <col min="7438" max="7438" width="8.26953125" bestFit="1" customWidth="1"/>
    <col min="7680" max="7680" width="57.7265625" customWidth="1"/>
    <col min="7681" max="7681" width="9.1796875" customWidth="1"/>
    <col min="7682" max="7682" width="8" bestFit="1" customWidth="1"/>
    <col min="7683" max="7684" width="8.1796875" bestFit="1" customWidth="1"/>
    <col min="7685" max="7685" width="7.26953125" bestFit="1" customWidth="1"/>
    <col min="7686" max="7686" width="21.1796875" customWidth="1"/>
    <col min="7687" max="7687" width="20" customWidth="1"/>
    <col min="7688" max="7688" width="13.54296875" bestFit="1" customWidth="1"/>
    <col min="7689" max="7689" width="11.81640625" customWidth="1"/>
    <col min="7690" max="7690" width="21.81640625" bestFit="1" customWidth="1"/>
    <col min="7691" max="7691" width="10.1796875" bestFit="1" customWidth="1"/>
    <col min="7692" max="7693" width="8.54296875" bestFit="1" customWidth="1"/>
    <col min="7694" max="7694" width="8.26953125" bestFit="1" customWidth="1"/>
    <col min="7936" max="7936" width="57.7265625" customWidth="1"/>
    <col min="7937" max="7937" width="9.1796875" customWidth="1"/>
    <col min="7938" max="7938" width="8" bestFit="1" customWidth="1"/>
    <col min="7939" max="7940" width="8.1796875" bestFit="1" customWidth="1"/>
    <col min="7941" max="7941" width="7.26953125" bestFit="1" customWidth="1"/>
    <col min="7942" max="7942" width="21.1796875" customWidth="1"/>
    <col min="7943" max="7943" width="20" customWidth="1"/>
    <col min="7944" max="7944" width="13.54296875" bestFit="1" customWidth="1"/>
    <col min="7945" max="7945" width="11.81640625" customWidth="1"/>
    <col min="7946" max="7946" width="21.81640625" bestFit="1" customWidth="1"/>
    <col min="7947" max="7947" width="10.1796875" bestFit="1" customWidth="1"/>
    <col min="7948" max="7949" width="8.54296875" bestFit="1" customWidth="1"/>
    <col min="7950" max="7950" width="8.26953125" bestFit="1" customWidth="1"/>
    <col min="8192" max="8192" width="57.7265625" customWidth="1"/>
    <col min="8193" max="8193" width="9.1796875" customWidth="1"/>
    <col min="8194" max="8194" width="8" bestFit="1" customWidth="1"/>
    <col min="8195" max="8196" width="8.1796875" bestFit="1" customWidth="1"/>
    <col min="8197" max="8197" width="7.26953125" bestFit="1" customWidth="1"/>
    <col min="8198" max="8198" width="21.1796875" customWidth="1"/>
    <col min="8199" max="8199" width="20" customWidth="1"/>
    <col min="8200" max="8200" width="13.54296875" bestFit="1" customWidth="1"/>
    <col min="8201" max="8201" width="11.81640625" customWidth="1"/>
    <col min="8202" max="8202" width="21.81640625" bestFit="1" customWidth="1"/>
    <col min="8203" max="8203" width="10.1796875" bestFit="1" customWidth="1"/>
    <col min="8204" max="8205" width="8.54296875" bestFit="1" customWidth="1"/>
    <col min="8206" max="8206" width="8.26953125" bestFit="1" customWidth="1"/>
    <col min="8448" max="8448" width="57.7265625" customWidth="1"/>
    <col min="8449" max="8449" width="9.1796875" customWidth="1"/>
    <col min="8450" max="8450" width="8" bestFit="1" customWidth="1"/>
    <col min="8451" max="8452" width="8.1796875" bestFit="1" customWidth="1"/>
    <col min="8453" max="8453" width="7.26953125" bestFit="1" customWidth="1"/>
    <col min="8454" max="8454" width="21.1796875" customWidth="1"/>
    <col min="8455" max="8455" width="20" customWidth="1"/>
    <col min="8456" max="8456" width="13.54296875" bestFit="1" customWidth="1"/>
    <col min="8457" max="8457" width="11.81640625" customWidth="1"/>
    <col min="8458" max="8458" width="21.81640625" bestFit="1" customWidth="1"/>
    <col min="8459" max="8459" width="10.1796875" bestFit="1" customWidth="1"/>
    <col min="8460" max="8461" width="8.54296875" bestFit="1" customWidth="1"/>
    <col min="8462" max="8462" width="8.26953125" bestFit="1" customWidth="1"/>
    <col min="8704" max="8704" width="57.7265625" customWidth="1"/>
    <col min="8705" max="8705" width="9.1796875" customWidth="1"/>
    <col min="8706" max="8706" width="8" bestFit="1" customWidth="1"/>
    <col min="8707" max="8708" width="8.1796875" bestFit="1" customWidth="1"/>
    <col min="8709" max="8709" width="7.26953125" bestFit="1" customWidth="1"/>
    <col min="8710" max="8710" width="21.1796875" customWidth="1"/>
    <col min="8711" max="8711" width="20" customWidth="1"/>
    <col min="8712" max="8712" width="13.54296875" bestFit="1" customWidth="1"/>
    <col min="8713" max="8713" width="11.81640625" customWidth="1"/>
    <col min="8714" max="8714" width="21.81640625" bestFit="1" customWidth="1"/>
    <col min="8715" max="8715" width="10.1796875" bestFit="1" customWidth="1"/>
    <col min="8716" max="8717" width="8.54296875" bestFit="1" customWidth="1"/>
    <col min="8718" max="8718" width="8.26953125" bestFit="1" customWidth="1"/>
    <col min="8960" max="8960" width="57.7265625" customWidth="1"/>
    <col min="8961" max="8961" width="9.1796875" customWidth="1"/>
    <col min="8962" max="8962" width="8" bestFit="1" customWidth="1"/>
    <col min="8963" max="8964" width="8.1796875" bestFit="1" customWidth="1"/>
    <col min="8965" max="8965" width="7.26953125" bestFit="1" customWidth="1"/>
    <col min="8966" max="8966" width="21.1796875" customWidth="1"/>
    <col min="8967" max="8967" width="20" customWidth="1"/>
    <col min="8968" max="8968" width="13.54296875" bestFit="1" customWidth="1"/>
    <col min="8969" max="8969" width="11.81640625" customWidth="1"/>
    <col min="8970" max="8970" width="21.81640625" bestFit="1" customWidth="1"/>
    <col min="8971" max="8971" width="10.1796875" bestFit="1" customWidth="1"/>
    <col min="8972" max="8973" width="8.54296875" bestFit="1" customWidth="1"/>
    <col min="8974" max="8974" width="8.26953125" bestFit="1" customWidth="1"/>
    <col min="9216" max="9216" width="57.7265625" customWidth="1"/>
    <col min="9217" max="9217" width="9.1796875" customWidth="1"/>
    <col min="9218" max="9218" width="8" bestFit="1" customWidth="1"/>
    <col min="9219" max="9220" width="8.1796875" bestFit="1" customWidth="1"/>
    <col min="9221" max="9221" width="7.26953125" bestFit="1" customWidth="1"/>
    <col min="9222" max="9222" width="21.1796875" customWidth="1"/>
    <col min="9223" max="9223" width="20" customWidth="1"/>
    <col min="9224" max="9224" width="13.54296875" bestFit="1" customWidth="1"/>
    <col min="9225" max="9225" width="11.81640625" customWidth="1"/>
    <col min="9226" max="9226" width="21.81640625" bestFit="1" customWidth="1"/>
    <col min="9227" max="9227" width="10.1796875" bestFit="1" customWidth="1"/>
    <col min="9228" max="9229" width="8.54296875" bestFit="1" customWidth="1"/>
    <col min="9230" max="9230" width="8.26953125" bestFit="1" customWidth="1"/>
    <col min="9472" max="9472" width="57.7265625" customWidth="1"/>
    <col min="9473" max="9473" width="9.1796875" customWidth="1"/>
    <col min="9474" max="9474" width="8" bestFit="1" customWidth="1"/>
    <col min="9475" max="9476" width="8.1796875" bestFit="1" customWidth="1"/>
    <col min="9477" max="9477" width="7.26953125" bestFit="1" customWidth="1"/>
    <col min="9478" max="9478" width="21.1796875" customWidth="1"/>
    <col min="9479" max="9479" width="20" customWidth="1"/>
    <col min="9480" max="9480" width="13.54296875" bestFit="1" customWidth="1"/>
    <col min="9481" max="9481" width="11.81640625" customWidth="1"/>
    <col min="9482" max="9482" width="21.81640625" bestFit="1" customWidth="1"/>
    <col min="9483" max="9483" width="10.1796875" bestFit="1" customWidth="1"/>
    <col min="9484" max="9485" width="8.54296875" bestFit="1" customWidth="1"/>
    <col min="9486" max="9486" width="8.26953125" bestFit="1" customWidth="1"/>
    <col min="9728" max="9728" width="57.7265625" customWidth="1"/>
    <col min="9729" max="9729" width="9.1796875" customWidth="1"/>
    <col min="9730" max="9730" width="8" bestFit="1" customWidth="1"/>
    <col min="9731" max="9732" width="8.1796875" bestFit="1" customWidth="1"/>
    <col min="9733" max="9733" width="7.26953125" bestFit="1" customWidth="1"/>
    <col min="9734" max="9734" width="21.1796875" customWidth="1"/>
    <col min="9735" max="9735" width="20" customWidth="1"/>
    <col min="9736" max="9736" width="13.54296875" bestFit="1" customWidth="1"/>
    <col min="9737" max="9737" width="11.81640625" customWidth="1"/>
    <col min="9738" max="9738" width="21.81640625" bestFit="1" customWidth="1"/>
    <col min="9739" max="9739" width="10.1796875" bestFit="1" customWidth="1"/>
    <col min="9740" max="9741" width="8.54296875" bestFit="1" customWidth="1"/>
    <col min="9742" max="9742" width="8.26953125" bestFit="1" customWidth="1"/>
    <col min="9984" max="9984" width="57.7265625" customWidth="1"/>
    <col min="9985" max="9985" width="9.1796875" customWidth="1"/>
    <col min="9986" max="9986" width="8" bestFit="1" customWidth="1"/>
    <col min="9987" max="9988" width="8.1796875" bestFit="1" customWidth="1"/>
    <col min="9989" max="9989" width="7.26953125" bestFit="1" customWidth="1"/>
    <col min="9990" max="9990" width="21.1796875" customWidth="1"/>
    <col min="9991" max="9991" width="20" customWidth="1"/>
    <col min="9992" max="9992" width="13.54296875" bestFit="1" customWidth="1"/>
    <col min="9993" max="9993" width="11.81640625" customWidth="1"/>
    <col min="9994" max="9994" width="21.81640625" bestFit="1" customWidth="1"/>
    <col min="9995" max="9995" width="10.1796875" bestFit="1" customWidth="1"/>
    <col min="9996" max="9997" width="8.54296875" bestFit="1" customWidth="1"/>
    <col min="9998" max="9998" width="8.26953125" bestFit="1" customWidth="1"/>
    <col min="10240" max="10240" width="57.7265625" customWidth="1"/>
    <col min="10241" max="10241" width="9.1796875" customWidth="1"/>
    <col min="10242" max="10242" width="8" bestFit="1" customWidth="1"/>
    <col min="10243" max="10244" width="8.1796875" bestFit="1" customWidth="1"/>
    <col min="10245" max="10245" width="7.26953125" bestFit="1" customWidth="1"/>
    <col min="10246" max="10246" width="21.1796875" customWidth="1"/>
    <col min="10247" max="10247" width="20" customWidth="1"/>
    <col min="10248" max="10248" width="13.54296875" bestFit="1" customWidth="1"/>
    <col min="10249" max="10249" width="11.81640625" customWidth="1"/>
    <col min="10250" max="10250" width="21.81640625" bestFit="1" customWidth="1"/>
    <col min="10251" max="10251" width="10.1796875" bestFit="1" customWidth="1"/>
    <col min="10252" max="10253" width="8.54296875" bestFit="1" customWidth="1"/>
    <col min="10254" max="10254" width="8.26953125" bestFit="1" customWidth="1"/>
    <col min="10496" max="10496" width="57.7265625" customWidth="1"/>
    <col min="10497" max="10497" width="9.1796875" customWidth="1"/>
    <col min="10498" max="10498" width="8" bestFit="1" customWidth="1"/>
    <col min="10499" max="10500" width="8.1796875" bestFit="1" customWidth="1"/>
    <col min="10501" max="10501" width="7.26953125" bestFit="1" customWidth="1"/>
    <col min="10502" max="10502" width="21.1796875" customWidth="1"/>
    <col min="10503" max="10503" width="20" customWidth="1"/>
    <col min="10504" max="10504" width="13.54296875" bestFit="1" customWidth="1"/>
    <col min="10505" max="10505" width="11.81640625" customWidth="1"/>
    <col min="10506" max="10506" width="21.81640625" bestFit="1" customWidth="1"/>
    <col min="10507" max="10507" width="10.1796875" bestFit="1" customWidth="1"/>
    <col min="10508" max="10509" width="8.54296875" bestFit="1" customWidth="1"/>
    <col min="10510" max="10510" width="8.26953125" bestFit="1" customWidth="1"/>
    <col min="10752" max="10752" width="57.7265625" customWidth="1"/>
    <col min="10753" max="10753" width="9.1796875" customWidth="1"/>
    <col min="10754" max="10754" width="8" bestFit="1" customWidth="1"/>
    <col min="10755" max="10756" width="8.1796875" bestFit="1" customWidth="1"/>
    <col min="10757" max="10757" width="7.26953125" bestFit="1" customWidth="1"/>
    <col min="10758" max="10758" width="21.1796875" customWidth="1"/>
    <col min="10759" max="10759" width="20" customWidth="1"/>
    <col min="10760" max="10760" width="13.54296875" bestFit="1" customWidth="1"/>
    <col min="10761" max="10761" width="11.81640625" customWidth="1"/>
    <col min="10762" max="10762" width="21.81640625" bestFit="1" customWidth="1"/>
    <col min="10763" max="10763" width="10.1796875" bestFit="1" customWidth="1"/>
    <col min="10764" max="10765" width="8.54296875" bestFit="1" customWidth="1"/>
    <col min="10766" max="10766" width="8.26953125" bestFit="1" customWidth="1"/>
    <col min="11008" max="11008" width="57.7265625" customWidth="1"/>
    <col min="11009" max="11009" width="9.1796875" customWidth="1"/>
    <col min="11010" max="11010" width="8" bestFit="1" customWidth="1"/>
    <col min="11011" max="11012" width="8.1796875" bestFit="1" customWidth="1"/>
    <col min="11013" max="11013" width="7.26953125" bestFit="1" customWidth="1"/>
    <col min="11014" max="11014" width="21.1796875" customWidth="1"/>
    <col min="11015" max="11015" width="20" customWidth="1"/>
    <col min="11016" max="11016" width="13.54296875" bestFit="1" customWidth="1"/>
    <col min="11017" max="11017" width="11.81640625" customWidth="1"/>
    <col min="11018" max="11018" width="21.81640625" bestFit="1" customWidth="1"/>
    <col min="11019" max="11019" width="10.1796875" bestFit="1" customWidth="1"/>
    <col min="11020" max="11021" width="8.54296875" bestFit="1" customWidth="1"/>
    <col min="11022" max="11022" width="8.26953125" bestFit="1" customWidth="1"/>
    <col min="11264" max="11264" width="57.7265625" customWidth="1"/>
    <col min="11265" max="11265" width="9.1796875" customWidth="1"/>
    <col min="11266" max="11266" width="8" bestFit="1" customWidth="1"/>
    <col min="11267" max="11268" width="8.1796875" bestFit="1" customWidth="1"/>
    <col min="11269" max="11269" width="7.26953125" bestFit="1" customWidth="1"/>
    <col min="11270" max="11270" width="21.1796875" customWidth="1"/>
    <col min="11271" max="11271" width="20" customWidth="1"/>
    <col min="11272" max="11272" width="13.54296875" bestFit="1" customWidth="1"/>
    <col min="11273" max="11273" width="11.81640625" customWidth="1"/>
    <col min="11274" max="11274" width="21.81640625" bestFit="1" customWidth="1"/>
    <col min="11275" max="11275" width="10.1796875" bestFit="1" customWidth="1"/>
    <col min="11276" max="11277" width="8.54296875" bestFit="1" customWidth="1"/>
    <col min="11278" max="11278" width="8.26953125" bestFit="1" customWidth="1"/>
    <col min="11520" max="11520" width="57.7265625" customWidth="1"/>
    <col min="11521" max="11521" width="9.1796875" customWidth="1"/>
    <col min="11522" max="11522" width="8" bestFit="1" customWidth="1"/>
    <col min="11523" max="11524" width="8.1796875" bestFit="1" customWidth="1"/>
    <col min="11525" max="11525" width="7.26953125" bestFit="1" customWidth="1"/>
    <col min="11526" max="11526" width="21.1796875" customWidth="1"/>
    <col min="11527" max="11527" width="20" customWidth="1"/>
    <col min="11528" max="11528" width="13.54296875" bestFit="1" customWidth="1"/>
    <col min="11529" max="11529" width="11.81640625" customWidth="1"/>
    <col min="11530" max="11530" width="21.81640625" bestFit="1" customWidth="1"/>
    <col min="11531" max="11531" width="10.1796875" bestFit="1" customWidth="1"/>
    <col min="11532" max="11533" width="8.54296875" bestFit="1" customWidth="1"/>
    <col min="11534" max="11534" width="8.26953125" bestFit="1" customWidth="1"/>
    <col min="11776" max="11776" width="57.7265625" customWidth="1"/>
    <col min="11777" max="11777" width="9.1796875" customWidth="1"/>
    <col min="11778" max="11778" width="8" bestFit="1" customWidth="1"/>
    <col min="11779" max="11780" width="8.1796875" bestFit="1" customWidth="1"/>
    <col min="11781" max="11781" width="7.26953125" bestFit="1" customWidth="1"/>
    <col min="11782" max="11782" width="21.1796875" customWidth="1"/>
    <col min="11783" max="11783" width="20" customWidth="1"/>
    <col min="11784" max="11784" width="13.54296875" bestFit="1" customWidth="1"/>
    <col min="11785" max="11785" width="11.81640625" customWidth="1"/>
    <col min="11786" max="11786" width="21.81640625" bestFit="1" customWidth="1"/>
    <col min="11787" max="11787" width="10.1796875" bestFit="1" customWidth="1"/>
    <col min="11788" max="11789" width="8.54296875" bestFit="1" customWidth="1"/>
    <col min="11790" max="11790" width="8.26953125" bestFit="1" customWidth="1"/>
    <col min="12032" max="12032" width="57.7265625" customWidth="1"/>
    <col min="12033" max="12033" width="9.1796875" customWidth="1"/>
    <col min="12034" max="12034" width="8" bestFit="1" customWidth="1"/>
    <col min="12035" max="12036" width="8.1796875" bestFit="1" customWidth="1"/>
    <col min="12037" max="12037" width="7.26953125" bestFit="1" customWidth="1"/>
    <col min="12038" max="12038" width="21.1796875" customWidth="1"/>
    <col min="12039" max="12039" width="20" customWidth="1"/>
    <col min="12040" max="12040" width="13.54296875" bestFit="1" customWidth="1"/>
    <col min="12041" max="12041" width="11.81640625" customWidth="1"/>
    <col min="12042" max="12042" width="21.81640625" bestFit="1" customWidth="1"/>
    <col min="12043" max="12043" width="10.1796875" bestFit="1" customWidth="1"/>
    <col min="12044" max="12045" width="8.54296875" bestFit="1" customWidth="1"/>
    <col min="12046" max="12046" width="8.26953125" bestFit="1" customWidth="1"/>
    <col min="12288" max="12288" width="57.7265625" customWidth="1"/>
    <col min="12289" max="12289" width="9.1796875" customWidth="1"/>
    <col min="12290" max="12290" width="8" bestFit="1" customWidth="1"/>
    <col min="12291" max="12292" width="8.1796875" bestFit="1" customWidth="1"/>
    <col min="12293" max="12293" width="7.26953125" bestFit="1" customWidth="1"/>
    <col min="12294" max="12294" width="21.1796875" customWidth="1"/>
    <col min="12295" max="12295" width="20" customWidth="1"/>
    <col min="12296" max="12296" width="13.54296875" bestFit="1" customWidth="1"/>
    <col min="12297" max="12297" width="11.81640625" customWidth="1"/>
    <col min="12298" max="12298" width="21.81640625" bestFit="1" customWidth="1"/>
    <col min="12299" max="12299" width="10.1796875" bestFit="1" customWidth="1"/>
    <col min="12300" max="12301" width="8.54296875" bestFit="1" customWidth="1"/>
    <col min="12302" max="12302" width="8.26953125" bestFit="1" customWidth="1"/>
    <col min="12544" max="12544" width="57.7265625" customWidth="1"/>
    <col min="12545" max="12545" width="9.1796875" customWidth="1"/>
    <col min="12546" max="12546" width="8" bestFit="1" customWidth="1"/>
    <col min="12547" max="12548" width="8.1796875" bestFit="1" customWidth="1"/>
    <col min="12549" max="12549" width="7.26953125" bestFit="1" customWidth="1"/>
    <col min="12550" max="12550" width="21.1796875" customWidth="1"/>
    <col min="12551" max="12551" width="20" customWidth="1"/>
    <col min="12552" max="12552" width="13.54296875" bestFit="1" customWidth="1"/>
    <col min="12553" max="12553" width="11.81640625" customWidth="1"/>
    <col min="12554" max="12554" width="21.81640625" bestFit="1" customWidth="1"/>
    <col min="12555" max="12555" width="10.1796875" bestFit="1" customWidth="1"/>
    <col min="12556" max="12557" width="8.54296875" bestFit="1" customWidth="1"/>
    <col min="12558" max="12558" width="8.26953125" bestFit="1" customWidth="1"/>
    <col min="12800" max="12800" width="57.7265625" customWidth="1"/>
    <col min="12801" max="12801" width="9.1796875" customWidth="1"/>
    <col min="12802" max="12802" width="8" bestFit="1" customWidth="1"/>
    <col min="12803" max="12804" width="8.1796875" bestFit="1" customWidth="1"/>
    <col min="12805" max="12805" width="7.26953125" bestFit="1" customWidth="1"/>
    <col min="12806" max="12806" width="21.1796875" customWidth="1"/>
    <col min="12807" max="12807" width="20" customWidth="1"/>
    <col min="12808" max="12808" width="13.54296875" bestFit="1" customWidth="1"/>
    <col min="12809" max="12809" width="11.81640625" customWidth="1"/>
    <col min="12810" max="12810" width="21.81640625" bestFit="1" customWidth="1"/>
    <col min="12811" max="12811" width="10.1796875" bestFit="1" customWidth="1"/>
    <col min="12812" max="12813" width="8.54296875" bestFit="1" customWidth="1"/>
    <col min="12814" max="12814" width="8.26953125" bestFit="1" customWidth="1"/>
    <col min="13056" max="13056" width="57.7265625" customWidth="1"/>
    <col min="13057" max="13057" width="9.1796875" customWidth="1"/>
    <col min="13058" max="13058" width="8" bestFit="1" customWidth="1"/>
    <col min="13059" max="13060" width="8.1796875" bestFit="1" customWidth="1"/>
    <col min="13061" max="13061" width="7.26953125" bestFit="1" customWidth="1"/>
    <col min="13062" max="13062" width="21.1796875" customWidth="1"/>
    <col min="13063" max="13063" width="20" customWidth="1"/>
    <col min="13064" max="13064" width="13.54296875" bestFit="1" customWidth="1"/>
    <col min="13065" max="13065" width="11.81640625" customWidth="1"/>
    <col min="13066" max="13066" width="21.81640625" bestFit="1" customWidth="1"/>
    <col min="13067" max="13067" width="10.1796875" bestFit="1" customWidth="1"/>
    <col min="13068" max="13069" width="8.54296875" bestFit="1" customWidth="1"/>
    <col min="13070" max="13070" width="8.26953125" bestFit="1" customWidth="1"/>
    <col min="13312" max="13312" width="57.7265625" customWidth="1"/>
    <col min="13313" max="13313" width="9.1796875" customWidth="1"/>
    <col min="13314" max="13314" width="8" bestFit="1" customWidth="1"/>
    <col min="13315" max="13316" width="8.1796875" bestFit="1" customWidth="1"/>
    <col min="13317" max="13317" width="7.26953125" bestFit="1" customWidth="1"/>
    <col min="13318" max="13318" width="21.1796875" customWidth="1"/>
    <col min="13319" max="13319" width="20" customWidth="1"/>
    <col min="13320" max="13320" width="13.54296875" bestFit="1" customWidth="1"/>
    <col min="13321" max="13321" width="11.81640625" customWidth="1"/>
    <col min="13322" max="13322" width="21.81640625" bestFit="1" customWidth="1"/>
    <col min="13323" max="13323" width="10.1796875" bestFit="1" customWidth="1"/>
    <col min="13324" max="13325" width="8.54296875" bestFit="1" customWidth="1"/>
    <col min="13326" max="13326" width="8.26953125" bestFit="1" customWidth="1"/>
    <col min="13568" max="13568" width="57.7265625" customWidth="1"/>
    <col min="13569" max="13569" width="9.1796875" customWidth="1"/>
    <col min="13570" max="13570" width="8" bestFit="1" customWidth="1"/>
    <col min="13571" max="13572" width="8.1796875" bestFit="1" customWidth="1"/>
    <col min="13573" max="13573" width="7.26953125" bestFit="1" customWidth="1"/>
    <col min="13574" max="13574" width="21.1796875" customWidth="1"/>
    <col min="13575" max="13575" width="20" customWidth="1"/>
    <col min="13576" max="13576" width="13.54296875" bestFit="1" customWidth="1"/>
    <col min="13577" max="13577" width="11.81640625" customWidth="1"/>
    <col min="13578" max="13578" width="21.81640625" bestFit="1" customWidth="1"/>
    <col min="13579" max="13579" width="10.1796875" bestFit="1" customWidth="1"/>
    <col min="13580" max="13581" width="8.54296875" bestFit="1" customWidth="1"/>
    <col min="13582" max="13582" width="8.26953125" bestFit="1" customWidth="1"/>
    <col min="13824" max="13824" width="57.7265625" customWidth="1"/>
    <col min="13825" max="13825" width="9.1796875" customWidth="1"/>
    <col min="13826" max="13826" width="8" bestFit="1" customWidth="1"/>
    <col min="13827" max="13828" width="8.1796875" bestFit="1" customWidth="1"/>
    <col min="13829" max="13829" width="7.26953125" bestFit="1" customWidth="1"/>
    <col min="13830" max="13830" width="21.1796875" customWidth="1"/>
    <col min="13831" max="13831" width="20" customWidth="1"/>
    <col min="13832" max="13832" width="13.54296875" bestFit="1" customWidth="1"/>
    <col min="13833" max="13833" width="11.81640625" customWidth="1"/>
    <col min="13834" max="13834" width="21.81640625" bestFit="1" customWidth="1"/>
    <col min="13835" max="13835" width="10.1796875" bestFit="1" customWidth="1"/>
    <col min="13836" max="13837" width="8.54296875" bestFit="1" customWidth="1"/>
    <col min="13838" max="13838" width="8.26953125" bestFit="1" customWidth="1"/>
    <col min="14080" max="14080" width="57.7265625" customWidth="1"/>
    <col min="14081" max="14081" width="9.1796875" customWidth="1"/>
    <col min="14082" max="14082" width="8" bestFit="1" customWidth="1"/>
    <col min="14083" max="14084" width="8.1796875" bestFit="1" customWidth="1"/>
    <col min="14085" max="14085" width="7.26953125" bestFit="1" customWidth="1"/>
    <col min="14086" max="14086" width="21.1796875" customWidth="1"/>
    <col min="14087" max="14087" width="20" customWidth="1"/>
    <col min="14088" max="14088" width="13.54296875" bestFit="1" customWidth="1"/>
    <col min="14089" max="14089" width="11.81640625" customWidth="1"/>
    <col min="14090" max="14090" width="21.81640625" bestFit="1" customWidth="1"/>
    <col min="14091" max="14091" width="10.1796875" bestFit="1" customWidth="1"/>
    <col min="14092" max="14093" width="8.54296875" bestFit="1" customWidth="1"/>
    <col min="14094" max="14094" width="8.26953125" bestFit="1" customWidth="1"/>
    <col min="14336" max="14336" width="57.7265625" customWidth="1"/>
    <col min="14337" max="14337" width="9.1796875" customWidth="1"/>
    <col min="14338" max="14338" width="8" bestFit="1" customWidth="1"/>
    <col min="14339" max="14340" width="8.1796875" bestFit="1" customWidth="1"/>
    <col min="14341" max="14341" width="7.26953125" bestFit="1" customWidth="1"/>
    <col min="14342" max="14342" width="21.1796875" customWidth="1"/>
    <col min="14343" max="14343" width="20" customWidth="1"/>
    <col min="14344" max="14344" width="13.54296875" bestFit="1" customWidth="1"/>
    <col min="14345" max="14345" width="11.81640625" customWidth="1"/>
    <col min="14346" max="14346" width="21.81640625" bestFit="1" customWidth="1"/>
    <col min="14347" max="14347" width="10.1796875" bestFit="1" customWidth="1"/>
    <col min="14348" max="14349" width="8.54296875" bestFit="1" customWidth="1"/>
    <col min="14350" max="14350" width="8.26953125" bestFit="1" customWidth="1"/>
    <col min="14592" max="14592" width="57.7265625" customWidth="1"/>
    <col min="14593" max="14593" width="9.1796875" customWidth="1"/>
    <col min="14594" max="14594" width="8" bestFit="1" customWidth="1"/>
    <col min="14595" max="14596" width="8.1796875" bestFit="1" customWidth="1"/>
    <col min="14597" max="14597" width="7.26953125" bestFit="1" customWidth="1"/>
    <col min="14598" max="14598" width="21.1796875" customWidth="1"/>
    <col min="14599" max="14599" width="20" customWidth="1"/>
    <col min="14600" max="14600" width="13.54296875" bestFit="1" customWidth="1"/>
    <col min="14601" max="14601" width="11.81640625" customWidth="1"/>
    <col min="14602" max="14602" width="21.81640625" bestFit="1" customWidth="1"/>
    <col min="14603" max="14603" width="10.1796875" bestFit="1" customWidth="1"/>
    <col min="14604" max="14605" width="8.54296875" bestFit="1" customWidth="1"/>
    <col min="14606" max="14606" width="8.26953125" bestFit="1" customWidth="1"/>
    <col min="14848" max="14848" width="57.7265625" customWidth="1"/>
    <col min="14849" max="14849" width="9.1796875" customWidth="1"/>
    <col min="14850" max="14850" width="8" bestFit="1" customWidth="1"/>
    <col min="14851" max="14852" width="8.1796875" bestFit="1" customWidth="1"/>
    <col min="14853" max="14853" width="7.26953125" bestFit="1" customWidth="1"/>
    <col min="14854" max="14854" width="21.1796875" customWidth="1"/>
    <col min="14855" max="14855" width="20" customWidth="1"/>
    <col min="14856" max="14856" width="13.54296875" bestFit="1" customWidth="1"/>
    <col min="14857" max="14857" width="11.81640625" customWidth="1"/>
    <col min="14858" max="14858" width="21.81640625" bestFit="1" customWidth="1"/>
    <col min="14859" max="14859" width="10.1796875" bestFit="1" customWidth="1"/>
    <col min="14860" max="14861" width="8.54296875" bestFit="1" customWidth="1"/>
    <col min="14862" max="14862" width="8.26953125" bestFit="1" customWidth="1"/>
    <col min="15104" max="15104" width="57.7265625" customWidth="1"/>
    <col min="15105" max="15105" width="9.1796875" customWidth="1"/>
    <col min="15106" max="15106" width="8" bestFit="1" customWidth="1"/>
    <col min="15107" max="15108" width="8.1796875" bestFit="1" customWidth="1"/>
    <col min="15109" max="15109" width="7.26953125" bestFit="1" customWidth="1"/>
    <col min="15110" max="15110" width="21.1796875" customWidth="1"/>
    <col min="15111" max="15111" width="20" customWidth="1"/>
    <col min="15112" max="15112" width="13.54296875" bestFit="1" customWidth="1"/>
    <col min="15113" max="15113" width="11.81640625" customWidth="1"/>
    <col min="15114" max="15114" width="21.81640625" bestFit="1" customWidth="1"/>
    <col min="15115" max="15115" width="10.1796875" bestFit="1" customWidth="1"/>
    <col min="15116" max="15117" width="8.54296875" bestFit="1" customWidth="1"/>
    <col min="15118" max="15118" width="8.26953125" bestFit="1" customWidth="1"/>
    <col min="15360" max="15360" width="57.7265625" customWidth="1"/>
    <col min="15361" max="15361" width="9.1796875" customWidth="1"/>
    <col min="15362" max="15362" width="8" bestFit="1" customWidth="1"/>
    <col min="15363" max="15364" width="8.1796875" bestFit="1" customWidth="1"/>
    <col min="15365" max="15365" width="7.26953125" bestFit="1" customWidth="1"/>
    <col min="15366" max="15366" width="21.1796875" customWidth="1"/>
    <col min="15367" max="15367" width="20" customWidth="1"/>
    <col min="15368" max="15368" width="13.54296875" bestFit="1" customWidth="1"/>
    <col min="15369" max="15369" width="11.81640625" customWidth="1"/>
    <col min="15370" max="15370" width="21.81640625" bestFit="1" customWidth="1"/>
    <col min="15371" max="15371" width="10.1796875" bestFit="1" customWidth="1"/>
    <col min="15372" max="15373" width="8.54296875" bestFit="1" customWidth="1"/>
    <col min="15374" max="15374" width="8.26953125" bestFit="1" customWidth="1"/>
    <col min="15616" max="15616" width="57.7265625" customWidth="1"/>
    <col min="15617" max="15617" width="9.1796875" customWidth="1"/>
    <col min="15618" max="15618" width="8" bestFit="1" customWidth="1"/>
    <col min="15619" max="15620" width="8.1796875" bestFit="1" customWidth="1"/>
    <col min="15621" max="15621" width="7.26953125" bestFit="1" customWidth="1"/>
    <col min="15622" max="15622" width="21.1796875" customWidth="1"/>
    <col min="15623" max="15623" width="20" customWidth="1"/>
    <col min="15624" max="15624" width="13.54296875" bestFit="1" customWidth="1"/>
    <col min="15625" max="15625" width="11.81640625" customWidth="1"/>
    <col min="15626" max="15626" width="21.81640625" bestFit="1" customWidth="1"/>
    <col min="15627" max="15627" width="10.1796875" bestFit="1" customWidth="1"/>
    <col min="15628" max="15629" width="8.54296875" bestFit="1" customWidth="1"/>
    <col min="15630" max="15630" width="8.26953125" bestFit="1" customWidth="1"/>
    <col min="15872" max="15872" width="57.7265625" customWidth="1"/>
    <col min="15873" max="15873" width="9.1796875" customWidth="1"/>
    <col min="15874" max="15874" width="8" bestFit="1" customWidth="1"/>
    <col min="15875" max="15876" width="8.1796875" bestFit="1" customWidth="1"/>
    <col min="15877" max="15877" width="7.26953125" bestFit="1" customWidth="1"/>
    <col min="15878" max="15878" width="21.1796875" customWidth="1"/>
    <col min="15879" max="15879" width="20" customWidth="1"/>
    <col min="15880" max="15880" width="13.54296875" bestFit="1" customWidth="1"/>
    <col min="15881" max="15881" width="11.81640625" customWidth="1"/>
    <col min="15882" max="15882" width="21.81640625" bestFit="1" customWidth="1"/>
    <col min="15883" max="15883" width="10.1796875" bestFit="1" customWidth="1"/>
    <col min="15884" max="15885" width="8.54296875" bestFit="1" customWidth="1"/>
    <col min="15886" max="15886" width="8.26953125" bestFit="1" customWidth="1"/>
    <col min="16128" max="16128" width="57.7265625" customWidth="1"/>
    <col min="16129" max="16129" width="9.1796875" customWidth="1"/>
    <col min="16130" max="16130" width="8" bestFit="1" customWidth="1"/>
    <col min="16131" max="16132" width="8.1796875" bestFit="1" customWidth="1"/>
    <col min="16133" max="16133" width="7.26953125" bestFit="1" customWidth="1"/>
    <col min="16134" max="16134" width="21.1796875" customWidth="1"/>
    <col min="16135" max="16135" width="20" customWidth="1"/>
    <col min="16136" max="16136" width="13.54296875" bestFit="1" customWidth="1"/>
    <col min="16137" max="16137" width="11.81640625" customWidth="1"/>
    <col min="16138" max="16138" width="21.81640625" bestFit="1" customWidth="1"/>
    <col min="16139" max="16139" width="10.1796875" bestFit="1" customWidth="1"/>
    <col min="16140" max="16141" width="8.54296875" bestFit="1" customWidth="1"/>
    <col min="16142" max="16142" width="8.26953125" bestFit="1" customWidth="1"/>
  </cols>
  <sheetData>
    <row r="1" spans="1:15" s="5" customFormat="1" ht="60.5">
      <c r="A1" s="1" t="s">
        <v>0</v>
      </c>
      <c r="B1" s="56" t="s">
        <v>1</v>
      </c>
      <c r="C1" s="1" t="s">
        <v>2</v>
      </c>
      <c r="D1" s="2" t="s">
        <v>3</v>
      </c>
      <c r="E1" s="2" t="s">
        <v>4</v>
      </c>
      <c r="F1" s="2" t="s">
        <v>5</v>
      </c>
      <c r="G1" s="3" t="s">
        <v>6</v>
      </c>
      <c r="H1" s="3" t="s">
        <v>702</v>
      </c>
      <c r="I1" s="2" t="s">
        <v>7</v>
      </c>
      <c r="J1" s="2" t="s">
        <v>8</v>
      </c>
      <c r="K1" s="2" t="s">
        <v>9</v>
      </c>
      <c r="L1" s="2" t="s">
        <v>10</v>
      </c>
      <c r="M1" s="2" t="s">
        <v>12</v>
      </c>
      <c r="N1" s="159" t="s">
        <v>508</v>
      </c>
      <c r="O1" s="160" t="s">
        <v>707</v>
      </c>
    </row>
    <row r="2" spans="1:15" s="11" customFormat="1" ht="10.5">
      <c r="A2" s="6" t="s">
        <v>1997</v>
      </c>
      <c r="B2" s="161" t="s">
        <v>14</v>
      </c>
      <c r="C2" s="162" t="s">
        <v>15</v>
      </c>
      <c r="D2" s="7">
        <v>1</v>
      </c>
      <c r="E2" s="7">
        <f>E8</f>
        <v>50</v>
      </c>
      <c r="F2" s="7">
        <f>SUM(F3:F8)</f>
        <v>50</v>
      </c>
      <c r="G2" s="8"/>
      <c r="H2" s="8"/>
      <c r="I2" s="9"/>
      <c r="J2" s="9"/>
      <c r="K2" s="7"/>
      <c r="L2" s="7"/>
      <c r="M2" s="163"/>
      <c r="N2" s="164"/>
      <c r="O2" s="165"/>
    </row>
    <row r="3" spans="1:15" s="11" customFormat="1" ht="21">
      <c r="A3" s="12" t="s">
        <v>17</v>
      </c>
      <c r="B3" s="166" t="s">
        <v>18</v>
      </c>
      <c r="C3" s="167">
        <v>1</v>
      </c>
      <c r="D3" s="14">
        <v>1</v>
      </c>
      <c r="E3" s="14">
        <f t="shared" ref="E3:E8" si="0">D3+F3-1</f>
        <v>1</v>
      </c>
      <c r="F3" s="14">
        <v>1</v>
      </c>
      <c r="G3" s="15" t="s">
        <v>19</v>
      </c>
      <c r="H3" s="15"/>
      <c r="I3" s="16"/>
      <c r="J3" s="16"/>
      <c r="K3" s="14"/>
      <c r="L3" s="14"/>
      <c r="M3" s="168" t="s">
        <v>1998</v>
      </c>
      <c r="N3" s="22"/>
      <c r="O3" s="169"/>
    </row>
    <row r="4" spans="1:15" s="23" customFormat="1">
      <c r="A4" s="64" t="s">
        <v>21</v>
      </c>
      <c r="B4" s="170" t="s">
        <v>22</v>
      </c>
      <c r="C4" s="171">
        <v>2</v>
      </c>
      <c r="D4" s="19">
        <f>E3+1</f>
        <v>2</v>
      </c>
      <c r="E4" s="19">
        <f t="shared" si="0"/>
        <v>16</v>
      </c>
      <c r="F4" s="19">
        <v>15</v>
      </c>
      <c r="G4" s="20" t="s">
        <v>2135</v>
      </c>
      <c r="H4" s="20"/>
      <c r="I4" s="66"/>
      <c r="J4" s="66"/>
      <c r="K4" s="19"/>
      <c r="L4" s="19"/>
      <c r="M4" s="172"/>
      <c r="N4" s="22"/>
      <c r="O4" s="173"/>
    </row>
    <row r="5" spans="1:15" s="23" customFormat="1">
      <c r="A5" s="64" t="s">
        <v>24</v>
      </c>
      <c r="B5" s="170" t="s">
        <v>25</v>
      </c>
      <c r="C5" s="171">
        <v>3</v>
      </c>
      <c r="D5" s="19">
        <f>E4+1</f>
        <v>17</v>
      </c>
      <c r="E5" s="19">
        <f t="shared" si="0"/>
        <v>26</v>
      </c>
      <c r="F5" s="19">
        <v>10</v>
      </c>
      <c r="G5" s="20" t="s">
        <v>26</v>
      </c>
      <c r="H5" s="20"/>
      <c r="I5" s="66"/>
      <c r="J5" s="66"/>
      <c r="K5" s="19"/>
      <c r="L5" s="19"/>
      <c r="M5" s="172"/>
      <c r="N5" s="22"/>
      <c r="O5" s="173"/>
    </row>
    <row r="6" spans="1:15" s="23" customFormat="1">
      <c r="A6" s="64" t="s">
        <v>215</v>
      </c>
      <c r="B6" s="170" t="s">
        <v>216</v>
      </c>
      <c r="C6" s="171">
        <v>4</v>
      </c>
      <c r="D6" s="19">
        <f>E7+1</f>
        <v>42</v>
      </c>
      <c r="E6" s="19">
        <f t="shared" si="0"/>
        <v>49</v>
      </c>
      <c r="F6" s="19">
        <v>8</v>
      </c>
      <c r="G6" s="20" t="s">
        <v>292</v>
      </c>
      <c r="H6" s="20"/>
      <c r="I6" s="174"/>
      <c r="J6" s="174"/>
      <c r="K6" s="19"/>
      <c r="L6" s="19"/>
      <c r="M6" s="172"/>
      <c r="N6" s="22"/>
      <c r="O6" s="173"/>
    </row>
    <row r="7" spans="1:15" s="11" customFormat="1">
      <c r="A7" s="64" t="s">
        <v>30</v>
      </c>
      <c r="B7" s="170" t="s">
        <v>22</v>
      </c>
      <c r="C7" s="171">
        <v>5</v>
      </c>
      <c r="D7" s="19">
        <f>E5+1</f>
        <v>27</v>
      </c>
      <c r="E7" s="19">
        <f t="shared" si="0"/>
        <v>41</v>
      </c>
      <c r="F7" s="19">
        <v>15</v>
      </c>
      <c r="G7" s="25" t="s">
        <v>2136</v>
      </c>
      <c r="H7" s="25"/>
      <c r="I7" s="26"/>
      <c r="J7" s="26"/>
      <c r="K7" s="14"/>
      <c r="L7" s="14"/>
      <c r="M7" s="168"/>
      <c r="N7" s="22"/>
      <c r="O7" s="169"/>
    </row>
    <row r="8" spans="1:15" s="23" customFormat="1" ht="10">
      <c r="A8" s="80" t="s">
        <v>33</v>
      </c>
      <c r="B8" s="175" t="s">
        <v>34</v>
      </c>
      <c r="C8" s="171">
        <v>6</v>
      </c>
      <c r="D8" s="19">
        <f>E6+1</f>
        <v>50</v>
      </c>
      <c r="E8" s="19">
        <f t="shared" si="0"/>
        <v>50</v>
      </c>
      <c r="F8" s="19">
        <v>1</v>
      </c>
      <c r="G8" s="20" t="s">
        <v>35</v>
      </c>
      <c r="H8" s="20"/>
      <c r="I8" s="66"/>
      <c r="J8" s="66"/>
      <c r="K8" s="19"/>
      <c r="L8" s="19"/>
      <c r="M8" s="172"/>
      <c r="N8" s="22"/>
      <c r="O8" s="173"/>
    </row>
    <row r="9" spans="1:15" s="11" customFormat="1" ht="10.5">
      <c r="A9" s="6" t="s">
        <v>2001</v>
      </c>
      <c r="B9" s="161" t="s">
        <v>14</v>
      </c>
      <c r="C9" s="176" t="s">
        <v>15</v>
      </c>
      <c r="D9" s="7">
        <v>1</v>
      </c>
      <c r="E9" s="7">
        <f xml:space="preserve"> E14</f>
        <v>57</v>
      </c>
      <c r="F9" s="7">
        <f>SUM(F10:F14)</f>
        <v>57</v>
      </c>
      <c r="G9" s="28"/>
      <c r="H9" s="28"/>
      <c r="I9" s="29"/>
      <c r="J9" s="29"/>
      <c r="K9" s="7"/>
      <c r="L9" s="7"/>
      <c r="M9" s="163"/>
      <c r="N9" s="164"/>
      <c r="O9" s="165"/>
    </row>
    <row r="10" spans="1:15" s="11" customFormat="1" ht="21">
      <c r="A10" s="30" t="s">
        <v>37</v>
      </c>
      <c r="B10" s="166" t="s">
        <v>18</v>
      </c>
      <c r="C10" s="167">
        <v>7</v>
      </c>
      <c r="D10" s="31">
        <v>1</v>
      </c>
      <c r="E10" s="14">
        <f t="shared" ref="E10:E14" si="1">D10+F10-1</f>
        <v>1</v>
      </c>
      <c r="F10" s="31">
        <v>1</v>
      </c>
      <c r="G10" s="15" t="s">
        <v>38</v>
      </c>
      <c r="H10" s="15"/>
      <c r="I10" s="16"/>
      <c r="J10" s="16"/>
      <c r="K10" s="31"/>
      <c r="L10" s="31"/>
      <c r="M10" s="168" t="s">
        <v>1998</v>
      </c>
      <c r="N10" s="22"/>
      <c r="O10" s="169"/>
    </row>
    <row r="11" spans="1:15" s="11" customFormat="1">
      <c r="A11" s="468" t="s">
        <v>862</v>
      </c>
      <c r="B11" s="166" t="s">
        <v>488</v>
      </c>
      <c r="C11" s="167">
        <v>8</v>
      </c>
      <c r="D11" s="31">
        <f>E10+1</f>
        <v>2</v>
      </c>
      <c r="E11" s="14">
        <f t="shared" si="1"/>
        <v>12</v>
      </c>
      <c r="F11" s="14">
        <v>11</v>
      </c>
      <c r="G11" s="11" t="s">
        <v>2137</v>
      </c>
      <c r="H11" s="15"/>
      <c r="I11" s="16" t="s">
        <v>2138</v>
      </c>
      <c r="J11" s="16"/>
      <c r="K11" s="15"/>
      <c r="L11" s="14"/>
      <c r="M11" s="168" t="s">
        <v>1998</v>
      </c>
      <c r="N11" s="22" t="s">
        <v>534</v>
      </c>
      <c r="O11" s="169"/>
    </row>
    <row r="12" spans="1:15" s="11" customFormat="1" ht="20.5">
      <c r="A12" s="468" t="s">
        <v>2139</v>
      </c>
      <c r="B12" s="166" t="s">
        <v>609</v>
      </c>
      <c r="C12" s="167">
        <v>9</v>
      </c>
      <c r="D12" s="31">
        <f t="shared" ref="D12:D14" si="2">E11+1</f>
        <v>13</v>
      </c>
      <c r="E12" s="14">
        <f t="shared" si="1"/>
        <v>34</v>
      </c>
      <c r="F12" s="14">
        <v>22</v>
      </c>
      <c r="G12" s="15" t="s">
        <v>2140</v>
      </c>
      <c r="H12" s="15" t="s">
        <v>2141</v>
      </c>
      <c r="I12" s="16" t="s">
        <v>2138</v>
      </c>
      <c r="J12" s="16"/>
      <c r="K12" s="15"/>
      <c r="L12" s="14"/>
      <c r="M12" s="168"/>
      <c r="N12" s="22"/>
      <c r="O12" s="169"/>
    </row>
    <row r="13" spans="1:15" s="11" customFormat="1">
      <c r="A13" s="468" t="s">
        <v>2142</v>
      </c>
      <c r="B13" s="166" t="s">
        <v>2143</v>
      </c>
      <c r="C13" s="167">
        <v>10</v>
      </c>
      <c r="D13" s="31">
        <f t="shared" si="2"/>
        <v>35</v>
      </c>
      <c r="E13" s="14">
        <f t="shared" si="1"/>
        <v>56</v>
      </c>
      <c r="F13" s="14">
        <v>22</v>
      </c>
      <c r="G13" s="15" t="s">
        <v>2144</v>
      </c>
      <c r="H13" s="15"/>
      <c r="I13" s="16" t="s">
        <v>2138</v>
      </c>
      <c r="J13" s="16"/>
      <c r="K13" s="15"/>
      <c r="L13" s="14"/>
      <c r="M13" s="168" t="s">
        <v>1998</v>
      </c>
      <c r="N13" s="22" t="s">
        <v>534</v>
      </c>
      <c r="O13" s="169"/>
    </row>
    <row r="14" spans="1:15" s="23" customFormat="1" ht="10.5">
      <c r="A14" s="80" t="s">
        <v>33</v>
      </c>
      <c r="B14" s="175" t="s">
        <v>34</v>
      </c>
      <c r="C14" s="167">
        <v>11</v>
      </c>
      <c r="D14" s="31">
        <f t="shared" si="2"/>
        <v>57</v>
      </c>
      <c r="E14" s="14">
        <f t="shared" si="1"/>
        <v>57</v>
      </c>
      <c r="F14" s="19">
        <v>1</v>
      </c>
      <c r="G14" s="20" t="s">
        <v>35</v>
      </c>
      <c r="H14" s="20"/>
      <c r="I14" s="66"/>
      <c r="J14" s="66"/>
      <c r="K14" s="19"/>
      <c r="L14" s="19"/>
      <c r="M14" s="172"/>
      <c r="N14" s="22"/>
      <c r="O14" s="173"/>
    </row>
    <row r="15" spans="1:15" s="11" customFormat="1" ht="18.75" customHeight="1">
      <c r="A15" s="6" t="s">
        <v>2119</v>
      </c>
      <c r="B15" s="161" t="s">
        <v>14</v>
      </c>
      <c r="C15" s="176" t="s">
        <v>15</v>
      </c>
      <c r="D15" s="7">
        <v>1</v>
      </c>
      <c r="E15" s="7">
        <f>E18</f>
        <v>11</v>
      </c>
      <c r="F15" s="7">
        <f>SUM(F16:F18)</f>
        <v>11</v>
      </c>
      <c r="G15" s="28"/>
      <c r="H15" s="28"/>
      <c r="I15" s="29"/>
      <c r="J15" s="29"/>
      <c r="K15" s="7"/>
      <c r="L15" s="41" t="s">
        <v>204</v>
      </c>
      <c r="M15" s="163"/>
      <c r="N15" s="164"/>
      <c r="O15" s="165"/>
    </row>
    <row r="16" spans="1:15" s="11" customFormat="1" ht="21">
      <c r="A16" s="30" t="s">
        <v>37</v>
      </c>
      <c r="B16" s="166" t="s">
        <v>18</v>
      </c>
      <c r="C16" s="167">
        <v>12</v>
      </c>
      <c r="D16" s="14">
        <v>1</v>
      </c>
      <c r="E16" s="14">
        <v>1</v>
      </c>
      <c r="F16" s="14">
        <v>1</v>
      </c>
      <c r="G16" s="15" t="s">
        <v>205</v>
      </c>
      <c r="H16" s="15"/>
      <c r="I16" s="16"/>
      <c r="J16" s="16"/>
      <c r="K16" s="14"/>
      <c r="L16" s="14"/>
      <c r="M16" s="168"/>
      <c r="N16" s="22"/>
      <c r="O16" s="169"/>
    </row>
    <row r="17" spans="1:15" s="11" customFormat="1">
      <c r="A17" s="42" t="s">
        <v>206</v>
      </c>
      <c r="B17" s="166" t="s">
        <v>207</v>
      </c>
      <c r="C17" s="167">
        <v>13</v>
      </c>
      <c r="D17" s="14">
        <f>E16+1</f>
        <v>2</v>
      </c>
      <c r="E17" s="14">
        <f>D17+F17-1</f>
        <v>10</v>
      </c>
      <c r="F17" s="14">
        <v>9</v>
      </c>
      <c r="G17" s="15" t="s">
        <v>208</v>
      </c>
      <c r="H17" s="15"/>
      <c r="I17" s="16"/>
      <c r="J17" s="16"/>
      <c r="K17" s="14"/>
      <c r="L17" s="14"/>
      <c r="M17" s="168"/>
      <c r="N17" s="22"/>
      <c r="O17" s="169"/>
    </row>
    <row r="18" spans="1:15" s="23" customFormat="1" ht="10.5" thickBot="1">
      <c r="A18" s="81" t="s">
        <v>33</v>
      </c>
      <c r="B18" s="200" t="s">
        <v>34</v>
      </c>
      <c r="C18" s="201">
        <v>14</v>
      </c>
      <c r="D18" s="52">
        <f>E17+1</f>
        <v>11</v>
      </c>
      <c r="E18" s="202">
        <f>D18+F18-1</f>
        <v>11</v>
      </c>
      <c r="F18" s="202">
        <v>1</v>
      </c>
      <c r="G18" s="83" t="s">
        <v>35</v>
      </c>
      <c r="H18" s="83"/>
      <c r="I18" s="203"/>
      <c r="J18" s="203"/>
      <c r="K18" s="202"/>
      <c r="L18" s="202"/>
      <c r="M18" s="204"/>
      <c r="N18" s="205"/>
      <c r="O18" s="206"/>
    </row>
  </sheetData>
  <pageMargins left="0.75" right="0.75" top="1" bottom="1" header="0.5" footer="0.5"/>
  <pageSetup paperSize="9" orientation="portrait" horizontalDpi="300" verticalDpi="300" r:id="rId1"/>
  <headerFooter alignWithMargins="0">
    <oddHeader>&amp;L&amp;"Arial"&amp;9&amp;K0078D7 INTERNAL&amp;1#_x000D_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1BC7-7B92-4CFF-B3D5-99FE7D9D25E7}">
  <sheetPr codeName="Sheet25"/>
  <dimension ref="A1:N97"/>
  <sheetViews>
    <sheetView zoomScale="120" workbookViewId="0">
      <selection activeCell="G4" sqref="G4"/>
    </sheetView>
  </sheetViews>
  <sheetFormatPr defaultColWidth="9.1796875" defaultRowHeight="10"/>
  <cols>
    <col min="1" max="1" width="29" style="492" customWidth="1"/>
    <col min="2" max="2" width="18.54296875" style="490" bestFit="1" customWidth="1"/>
    <col min="3" max="3" width="8.1796875" style="490" bestFit="1" customWidth="1"/>
    <col min="4" max="5" width="8.453125" style="490" bestFit="1" customWidth="1"/>
    <col min="6" max="6" width="7.453125" style="490" bestFit="1" customWidth="1"/>
    <col min="7" max="7" width="23.453125" style="493" customWidth="1"/>
    <col min="8" max="8" width="17.1796875" style="493" bestFit="1" customWidth="1"/>
    <col min="9" max="9" width="23.453125" style="493" customWidth="1"/>
    <col min="10" max="10" width="28.54296875" style="490" bestFit="1" customWidth="1"/>
    <col min="11" max="12" width="9.1796875" style="490"/>
    <col min="13" max="13" width="13.453125" style="23" customWidth="1"/>
    <col min="14" max="256" width="9.1796875" style="23"/>
    <col min="257" max="257" width="29" style="23" customWidth="1"/>
    <col min="258" max="258" width="18.54296875" style="23" bestFit="1" customWidth="1"/>
    <col min="259" max="259" width="8.1796875" style="23" bestFit="1" customWidth="1"/>
    <col min="260" max="261" width="8.453125" style="23" bestFit="1" customWidth="1"/>
    <col min="262" max="262" width="7.453125" style="23" bestFit="1" customWidth="1"/>
    <col min="263" max="263" width="23.453125" style="23" customWidth="1"/>
    <col min="264" max="264" width="17.1796875" style="23" bestFit="1" customWidth="1"/>
    <col min="265" max="265" width="23.453125" style="23" customWidth="1"/>
    <col min="266" max="266" width="28.54296875" style="23" bestFit="1" customWidth="1"/>
    <col min="267" max="268" width="9.1796875" style="23"/>
    <col min="269" max="269" width="13.453125" style="23" customWidth="1"/>
    <col min="270" max="512" width="9.1796875" style="23"/>
    <col min="513" max="513" width="29" style="23" customWidth="1"/>
    <col min="514" max="514" width="18.54296875" style="23" bestFit="1" customWidth="1"/>
    <col min="515" max="515" width="8.1796875" style="23" bestFit="1" customWidth="1"/>
    <col min="516" max="517" width="8.453125" style="23" bestFit="1" customWidth="1"/>
    <col min="518" max="518" width="7.453125" style="23" bestFit="1" customWidth="1"/>
    <col min="519" max="519" width="23.453125" style="23" customWidth="1"/>
    <col min="520" max="520" width="17.1796875" style="23" bestFit="1" customWidth="1"/>
    <col min="521" max="521" width="23.453125" style="23" customWidth="1"/>
    <col min="522" max="522" width="28.54296875" style="23" bestFit="1" customWidth="1"/>
    <col min="523" max="524" width="9.1796875" style="23"/>
    <col min="525" max="525" width="13.453125" style="23" customWidth="1"/>
    <col min="526" max="768" width="9.1796875" style="23"/>
    <col min="769" max="769" width="29" style="23" customWidth="1"/>
    <col min="770" max="770" width="18.54296875" style="23" bestFit="1" customWidth="1"/>
    <col min="771" max="771" width="8.1796875" style="23" bestFit="1" customWidth="1"/>
    <col min="772" max="773" width="8.453125" style="23" bestFit="1" customWidth="1"/>
    <col min="774" max="774" width="7.453125" style="23" bestFit="1" customWidth="1"/>
    <col min="775" max="775" width="23.453125" style="23" customWidth="1"/>
    <col min="776" max="776" width="17.1796875" style="23" bestFit="1" customWidth="1"/>
    <col min="777" max="777" width="23.453125" style="23" customWidth="1"/>
    <col min="778" max="778" width="28.54296875" style="23" bestFit="1" customWidth="1"/>
    <col min="779" max="780" width="9.1796875" style="23"/>
    <col min="781" max="781" width="13.453125" style="23" customWidth="1"/>
    <col min="782" max="1024" width="9.1796875" style="23"/>
    <col min="1025" max="1025" width="29" style="23" customWidth="1"/>
    <col min="1026" max="1026" width="18.54296875" style="23" bestFit="1" customWidth="1"/>
    <col min="1027" max="1027" width="8.1796875" style="23" bestFit="1" customWidth="1"/>
    <col min="1028" max="1029" width="8.453125" style="23" bestFit="1" customWidth="1"/>
    <col min="1030" max="1030" width="7.453125" style="23" bestFit="1" customWidth="1"/>
    <col min="1031" max="1031" width="23.453125" style="23" customWidth="1"/>
    <col min="1032" max="1032" width="17.1796875" style="23" bestFit="1" customWidth="1"/>
    <col min="1033" max="1033" width="23.453125" style="23" customWidth="1"/>
    <col min="1034" max="1034" width="28.54296875" style="23" bestFit="1" customWidth="1"/>
    <col min="1035" max="1036" width="9.1796875" style="23"/>
    <col min="1037" max="1037" width="13.453125" style="23" customWidth="1"/>
    <col min="1038" max="1280" width="9.1796875" style="23"/>
    <col min="1281" max="1281" width="29" style="23" customWidth="1"/>
    <col min="1282" max="1282" width="18.54296875" style="23" bestFit="1" customWidth="1"/>
    <col min="1283" max="1283" width="8.1796875" style="23" bestFit="1" customWidth="1"/>
    <col min="1284" max="1285" width="8.453125" style="23" bestFit="1" customWidth="1"/>
    <col min="1286" max="1286" width="7.453125" style="23" bestFit="1" customWidth="1"/>
    <col min="1287" max="1287" width="23.453125" style="23" customWidth="1"/>
    <col min="1288" max="1288" width="17.1796875" style="23" bestFit="1" customWidth="1"/>
    <col min="1289" max="1289" width="23.453125" style="23" customWidth="1"/>
    <col min="1290" max="1290" width="28.54296875" style="23" bestFit="1" customWidth="1"/>
    <col min="1291" max="1292" width="9.1796875" style="23"/>
    <col min="1293" max="1293" width="13.453125" style="23" customWidth="1"/>
    <col min="1294" max="1536" width="9.1796875" style="23"/>
    <col min="1537" max="1537" width="29" style="23" customWidth="1"/>
    <col min="1538" max="1538" width="18.54296875" style="23" bestFit="1" customWidth="1"/>
    <col min="1539" max="1539" width="8.1796875" style="23" bestFit="1" customWidth="1"/>
    <col min="1540" max="1541" width="8.453125" style="23" bestFit="1" customWidth="1"/>
    <col min="1542" max="1542" width="7.453125" style="23" bestFit="1" customWidth="1"/>
    <col min="1543" max="1543" width="23.453125" style="23" customWidth="1"/>
    <col min="1544" max="1544" width="17.1796875" style="23" bestFit="1" customWidth="1"/>
    <col min="1545" max="1545" width="23.453125" style="23" customWidth="1"/>
    <col min="1546" max="1546" width="28.54296875" style="23" bestFit="1" customWidth="1"/>
    <col min="1547" max="1548" width="9.1796875" style="23"/>
    <col min="1549" max="1549" width="13.453125" style="23" customWidth="1"/>
    <col min="1550" max="1792" width="9.1796875" style="23"/>
    <col min="1793" max="1793" width="29" style="23" customWidth="1"/>
    <col min="1794" max="1794" width="18.54296875" style="23" bestFit="1" customWidth="1"/>
    <col min="1795" max="1795" width="8.1796875" style="23" bestFit="1" customWidth="1"/>
    <col min="1796" max="1797" width="8.453125" style="23" bestFit="1" customWidth="1"/>
    <col min="1798" max="1798" width="7.453125" style="23" bestFit="1" customWidth="1"/>
    <col min="1799" max="1799" width="23.453125" style="23" customWidth="1"/>
    <col min="1800" max="1800" width="17.1796875" style="23" bestFit="1" customWidth="1"/>
    <col min="1801" max="1801" width="23.453125" style="23" customWidth="1"/>
    <col min="1802" max="1802" width="28.54296875" style="23" bestFit="1" customWidth="1"/>
    <col min="1803" max="1804" width="9.1796875" style="23"/>
    <col min="1805" max="1805" width="13.453125" style="23" customWidth="1"/>
    <col min="1806" max="2048" width="9.1796875" style="23"/>
    <col min="2049" max="2049" width="29" style="23" customWidth="1"/>
    <col min="2050" max="2050" width="18.54296875" style="23" bestFit="1" customWidth="1"/>
    <col min="2051" max="2051" width="8.1796875" style="23" bestFit="1" customWidth="1"/>
    <col min="2052" max="2053" width="8.453125" style="23" bestFit="1" customWidth="1"/>
    <col min="2054" max="2054" width="7.453125" style="23" bestFit="1" customWidth="1"/>
    <col min="2055" max="2055" width="23.453125" style="23" customWidth="1"/>
    <col min="2056" max="2056" width="17.1796875" style="23" bestFit="1" customWidth="1"/>
    <col min="2057" max="2057" width="23.453125" style="23" customWidth="1"/>
    <col min="2058" max="2058" width="28.54296875" style="23" bestFit="1" customWidth="1"/>
    <col min="2059" max="2060" width="9.1796875" style="23"/>
    <col min="2061" max="2061" width="13.453125" style="23" customWidth="1"/>
    <col min="2062" max="2304" width="9.1796875" style="23"/>
    <col min="2305" max="2305" width="29" style="23" customWidth="1"/>
    <col min="2306" max="2306" width="18.54296875" style="23" bestFit="1" customWidth="1"/>
    <col min="2307" max="2307" width="8.1796875" style="23" bestFit="1" customWidth="1"/>
    <col min="2308" max="2309" width="8.453125" style="23" bestFit="1" customWidth="1"/>
    <col min="2310" max="2310" width="7.453125" style="23" bestFit="1" customWidth="1"/>
    <col min="2311" max="2311" width="23.453125" style="23" customWidth="1"/>
    <col min="2312" max="2312" width="17.1796875" style="23" bestFit="1" customWidth="1"/>
    <col min="2313" max="2313" width="23.453125" style="23" customWidth="1"/>
    <col min="2314" max="2314" width="28.54296875" style="23" bestFit="1" customWidth="1"/>
    <col min="2315" max="2316" width="9.1796875" style="23"/>
    <col min="2317" max="2317" width="13.453125" style="23" customWidth="1"/>
    <col min="2318" max="2560" width="9.1796875" style="23"/>
    <col min="2561" max="2561" width="29" style="23" customWidth="1"/>
    <col min="2562" max="2562" width="18.54296875" style="23" bestFit="1" customWidth="1"/>
    <col min="2563" max="2563" width="8.1796875" style="23" bestFit="1" customWidth="1"/>
    <col min="2564" max="2565" width="8.453125" style="23" bestFit="1" customWidth="1"/>
    <col min="2566" max="2566" width="7.453125" style="23" bestFit="1" customWidth="1"/>
    <col min="2567" max="2567" width="23.453125" style="23" customWidth="1"/>
    <col min="2568" max="2568" width="17.1796875" style="23" bestFit="1" customWidth="1"/>
    <col min="2569" max="2569" width="23.453125" style="23" customWidth="1"/>
    <col min="2570" max="2570" width="28.54296875" style="23" bestFit="1" customWidth="1"/>
    <col min="2571" max="2572" width="9.1796875" style="23"/>
    <col min="2573" max="2573" width="13.453125" style="23" customWidth="1"/>
    <col min="2574" max="2816" width="9.1796875" style="23"/>
    <col min="2817" max="2817" width="29" style="23" customWidth="1"/>
    <col min="2818" max="2818" width="18.54296875" style="23" bestFit="1" customWidth="1"/>
    <col min="2819" max="2819" width="8.1796875" style="23" bestFit="1" customWidth="1"/>
    <col min="2820" max="2821" width="8.453125" style="23" bestFit="1" customWidth="1"/>
    <col min="2822" max="2822" width="7.453125" style="23" bestFit="1" customWidth="1"/>
    <col min="2823" max="2823" width="23.453125" style="23" customWidth="1"/>
    <col min="2824" max="2824" width="17.1796875" style="23" bestFit="1" customWidth="1"/>
    <col min="2825" max="2825" width="23.453125" style="23" customWidth="1"/>
    <col min="2826" max="2826" width="28.54296875" style="23" bestFit="1" customWidth="1"/>
    <col min="2827" max="2828" width="9.1796875" style="23"/>
    <col min="2829" max="2829" width="13.453125" style="23" customWidth="1"/>
    <col min="2830" max="3072" width="9.1796875" style="23"/>
    <col min="3073" max="3073" width="29" style="23" customWidth="1"/>
    <col min="3074" max="3074" width="18.54296875" style="23" bestFit="1" customWidth="1"/>
    <col min="3075" max="3075" width="8.1796875" style="23" bestFit="1" customWidth="1"/>
    <col min="3076" max="3077" width="8.453125" style="23" bestFit="1" customWidth="1"/>
    <col min="3078" max="3078" width="7.453125" style="23" bestFit="1" customWidth="1"/>
    <col min="3079" max="3079" width="23.453125" style="23" customWidth="1"/>
    <col min="3080" max="3080" width="17.1796875" style="23" bestFit="1" customWidth="1"/>
    <col min="3081" max="3081" width="23.453125" style="23" customWidth="1"/>
    <col min="3082" max="3082" width="28.54296875" style="23" bestFit="1" customWidth="1"/>
    <col min="3083" max="3084" width="9.1796875" style="23"/>
    <col min="3085" max="3085" width="13.453125" style="23" customWidth="1"/>
    <col min="3086" max="3328" width="9.1796875" style="23"/>
    <col min="3329" max="3329" width="29" style="23" customWidth="1"/>
    <col min="3330" max="3330" width="18.54296875" style="23" bestFit="1" customWidth="1"/>
    <col min="3331" max="3331" width="8.1796875" style="23" bestFit="1" customWidth="1"/>
    <col min="3332" max="3333" width="8.453125" style="23" bestFit="1" customWidth="1"/>
    <col min="3334" max="3334" width="7.453125" style="23" bestFit="1" customWidth="1"/>
    <col min="3335" max="3335" width="23.453125" style="23" customWidth="1"/>
    <col min="3336" max="3336" width="17.1796875" style="23" bestFit="1" customWidth="1"/>
    <col min="3337" max="3337" width="23.453125" style="23" customWidth="1"/>
    <col min="3338" max="3338" width="28.54296875" style="23" bestFit="1" customWidth="1"/>
    <col min="3339" max="3340" width="9.1796875" style="23"/>
    <col min="3341" max="3341" width="13.453125" style="23" customWidth="1"/>
    <col min="3342" max="3584" width="9.1796875" style="23"/>
    <col min="3585" max="3585" width="29" style="23" customWidth="1"/>
    <col min="3586" max="3586" width="18.54296875" style="23" bestFit="1" customWidth="1"/>
    <col min="3587" max="3587" width="8.1796875" style="23" bestFit="1" customWidth="1"/>
    <col min="3588" max="3589" width="8.453125" style="23" bestFit="1" customWidth="1"/>
    <col min="3590" max="3590" width="7.453125" style="23" bestFit="1" customWidth="1"/>
    <col min="3591" max="3591" width="23.453125" style="23" customWidth="1"/>
    <col min="3592" max="3592" width="17.1796875" style="23" bestFit="1" customWidth="1"/>
    <col min="3593" max="3593" width="23.453125" style="23" customWidth="1"/>
    <col min="3594" max="3594" width="28.54296875" style="23" bestFit="1" customWidth="1"/>
    <col min="3595" max="3596" width="9.1796875" style="23"/>
    <col min="3597" max="3597" width="13.453125" style="23" customWidth="1"/>
    <col min="3598" max="3840" width="9.1796875" style="23"/>
    <col min="3841" max="3841" width="29" style="23" customWidth="1"/>
    <col min="3842" max="3842" width="18.54296875" style="23" bestFit="1" customWidth="1"/>
    <col min="3843" max="3843" width="8.1796875" style="23" bestFit="1" customWidth="1"/>
    <col min="3844" max="3845" width="8.453125" style="23" bestFit="1" customWidth="1"/>
    <col min="3846" max="3846" width="7.453125" style="23" bestFit="1" customWidth="1"/>
    <col min="3847" max="3847" width="23.453125" style="23" customWidth="1"/>
    <col min="3848" max="3848" width="17.1796875" style="23" bestFit="1" customWidth="1"/>
    <col min="3849" max="3849" width="23.453125" style="23" customWidth="1"/>
    <col min="3850" max="3850" width="28.54296875" style="23" bestFit="1" customWidth="1"/>
    <col min="3851" max="3852" width="9.1796875" style="23"/>
    <col min="3853" max="3853" width="13.453125" style="23" customWidth="1"/>
    <col min="3854" max="4096" width="9.1796875" style="23"/>
    <col min="4097" max="4097" width="29" style="23" customWidth="1"/>
    <col min="4098" max="4098" width="18.54296875" style="23" bestFit="1" customWidth="1"/>
    <col min="4099" max="4099" width="8.1796875" style="23" bestFit="1" customWidth="1"/>
    <col min="4100" max="4101" width="8.453125" style="23" bestFit="1" customWidth="1"/>
    <col min="4102" max="4102" width="7.453125" style="23" bestFit="1" customWidth="1"/>
    <col min="4103" max="4103" width="23.453125" style="23" customWidth="1"/>
    <col min="4104" max="4104" width="17.1796875" style="23" bestFit="1" customWidth="1"/>
    <col min="4105" max="4105" width="23.453125" style="23" customWidth="1"/>
    <col min="4106" max="4106" width="28.54296875" style="23" bestFit="1" customWidth="1"/>
    <col min="4107" max="4108" width="9.1796875" style="23"/>
    <col min="4109" max="4109" width="13.453125" style="23" customWidth="1"/>
    <col min="4110" max="4352" width="9.1796875" style="23"/>
    <col min="4353" max="4353" width="29" style="23" customWidth="1"/>
    <col min="4354" max="4354" width="18.54296875" style="23" bestFit="1" customWidth="1"/>
    <col min="4355" max="4355" width="8.1796875" style="23" bestFit="1" customWidth="1"/>
    <col min="4356" max="4357" width="8.453125" style="23" bestFit="1" customWidth="1"/>
    <col min="4358" max="4358" width="7.453125" style="23" bestFit="1" customWidth="1"/>
    <col min="4359" max="4359" width="23.453125" style="23" customWidth="1"/>
    <col min="4360" max="4360" width="17.1796875" style="23" bestFit="1" customWidth="1"/>
    <col min="4361" max="4361" width="23.453125" style="23" customWidth="1"/>
    <col min="4362" max="4362" width="28.54296875" style="23" bestFit="1" customWidth="1"/>
    <col min="4363" max="4364" width="9.1796875" style="23"/>
    <col min="4365" max="4365" width="13.453125" style="23" customWidth="1"/>
    <col min="4366" max="4608" width="9.1796875" style="23"/>
    <col min="4609" max="4609" width="29" style="23" customWidth="1"/>
    <col min="4610" max="4610" width="18.54296875" style="23" bestFit="1" customWidth="1"/>
    <col min="4611" max="4611" width="8.1796875" style="23" bestFit="1" customWidth="1"/>
    <col min="4612" max="4613" width="8.453125" style="23" bestFit="1" customWidth="1"/>
    <col min="4614" max="4614" width="7.453125" style="23" bestFit="1" customWidth="1"/>
    <col min="4615" max="4615" width="23.453125" style="23" customWidth="1"/>
    <col min="4616" max="4616" width="17.1796875" style="23" bestFit="1" customWidth="1"/>
    <col min="4617" max="4617" width="23.453125" style="23" customWidth="1"/>
    <col min="4618" max="4618" width="28.54296875" style="23" bestFit="1" customWidth="1"/>
    <col min="4619" max="4620" width="9.1796875" style="23"/>
    <col min="4621" max="4621" width="13.453125" style="23" customWidth="1"/>
    <col min="4622" max="4864" width="9.1796875" style="23"/>
    <col min="4865" max="4865" width="29" style="23" customWidth="1"/>
    <col min="4866" max="4866" width="18.54296875" style="23" bestFit="1" customWidth="1"/>
    <col min="4867" max="4867" width="8.1796875" style="23" bestFit="1" customWidth="1"/>
    <col min="4868" max="4869" width="8.453125" style="23" bestFit="1" customWidth="1"/>
    <col min="4870" max="4870" width="7.453125" style="23" bestFit="1" customWidth="1"/>
    <col min="4871" max="4871" width="23.453125" style="23" customWidth="1"/>
    <col min="4872" max="4872" width="17.1796875" style="23" bestFit="1" customWidth="1"/>
    <col min="4873" max="4873" width="23.453125" style="23" customWidth="1"/>
    <col min="4874" max="4874" width="28.54296875" style="23" bestFit="1" customWidth="1"/>
    <col min="4875" max="4876" width="9.1796875" style="23"/>
    <col min="4877" max="4877" width="13.453125" style="23" customWidth="1"/>
    <col min="4878" max="5120" width="9.1796875" style="23"/>
    <col min="5121" max="5121" width="29" style="23" customWidth="1"/>
    <col min="5122" max="5122" width="18.54296875" style="23" bestFit="1" customWidth="1"/>
    <col min="5123" max="5123" width="8.1796875" style="23" bestFit="1" customWidth="1"/>
    <col min="5124" max="5125" width="8.453125" style="23" bestFit="1" customWidth="1"/>
    <col min="5126" max="5126" width="7.453125" style="23" bestFit="1" customWidth="1"/>
    <col min="5127" max="5127" width="23.453125" style="23" customWidth="1"/>
    <col min="5128" max="5128" width="17.1796875" style="23" bestFit="1" customWidth="1"/>
    <col min="5129" max="5129" width="23.453125" style="23" customWidth="1"/>
    <col min="5130" max="5130" width="28.54296875" style="23" bestFit="1" customWidth="1"/>
    <col min="5131" max="5132" width="9.1796875" style="23"/>
    <col min="5133" max="5133" width="13.453125" style="23" customWidth="1"/>
    <col min="5134" max="5376" width="9.1796875" style="23"/>
    <col min="5377" max="5377" width="29" style="23" customWidth="1"/>
    <col min="5378" max="5378" width="18.54296875" style="23" bestFit="1" customWidth="1"/>
    <col min="5379" max="5379" width="8.1796875" style="23" bestFit="1" customWidth="1"/>
    <col min="5380" max="5381" width="8.453125" style="23" bestFit="1" customWidth="1"/>
    <col min="5382" max="5382" width="7.453125" style="23" bestFit="1" customWidth="1"/>
    <col min="5383" max="5383" width="23.453125" style="23" customWidth="1"/>
    <col min="5384" max="5384" width="17.1796875" style="23" bestFit="1" customWidth="1"/>
    <col min="5385" max="5385" width="23.453125" style="23" customWidth="1"/>
    <col min="5386" max="5386" width="28.54296875" style="23" bestFit="1" customWidth="1"/>
    <col min="5387" max="5388" width="9.1796875" style="23"/>
    <col min="5389" max="5389" width="13.453125" style="23" customWidth="1"/>
    <col min="5390" max="5632" width="9.1796875" style="23"/>
    <col min="5633" max="5633" width="29" style="23" customWidth="1"/>
    <col min="5634" max="5634" width="18.54296875" style="23" bestFit="1" customWidth="1"/>
    <col min="5635" max="5635" width="8.1796875" style="23" bestFit="1" customWidth="1"/>
    <col min="5636" max="5637" width="8.453125" style="23" bestFit="1" customWidth="1"/>
    <col min="5638" max="5638" width="7.453125" style="23" bestFit="1" customWidth="1"/>
    <col min="5639" max="5639" width="23.453125" style="23" customWidth="1"/>
    <col min="5640" max="5640" width="17.1796875" style="23" bestFit="1" customWidth="1"/>
    <col min="5641" max="5641" width="23.453125" style="23" customWidth="1"/>
    <col min="5642" max="5642" width="28.54296875" style="23" bestFit="1" customWidth="1"/>
    <col min="5643" max="5644" width="9.1796875" style="23"/>
    <col min="5645" max="5645" width="13.453125" style="23" customWidth="1"/>
    <col min="5646" max="5888" width="9.1796875" style="23"/>
    <col min="5889" max="5889" width="29" style="23" customWidth="1"/>
    <col min="5890" max="5890" width="18.54296875" style="23" bestFit="1" customWidth="1"/>
    <col min="5891" max="5891" width="8.1796875" style="23" bestFit="1" customWidth="1"/>
    <col min="5892" max="5893" width="8.453125" style="23" bestFit="1" customWidth="1"/>
    <col min="5894" max="5894" width="7.453125" style="23" bestFit="1" customWidth="1"/>
    <col min="5895" max="5895" width="23.453125" style="23" customWidth="1"/>
    <col min="5896" max="5896" width="17.1796875" style="23" bestFit="1" customWidth="1"/>
    <col min="5897" max="5897" width="23.453125" style="23" customWidth="1"/>
    <col min="5898" max="5898" width="28.54296875" style="23" bestFit="1" customWidth="1"/>
    <col min="5899" max="5900" width="9.1796875" style="23"/>
    <col min="5901" max="5901" width="13.453125" style="23" customWidth="1"/>
    <col min="5902" max="6144" width="9.1796875" style="23"/>
    <col min="6145" max="6145" width="29" style="23" customWidth="1"/>
    <col min="6146" max="6146" width="18.54296875" style="23" bestFit="1" customWidth="1"/>
    <col min="6147" max="6147" width="8.1796875" style="23" bestFit="1" customWidth="1"/>
    <col min="6148" max="6149" width="8.453125" style="23" bestFit="1" customWidth="1"/>
    <col min="6150" max="6150" width="7.453125" style="23" bestFit="1" customWidth="1"/>
    <col min="6151" max="6151" width="23.453125" style="23" customWidth="1"/>
    <col min="6152" max="6152" width="17.1796875" style="23" bestFit="1" customWidth="1"/>
    <col min="6153" max="6153" width="23.453125" style="23" customWidth="1"/>
    <col min="6154" max="6154" width="28.54296875" style="23" bestFit="1" customWidth="1"/>
    <col min="6155" max="6156" width="9.1796875" style="23"/>
    <col min="6157" max="6157" width="13.453125" style="23" customWidth="1"/>
    <col min="6158" max="6400" width="9.1796875" style="23"/>
    <col min="6401" max="6401" width="29" style="23" customWidth="1"/>
    <col min="6402" max="6402" width="18.54296875" style="23" bestFit="1" customWidth="1"/>
    <col min="6403" max="6403" width="8.1796875" style="23" bestFit="1" customWidth="1"/>
    <col min="6404" max="6405" width="8.453125" style="23" bestFit="1" customWidth="1"/>
    <col min="6406" max="6406" width="7.453125" style="23" bestFit="1" customWidth="1"/>
    <col min="6407" max="6407" width="23.453125" style="23" customWidth="1"/>
    <col min="6408" max="6408" width="17.1796875" style="23" bestFit="1" customWidth="1"/>
    <col min="6409" max="6409" width="23.453125" style="23" customWidth="1"/>
    <col min="6410" max="6410" width="28.54296875" style="23" bestFit="1" customWidth="1"/>
    <col min="6411" max="6412" width="9.1796875" style="23"/>
    <col min="6413" max="6413" width="13.453125" style="23" customWidth="1"/>
    <col min="6414" max="6656" width="9.1796875" style="23"/>
    <col min="6657" max="6657" width="29" style="23" customWidth="1"/>
    <col min="6658" max="6658" width="18.54296875" style="23" bestFit="1" customWidth="1"/>
    <col min="6659" max="6659" width="8.1796875" style="23" bestFit="1" customWidth="1"/>
    <col min="6660" max="6661" width="8.453125" style="23" bestFit="1" customWidth="1"/>
    <col min="6662" max="6662" width="7.453125" style="23" bestFit="1" customWidth="1"/>
    <col min="6663" max="6663" width="23.453125" style="23" customWidth="1"/>
    <col min="6664" max="6664" width="17.1796875" style="23" bestFit="1" customWidth="1"/>
    <col min="6665" max="6665" width="23.453125" style="23" customWidth="1"/>
    <col min="6666" max="6666" width="28.54296875" style="23" bestFit="1" customWidth="1"/>
    <col min="6667" max="6668" width="9.1796875" style="23"/>
    <col min="6669" max="6669" width="13.453125" style="23" customWidth="1"/>
    <col min="6670" max="6912" width="9.1796875" style="23"/>
    <col min="6913" max="6913" width="29" style="23" customWidth="1"/>
    <col min="6914" max="6914" width="18.54296875" style="23" bestFit="1" customWidth="1"/>
    <col min="6915" max="6915" width="8.1796875" style="23" bestFit="1" customWidth="1"/>
    <col min="6916" max="6917" width="8.453125" style="23" bestFit="1" customWidth="1"/>
    <col min="6918" max="6918" width="7.453125" style="23" bestFit="1" customWidth="1"/>
    <col min="6919" max="6919" width="23.453125" style="23" customWidth="1"/>
    <col min="6920" max="6920" width="17.1796875" style="23" bestFit="1" customWidth="1"/>
    <col min="6921" max="6921" width="23.453125" style="23" customWidth="1"/>
    <col min="6922" max="6922" width="28.54296875" style="23" bestFit="1" customWidth="1"/>
    <col min="6923" max="6924" width="9.1796875" style="23"/>
    <col min="6925" max="6925" width="13.453125" style="23" customWidth="1"/>
    <col min="6926" max="7168" width="9.1796875" style="23"/>
    <col min="7169" max="7169" width="29" style="23" customWidth="1"/>
    <col min="7170" max="7170" width="18.54296875" style="23" bestFit="1" customWidth="1"/>
    <col min="7171" max="7171" width="8.1796875" style="23" bestFit="1" customWidth="1"/>
    <col min="7172" max="7173" width="8.453125" style="23" bestFit="1" customWidth="1"/>
    <col min="7174" max="7174" width="7.453125" style="23" bestFit="1" customWidth="1"/>
    <col min="7175" max="7175" width="23.453125" style="23" customWidth="1"/>
    <col min="7176" max="7176" width="17.1796875" style="23" bestFit="1" customWidth="1"/>
    <col min="7177" max="7177" width="23.453125" style="23" customWidth="1"/>
    <col min="7178" max="7178" width="28.54296875" style="23" bestFit="1" customWidth="1"/>
    <col min="7179" max="7180" width="9.1796875" style="23"/>
    <col min="7181" max="7181" width="13.453125" style="23" customWidth="1"/>
    <col min="7182" max="7424" width="9.1796875" style="23"/>
    <col min="7425" max="7425" width="29" style="23" customWidth="1"/>
    <col min="7426" max="7426" width="18.54296875" style="23" bestFit="1" customWidth="1"/>
    <col min="7427" max="7427" width="8.1796875" style="23" bestFit="1" customWidth="1"/>
    <col min="7428" max="7429" width="8.453125" style="23" bestFit="1" customWidth="1"/>
    <col min="7430" max="7430" width="7.453125" style="23" bestFit="1" customWidth="1"/>
    <col min="7431" max="7431" width="23.453125" style="23" customWidth="1"/>
    <col min="7432" max="7432" width="17.1796875" style="23" bestFit="1" customWidth="1"/>
    <col min="7433" max="7433" width="23.453125" style="23" customWidth="1"/>
    <col min="7434" max="7434" width="28.54296875" style="23" bestFit="1" customWidth="1"/>
    <col min="7435" max="7436" width="9.1796875" style="23"/>
    <col min="7437" max="7437" width="13.453125" style="23" customWidth="1"/>
    <col min="7438" max="7680" width="9.1796875" style="23"/>
    <col min="7681" max="7681" width="29" style="23" customWidth="1"/>
    <col min="7682" max="7682" width="18.54296875" style="23" bestFit="1" customWidth="1"/>
    <col min="7683" max="7683" width="8.1796875" style="23" bestFit="1" customWidth="1"/>
    <col min="7684" max="7685" width="8.453125" style="23" bestFit="1" customWidth="1"/>
    <col min="7686" max="7686" width="7.453125" style="23" bestFit="1" customWidth="1"/>
    <col min="7687" max="7687" width="23.453125" style="23" customWidth="1"/>
    <col min="7688" max="7688" width="17.1796875" style="23" bestFit="1" customWidth="1"/>
    <col min="7689" max="7689" width="23.453125" style="23" customWidth="1"/>
    <col min="7690" max="7690" width="28.54296875" style="23" bestFit="1" customWidth="1"/>
    <col min="7691" max="7692" width="9.1796875" style="23"/>
    <col min="7693" max="7693" width="13.453125" style="23" customWidth="1"/>
    <col min="7694" max="7936" width="9.1796875" style="23"/>
    <col min="7937" max="7937" width="29" style="23" customWidth="1"/>
    <col min="7938" max="7938" width="18.54296875" style="23" bestFit="1" customWidth="1"/>
    <col min="7939" max="7939" width="8.1796875" style="23" bestFit="1" customWidth="1"/>
    <col min="7940" max="7941" width="8.453125" style="23" bestFit="1" customWidth="1"/>
    <col min="7942" max="7942" width="7.453125" style="23" bestFit="1" customWidth="1"/>
    <col min="7943" max="7943" width="23.453125" style="23" customWidth="1"/>
    <col min="7944" max="7944" width="17.1796875" style="23" bestFit="1" customWidth="1"/>
    <col min="7945" max="7945" width="23.453125" style="23" customWidth="1"/>
    <col min="7946" max="7946" width="28.54296875" style="23" bestFit="1" customWidth="1"/>
    <col min="7947" max="7948" width="9.1796875" style="23"/>
    <col min="7949" max="7949" width="13.453125" style="23" customWidth="1"/>
    <col min="7950" max="8192" width="9.1796875" style="23"/>
    <col min="8193" max="8193" width="29" style="23" customWidth="1"/>
    <col min="8194" max="8194" width="18.54296875" style="23" bestFit="1" customWidth="1"/>
    <col min="8195" max="8195" width="8.1796875" style="23" bestFit="1" customWidth="1"/>
    <col min="8196" max="8197" width="8.453125" style="23" bestFit="1" customWidth="1"/>
    <col min="8198" max="8198" width="7.453125" style="23" bestFit="1" customWidth="1"/>
    <col min="8199" max="8199" width="23.453125" style="23" customWidth="1"/>
    <col min="8200" max="8200" width="17.1796875" style="23" bestFit="1" customWidth="1"/>
    <col min="8201" max="8201" width="23.453125" style="23" customWidth="1"/>
    <col min="8202" max="8202" width="28.54296875" style="23" bestFit="1" customWidth="1"/>
    <col min="8203" max="8204" width="9.1796875" style="23"/>
    <col min="8205" max="8205" width="13.453125" style="23" customWidth="1"/>
    <col min="8206" max="8448" width="9.1796875" style="23"/>
    <col min="8449" max="8449" width="29" style="23" customWidth="1"/>
    <col min="8450" max="8450" width="18.54296875" style="23" bestFit="1" customWidth="1"/>
    <col min="8451" max="8451" width="8.1796875" style="23" bestFit="1" customWidth="1"/>
    <col min="8452" max="8453" width="8.453125" style="23" bestFit="1" customWidth="1"/>
    <col min="8454" max="8454" width="7.453125" style="23" bestFit="1" customWidth="1"/>
    <col min="8455" max="8455" width="23.453125" style="23" customWidth="1"/>
    <col min="8456" max="8456" width="17.1796875" style="23" bestFit="1" customWidth="1"/>
    <col min="8457" max="8457" width="23.453125" style="23" customWidth="1"/>
    <col min="8458" max="8458" width="28.54296875" style="23" bestFit="1" customWidth="1"/>
    <col min="8459" max="8460" width="9.1796875" style="23"/>
    <col min="8461" max="8461" width="13.453125" style="23" customWidth="1"/>
    <col min="8462" max="8704" width="9.1796875" style="23"/>
    <col min="8705" max="8705" width="29" style="23" customWidth="1"/>
    <col min="8706" max="8706" width="18.54296875" style="23" bestFit="1" customWidth="1"/>
    <col min="8707" max="8707" width="8.1796875" style="23" bestFit="1" customWidth="1"/>
    <col min="8708" max="8709" width="8.453125" style="23" bestFit="1" customWidth="1"/>
    <col min="8710" max="8710" width="7.453125" style="23" bestFit="1" customWidth="1"/>
    <col min="8711" max="8711" width="23.453125" style="23" customWidth="1"/>
    <col min="8712" max="8712" width="17.1796875" style="23" bestFit="1" customWidth="1"/>
    <col min="8713" max="8713" width="23.453125" style="23" customWidth="1"/>
    <col min="8714" max="8714" width="28.54296875" style="23" bestFit="1" customWidth="1"/>
    <col min="8715" max="8716" width="9.1796875" style="23"/>
    <col min="8717" max="8717" width="13.453125" style="23" customWidth="1"/>
    <col min="8718" max="8960" width="9.1796875" style="23"/>
    <col min="8961" max="8961" width="29" style="23" customWidth="1"/>
    <col min="8962" max="8962" width="18.54296875" style="23" bestFit="1" customWidth="1"/>
    <col min="8963" max="8963" width="8.1796875" style="23" bestFit="1" customWidth="1"/>
    <col min="8964" max="8965" width="8.453125" style="23" bestFit="1" customWidth="1"/>
    <col min="8966" max="8966" width="7.453125" style="23" bestFit="1" customWidth="1"/>
    <col min="8967" max="8967" width="23.453125" style="23" customWidth="1"/>
    <col min="8968" max="8968" width="17.1796875" style="23" bestFit="1" customWidth="1"/>
    <col min="8969" max="8969" width="23.453125" style="23" customWidth="1"/>
    <col min="8970" max="8970" width="28.54296875" style="23" bestFit="1" customWidth="1"/>
    <col min="8971" max="8972" width="9.1796875" style="23"/>
    <col min="8973" max="8973" width="13.453125" style="23" customWidth="1"/>
    <col min="8974" max="9216" width="9.1796875" style="23"/>
    <col min="9217" max="9217" width="29" style="23" customWidth="1"/>
    <col min="9218" max="9218" width="18.54296875" style="23" bestFit="1" customWidth="1"/>
    <col min="9219" max="9219" width="8.1796875" style="23" bestFit="1" customWidth="1"/>
    <col min="9220" max="9221" width="8.453125" style="23" bestFit="1" customWidth="1"/>
    <col min="9222" max="9222" width="7.453125" style="23" bestFit="1" customWidth="1"/>
    <col min="9223" max="9223" width="23.453125" style="23" customWidth="1"/>
    <col min="9224" max="9224" width="17.1796875" style="23" bestFit="1" customWidth="1"/>
    <col min="9225" max="9225" width="23.453125" style="23" customWidth="1"/>
    <col min="9226" max="9226" width="28.54296875" style="23" bestFit="1" customWidth="1"/>
    <col min="9227" max="9228" width="9.1796875" style="23"/>
    <col min="9229" max="9229" width="13.453125" style="23" customWidth="1"/>
    <col min="9230" max="9472" width="9.1796875" style="23"/>
    <col min="9473" max="9473" width="29" style="23" customWidth="1"/>
    <col min="9474" max="9474" width="18.54296875" style="23" bestFit="1" customWidth="1"/>
    <col min="9475" max="9475" width="8.1796875" style="23" bestFit="1" customWidth="1"/>
    <col min="9476" max="9477" width="8.453125" style="23" bestFit="1" customWidth="1"/>
    <col min="9478" max="9478" width="7.453125" style="23" bestFit="1" customWidth="1"/>
    <col min="9479" max="9479" width="23.453125" style="23" customWidth="1"/>
    <col min="9480" max="9480" width="17.1796875" style="23" bestFit="1" customWidth="1"/>
    <col min="9481" max="9481" width="23.453125" style="23" customWidth="1"/>
    <col min="9482" max="9482" width="28.54296875" style="23" bestFit="1" customWidth="1"/>
    <col min="9483" max="9484" width="9.1796875" style="23"/>
    <col min="9485" max="9485" width="13.453125" style="23" customWidth="1"/>
    <col min="9486" max="9728" width="9.1796875" style="23"/>
    <col min="9729" max="9729" width="29" style="23" customWidth="1"/>
    <col min="9730" max="9730" width="18.54296875" style="23" bestFit="1" customWidth="1"/>
    <col min="9731" max="9731" width="8.1796875" style="23" bestFit="1" customWidth="1"/>
    <col min="9732" max="9733" width="8.453125" style="23" bestFit="1" customWidth="1"/>
    <col min="9734" max="9734" width="7.453125" style="23" bestFit="1" customWidth="1"/>
    <col min="9735" max="9735" width="23.453125" style="23" customWidth="1"/>
    <col min="9736" max="9736" width="17.1796875" style="23" bestFit="1" customWidth="1"/>
    <col min="9737" max="9737" width="23.453125" style="23" customWidth="1"/>
    <col min="9738" max="9738" width="28.54296875" style="23" bestFit="1" customWidth="1"/>
    <col min="9739" max="9740" width="9.1796875" style="23"/>
    <col min="9741" max="9741" width="13.453125" style="23" customWidth="1"/>
    <col min="9742" max="9984" width="9.1796875" style="23"/>
    <col min="9985" max="9985" width="29" style="23" customWidth="1"/>
    <col min="9986" max="9986" width="18.54296875" style="23" bestFit="1" customWidth="1"/>
    <col min="9987" max="9987" width="8.1796875" style="23" bestFit="1" customWidth="1"/>
    <col min="9988" max="9989" width="8.453125" style="23" bestFit="1" customWidth="1"/>
    <col min="9990" max="9990" width="7.453125" style="23" bestFit="1" customWidth="1"/>
    <col min="9991" max="9991" width="23.453125" style="23" customWidth="1"/>
    <col min="9992" max="9992" width="17.1796875" style="23" bestFit="1" customWidth="1"/>
    <col min="9993" max="9993" width="23.453125" style="23" customWidth="1"/>
    <col min="9994" max="9994" width="28.54296875" style="23" bestFit="1" customWidth="1"/>
    <col min="9995" max="9996" width="9.1796875" style="23"/>
    <col min="9997" max="9997" width="13.453125" style="23" customWidth="1"/>
    <col min="9998" max="10240" width="9.1796875" style="23"/>
    <col min="10241" max="10241" width="29" style="23" customWidth="1"/>
    <col min="10242" max="10242" width="18.54296875" style="23" bestFit="1" customWidth="1"/>
    <col min="10243" max="10243" width="8.1796875" style="23" bestFit="1" customWidth="1"/>
    <col min="10244" max="10245" width="8.453125" style="23" bestFit="1" customWidth="1"/>
    <col min="10246" max="10246" width="7.453125" style="23" bestFit="1" customWidth="1"/>
    <col min="10247" max="10247" width="23.453125" style="23" customWidth="1"/>
    <col min="10248" max="10248" width="17.1796875" style="23" bestFit="1" customWidth="1"/>
    <col min="10249" max="10249" width="23.453125" style="23" customWidth="1"/>
    <col min="10250" max="10250" width="28.54296875" style="23" bestFit="1" customWidth="1"/>
    <col min="10251" max="10252" width="9.1796875" style="23"/>
    <col min="10253" max="10253" width="13.453125" style="23" customWidth="1"/>
    <col min="10254" max="10496" width="9.1796875" style="23"/>
    <col min="10497" max="10497" width="29" style="23" customWidth="1"/>
    <col min="10498" max="10498" width="18.54296875" style="23" bestFit="1" customWidth="1"/>
    <col min="10499" max="10499" width="8.1796875" style="23" bestFit="1" customWidth="1"/>
    <col min="10500" max="10501" width="8.453125" style="23" bestFit="1" customWidth="1"/>
    <col min="10502" max="10502" width="7.453125" style="23" bestFit="1" customWidth="1"/>
    <col min="10503" max="10503" width="23.453125" style="23" customWidth="1"/>
    <col min="10504" max="10504" width="17.1796875" style="23" bestFit="1" customWidth="1"/>
    <col min="10505" max="10505" width="23.453125" style="23" customWidth="1"/>
    <col min="10506" max="10506" width="28.54296875" style="23" bestFit="1" customWidth="1"/>
    <col min="10507" max="10508" width="9.1796875" style="23"/>
    <col min="10509" max="10509" width="13.453125" style="23" customWidth="1"/>
    <col min="10510" max="10752" width="9.1796875" style="23"/>
    <col min="10753" max="10753" width="29" style="23" customWidth="1"/>
    <col min="10754" max="10754" width="18.54296875" style="23" bestFit="1" customWidth="1"/>
    <col min="10755" max="10755" width="8.1796875" style="23" bestFit="1" customWidth="1"/>
    <col min="10756" max="10757" width="8.453125" style="23" bestFit="1" customWidth="1"/>
    <col min="10758" max="10758" width="7.453125" style="23" bestFit="1" customWidth="1"/>
    <col min="10759" max="10759" width="23.453125" style="23" customWidth="1"/>
    <col min="10760" max="10760" width="17.1796875" style="23" bestFit="1" customWidth="1"/>
    <col min="10761" max="10761" width="23.453125" style="23" customWidth="1"/>
    <col min="10762" max="10762" width="28.54296875" style="23" bestFit="1" customWidth="1"/>
    <col min="10763" max="10764" width="9.1796875" style="23"/>
    <col min="10765" max="10765" width="13.453125" style="23" customWidth="1"/>
    <col min="10766" max="11008" width="9.1796875" style="23"/>
    <col min="11009" max="11009" width="29" style="23" customWidth="1"/>
    <col min="11010" max="11010" width="18.54296875" style="23" bestFit="1" customWidth="1"/>
    <col min="11011" max="11011" width="8.1796875" style="23" bestFit="1" customWidth="1"/>
    <col min="11012" max="11013" width="8.453125" style="23" bestFit="1" customWidth="1"/>
    <col min="11014" max="11014" width="7.453125" style="23" bestFit="1" customWidth="1"/>
    <col min="11015" max="11015" width="23.453125" style="23" customWidth="1"/>
    <col min="11016" max="11016" width="17.1796875" style="23" bestFit="1" customWidth="1"/>
    <col min="11017" max="11017" width="23.453125" style="23" customWidth="1"/>
    <col min="11018" max="11018" width="28.54296875" style="23" bestFit="1" customWidth="1"/>
    <col min="11019" max="11020" width="9.1796875" style="23"/>
    <col min="11021" max="11021" width="13.453125" style="23" customWidth="1"/>
    <col min="11022" max="11264" width="9.1796875" style="23"/>
    <col min="11265" max="11265" width="29" style="23" customWidth="1"/>
    <col min="11266" max="11266" width="18.54296875" style="23" bestFit="1" customWidth="1"/>
    <col min="11267" max="11267" width="8.1796875" style="23" bestFit="1" customWidth="1"/>
    <col min="11268" max="11269" width="8.453125" style="23" bestFit="1" customWidth="1"/>
    <col min="11270" max="11270" width="7.453125" style="23" bestFit="1" customWidth="1"/>
    <col min="11271" max="11271" width="23.453125" style="23" customWidth="1"/>
    <col min="11272" max="11272" width="17.1796875" style="23" bestFit="1" customWidth="1"/>
    <col min="11273" max="11273" width="23.453125" style="23" customWidth="1"/>
    <col min="11274" max="11274" width="28.54296875" style="23" bestFit="1" customWidth="1"/>
    <col min="11275" max="11276" width="9.1796875" style="23"/>
    <col min="11277" max="11277" width="13.453125" style="23" customWidth="1"/>
    <col min="11278" max="11520" width="9.1796875" style="23"/>
    <col min="11521" max="11521" width="29" style="23" customWidth="1"/>
    <col min="11522" max="11522" width="18.54296875" style="23" bestFit="1" customWidth="1"/>
    <col min="11523" max="11523" width="8.1796875" style="23" bestFit="1" customWidth="1"/>
    <col min="11524" max="11525" width="8.453125" style="23" bestFit="1" customWidth="1"/>
    <col min="11526" max="11526" width="7.453125" style="23" bestFit="1" customWidth="1"/>
    <col min="11527" max="11527" width="23.453125" style="23" customWidth="1"/>
    <col min="11528" max="11528" width="17.1796875" style="23" bestFit="1" customWidth="1"/>
    <col min="11529" max="11529" width="23.453125" style="23" customWidth="1"/>
    <col min="11530" max="11530" width="28.54296875" style="23" bestFit="1" customWidth="1"/>
    <col min="11531" max="11532" width="9.1796875" style="23"/>
    <col min="11533" max="11533" width="13.453125" style="23" customWidth="1"/>
    <col min="11534" max="11776" width="9.1796875" style="23"/>
    <col min="11777" max="11777" width="29" style="23" customWidth="1"/>
    <col min="11778" max="11778" width="18.54296875" style="23" bestFit="1" customWidth="1"/>
    <col min="11779" max="11779" width="8.1796875" style="23" bestFit="1" customWidth="1"/>
    <col min="11780" max="11781" width="8.453125" style="23" bestFit="1" customWidth="1"/>
    <col min="11782" max="11782" width="7.453125" style="23" bestFit="1" customWidth="1"/>
    <col min="11783" max="11783" width="23.453125" style="23" customWidth="1"/>
    <col min="11784" max="11784" width="17.1796875" style="23" bestFit="1" customWidth="1"/>
    <col min="11785" max="11785" width="23.453125" style="23" customWidth="1"/>
    <col min="11786" max="11786" width="28.54296875" style="23" bestFit="1" customWidth="1"/>
    <col min="11787" max="11788" width="9.1796875" style="23"/>
    <col min="11789" max="11789" width="13.453125" style="23" customWidth="1"/>
    <col min="11790" max="12032" width="9.1796875" style="23"/>
    <col min="12033" max="12033" width="29" style="23" customWidth="1"/>
    <col min="12034" max="12034" width="18.54296875" style="23" bestFit="1" customWidth="1"/>
    <col min="12035" max="12035" width="8.1796875" style="23" bestFit="1" customWidth="1"/>
    <col min="12036" max="12037" width="8.453125" style="23" bestFit="1" customWidth="1"/>
    <col min="12038" max="12038" width="7.453125" style="23" bestFit="1" customWidth="1"/>
    <col min="12039" max="12039" width="23.453125" style="23" customWidth="1"/>
    <col min="12040" max="12040" width="17.1796875" style="23" bestFit="1" customWidth="1"/>
    <col min="12041" max="12041" width="23.453125" style="23" customWidth="1"/>
    <col min="12042" max="12042" width="28.54296875" style="23" bestFit="1" customWidth="1"/>
    <col min="12043" max="12044" width="9.1796875" style="23"/>
    <col min="12045" max="12045" width="13.453125" style="23" customWidth="1"/>
    <col min="12046" max="12288" width="9.1796875" style="23"/>
    <col min="12289" max="12289" width="29" style="23" customWidth="1"/>
    <col min="12290" max="12290" width="18.54296875" style="23" bestFit="1" customWidth="1"/>
    <col min="12291" max="12291" width="8.1796875" style="23" bestFit="1" customWidth="1"/>
    <col min="12292" max="12293" width="8.453125" style="23" bestFit="1" customWidth="1"/>
    <col min="12294" max="12294" width="7.453125" style="23" bestFit="1" customWidth="1"/>
    <col min="12295" max="12295" width="23.453125" style="23" customWidth="1"/>
    <col min="12296" max="12296" width="17.1796875" style="23" bestFit="1" customWidth="1"/>
    <col min="12297" max="12297" width="23.453125" style="23" customWidth="1"/>
    <col min="12298" max="12298" width="28.54296875" style="23" bestFit="1" customWidth="1"/>
    <col min="12299" max="12300" width="9.1796875" style="23"/>
    <col min="12301" max="12301" width="13.453125" style="23" customWidth="1"/>
    <col min="12302" max="12544" width="9.1796875" style="23"/>
    <col min="12545" max="12545" width="29" style="23" customWidth="1"/>
    <col min="12546" max="12546" width="18.54296875" style="23" bestFit="1" customWidth="1"/>
    <col min="12547" max="12547" width="8.1796875" style="23" bestFit="1" customWidth="1"/>
    <col min="12548" max="12549" width="8.453125" style="23" bestFit="1" customWidth="1"/>
    <col min="12550" max="12550" width="7.453125" style="23" bestFit="1" customWidth="1"/>
    <col min="12551" max="12551" width="23.453125" style="23" customWidth="1"/>
    <col min="12552" max="12552" width="17.1796875" style="23" bestFit="1" customWidth="1"/>
    <col min="12553" max="12553" width="23.453125" style="23" customWidth="1"/>
    <col min="12554" max="12554" width="28.54296875" style="23" bestFit="1" customWidth="1"/>
    <col min="12555" max="12556" width="9.1796875" style="23"/>
    <col min="12557" max="12557" width="13.453125" style="23" customWidth="1"/>
    <col min="12558" max="12800" width="9.1796875" style="23"/>
    <col min="12801" max="12801" width="29" style="23" customWidth="1"/>
    <col min="12802" max="12802" width="18.54296875" style="23" bestFit="1" customWidth="1"/>
    <col min="12803" max="12803" width="8.1796875" style="23" bestFit="1" customWidth="1"/>
    <col min="12804" max="12805" width="8.453125" style="23" bestFit="1" customWidth="1"/>
    <col min="12806" max="12806" width="7.453125" style="23" bestFit="1" customWidth="1"/>
    <col min="12807" max="12807" width="23.453125" style="23" customWidth="1"/>
    <col min="12808" max="12808" width="17.1796875" style="23" bestFit="1" customWidth="1"/>
    <col min="12809" max="12809" width="23.453125" style="23" customWidth="1"/>
    <col min="12810" max="12810" width="28.54296875" style="23" bestFit="1" customWidth="1"/>
    <col min="12811" max="12812" width="9.1796875" style="23"/>
    <col min="12813" max="12813" width="13.453125" style="23" customWidth="1"/>
    <col min="12814" max="13056" width="9.1796875" style="23"/>
    <col min="13057" max="13057" width="29" style="23" customWidth="1"/>
    <col min="13058" max="13058" width="18.54296875" style="23" bestFit="1" customWidth="1"/>
    <col min="13059" max="13059" width="8.1796875" style="23" bestFit="1" customWidth="1"/>
    <col min="13060" max="13061" width="8.453125" style="23" bestFit="1" customWidth="1"/>
    <col min="13062" max="13062" width="7.453125" style="23" bestFit="1" customWidth="1"/>
    <col min="13063" max="13063" width="23.453125" style="23" customWidth="1"/>
    <col min="13064" max="13064" width="17.1796875" style="23" bestFit="1" customWidth="1"/>
    <col min="13065" max="13065" width="23.453125" style="23" customWidth="1"/>
    <col min="13066" max="13066" width="28.54296875" style="23" bestFit="1" customWidth="1"/>
    <col min="13067" max="13068" width="9.1796875" style="23"/>
    <col min="13069" max="13069" width="13.453125" style="23" customWidth="1"/>
    <col min="13070" max="13312" width="9.1796875" style="23"/>
    <col min="13313" max="13313" width="29" style="23" customWidth="1"/>
    <col min="13314" max="13314" width="18.54296875" style="23" bestFit="1" customWidth="1"/>
    <col min="13315" max="13315" width="8.1796875" style="23" bestFit="1" customWidth="1"/>
    <col min="13316" max="13317" width="8.453125" style="23" bestFit="1" customWidth="1"/>
    <col min="13318" max="13318" width="7.453125" style="23" bestFit="1" customWidth="1"/>
    <col min="13319" max="13319" width="23.453125" style="23" customWidth="1"/>
    <col min="13320" max="13320" width="17.1796875" style="23" bestFit="1" customWidth="1"/>
    <col min="13321" max="13321" width="23.453125" style="23" customWidth="1"/>
    <col min="13322" max="13322" width="28.54296875" style="23" bestFit="1" customWidth="1"/>
    <col min="13323" max="13324" width="9.1796875" style="23"/>
    <col min="13325" max="13325" width="13.453125" style="23" customWidth="1"/>
    <col min="13326" max="13568" width="9.1796875" style="23"/>
    <col min="13569" max="13569" width="29" style="23" customWidth="1"/>
    <col min="13570" max="13570" width="18.54296875" style="23" bestFit="1" customWidth="1"/>
    <col min="13571" max="13571" width="8.1796875" style="23" bestFit="1" customWidth="1"/>
    <col min="13572" max="13573" width="8.453125" style="23" bestFit="1" customWidth="1"/>
    <col min="13574" max="13574" width="7.453125" style="23" bestFit="1" customWidth="1"/>
    <col min="13575" max="13575" width="23.453125" style="23" customWidth="1"/>
    <col min="13576" max="13576" width="17.1796875" style="23" bestFit="1" customWidth="1"/>
    <col min="13577" max="13577" width="23.453125" style="23" customWidth="1"/>
    <col min="13578" max="13578" width="28.54296875" style="23" bestFit="1" customWidth="1"/>
    <col min="13579" max="13580" width="9.1796875" style="23"/>
    <col min="13581" max="13581" width="13.453125" style="23" customWidth="1"/>
    <col min="13582" max="13824" width="9.1796875" style="23"/>
    <col min="13825" max="13825" width="29" style="23" customWidth="1"/>
    <col min="13826" max="13826" width="18.54296875" style="23" bestFit="1" customWidth="1"/>
    <col min="13827" max="13827" width="8.1796875" style="23" bestFit="1" customWidth="1"/>
    <col min="13828" max="13829" width="8.453125" style="23" bestFit="1" customWidth="1"/>
    <col min="13830" max="13830" width="7.453125" style="23" bestFit="1" customWidth="1"/>
    <col min="13831" max="13831" width="23.453125" style="23" customWidth="1"/>
    <col min="13832" max="13832" width="17.1796875" style="23" bestFit="1" customWidth="1"/>
    <col min="13833" max="13833" width="23.453125" style="23" customWidth="1"/>
    <col min="13834" max="13834" width="28.54296875" style="23" bestFit="1" customWidth="1"/>
    <col min="13835" max="13836" width="9.1796875" style="23"/>
    <col min="13837" max="13837" width="13.453125" style="23" customWidth="1"/>
    <col min="13838" max="14080" width="9.1796875" style="23"/>
    <col min="14081" max="14081" width="29" style="23" customWidth="1"/>
    <col min="14082" max="14082" width="18.54296875" style="23" bestFit="1" customWidth="1"/>
    <col min="14083" max="14083" width="8.1796875" style="23" bestFit="1" customWidth="1"/>
    <col min="14084" max="14085" width="8.453125" style="23" bestFit="1" customWidth="1"/>
    <col min="14086" max="14086" width="7.453125" style="23" bestFit="1" customWidth="1"/>
    <col min="14087" max="14087" width="23.453125" style="23" customWidth="1"/>
    <col min="14088" max="14088" width="17.1796875" style="23" bestFit="1" customWidth="1"/>
    <col min="14089" max="14089" width="23.453125" style="23" customWidth="1"/>
    <col min="14090" max="14090" width="28.54296875" style="23" bestFit="1" customWidth="1"/>
    <col min="14091" max="14092" width="9.1796875" style="23"/>
    <col min="14093" max="14093" width="13.453125" style="23" customWidth="1"/>
    <col min="14094" max="14336" width="9.1796875" style="23"/>
    <col min="14337" max="14337" width="29" style="23" customWidth="1"/>
    <col min="14338" max="14338" width="18.54296875" style="23" bestFit="1" customWidth="1"/>
    <col min="14339" max="14339" width="8.1796875" style="23" bestFit="1" customWidth="1"/>
    <col min="14340" max="14341" width="8.453125" style="23" bestFit="1" customWidth="1"/>
    <col min="14342" max="14342" width="7.453125" style="23" bestFit="1" customWidth="1"/>
    <col min="14343" max="14343" width="23.453125" style="23" customWidth="1"/>
    <col min="14344" max="14344" width="17.1796875" style="23" bestFit="1" customWidth="1"/>
    <col min="14345" max="14345" width="23.453125" style="23" customWidth="1"/>
    <col min="14346" max="14346" width="28.54296875" style="23" bestFit="1" customWidth="1"/>
    <col min="14347" max="14348" width="9.1796875" style="23"/>
    <col min="14349" max="14349" width="13.453125" style="23" customWidth="1"/>
    <col min="14350" max="14592" width="9.1796875" style="23"/>
    <col min="14593" max="14593" width="29" style="23" customWidth="1"/>
    <col min="14594" max="14594" width="18.54296875" style="23" bestFit="1" customWidth="1"/>
    <col min="14595" max="14595" width="8.1796875" style="23" bestFit="1" customWidth="1"/>
    <col min="14596" max="14597" width="8.453125" style="23" bestFit="1" customWidth="1"/>
    <col min="14598" max="14598" width="7.453125" style="23" bestFit="1" customWidth="1"/>
    <col min="14599" max="14599" width="23.453125" style="23" customWidth="1"/>
    <col min="14600" max="14600" width="17.1796875" style="23" bestFit="1" customWidth="1"/>
    <col min="14601" max="14601" width="23.453125" style="23" customWidth="1"/>
    <col min="14602" max="14602" width="28.54296875" style="23" bestFit="1" customWidth="1"/>
    <col min="14603" max="14604" width="9.1796875" style="23"/>
    <col min="14605" max="14605" width="13.453125" style="23" customWidth="1"/>
    <col min="14606" max="14848" width="9.1796875" style="23"/>
    <col min="14849" max="14849" width="29" style="23" customWidth="1"/>
    <col min="14850" max="14850" width="18.54296875" style="23" bestFit="1" customWidth="1"/>
    <col min="14851" max="14851" width="8.1796875" style="23" bestFit="1" customWidth="1"/>
    <col min="14852" max="14853" width="8.453125" style="23" bestFit="1" customWidth="1"/>
    <col min="14854" max="14854" width="7.453125" style="23" bestFit="1" customWidth="1"/>
    <col min="14855" max="14855" width="23.453125" style="23" customWidth="1"/>
    <col min="14856" max="14856" width="17.1796875" style="23" bestFit="1" customWidth="1"/>
    <col min="14857" max="14857" width="23.453125" style="23" customWidth="1"/>
    <col min="14858" max="14858" width="28.54296875" style="23" bestFit="1" customWidth="1"/>
    <col min="14859" max="14860" width="9.1796875" style="23"/>
    <col min="14861" max="14861" width="13.453125" style="23" customWidth="1"/>
    <col min="14862" max="15104" width="9.1796875" style="23"/>
    <col min="15105" max="15105" width="29" style="23" customWidth="1"/>
    <col min="15106" max="15106" width="18.54296875" style="23" bestFit="1" customWidth="1"/>
    <col min="15107" max="15107" width="8.1796875" style="23" bestFit="1" customWidth="1"/>
    <col min="15108" max="15109" width="8.453125" style="23" bestFit="1" customWidth="1"/>
    <col min="15110" max="15110" width="7.453125" style="23" bestFit="1" customWidth="1"/>
    <col min="15111" max="15111" width="23.453125" style="23" customWidth="1"/>
    <col min="15112" max="15112" width="17.1796875" style="23" bestFit="1" customWidth="1"/>
    <col min="15113" max="15113" width="23.453125" style="23" customWidth="1"/>
    <col min="15114" max="15114" width="28.54296875" style="23" bestFit="1" customWidth="1"/>
    <col min="15115" max="15116" width="9.1796875" style="23"/>
    <col min="15117" max="15117" width="13.453125" style="23" customWidth="1"/>
    <col min="15118" max="15360" width="9.1796875" style="23"/>
    <col min="15361" max="15361" width="29" style="23" customWidth="1"/>
    <col min="15362" max="15362" width="18.54296875" style="23" bestFit="1" customWidth="1"/>
    <col min="15363" max="15363" width="8.1796875" style="23" bestFit="1" customWidth="1"/>
    <col min="15364" max="15365" width="8.453125" style="23" bestFit="1" customWidth="1"/>
    <col min="15366" max="15366" width="7.453125" style="23" bestFit="1" customWidth="1"/>
    <col min="15367" max="15367" width="23.453125" style="23" customWidth="1"/>
    <col min="15368" max="15368" width="17.1796875" style="23" bestFit="1" customWidth="1"/>
    <col min="15369" max="15369" width="23.453125" style="23" customWidth="1"/>
    <col min="15370" max="15370" width="28.54296875" style="23" bestFit="1" customWidth="1"/>
    <col min="15371" max="15372" width="9.1796875" style="23"/>
    <col min="15373" max="15373" width="13.453125" style="23" customWidth="1"/>
    <col min="15374" max="15616" width="9.1796875" style="23"/>
    <col min="15617" max="15617" width="29" style="23" customWidth="1"/>
    <col min="15618" max="15618" width="18.54296875" style="23" bestFit="1" customWidth="1"/>
    <col min="15619" max="15619" width="8.1796875" style="23" bestFit="1" customWidth="1"/>
    <col min="15620" max="15621" width="8.453125" style="23" bestFit="1" customWidth="1"/>
    <col min="15622" max="15622" width="7.453125" style="23" bestFit="1" customWidth="1"/>
    <col min="15623" max="15623" width="23.453125" style="23" customWidth="1"/>
    <col min="15624" max="15624" width="17.1796875" style="23" bestFit="1" customWidth="1"/>
    <col min="15625" max="15625" width="23.453125" style="23" customWidth="1"/>
    <col min="15626" max="15626" width="28.54296875" style="23" bestFit="1" customWidth="1"/>
    <col min="15627" max="15628" width="9.1796875" style="23"/>
    <col min="15629" max="15629" width="13.453125" style="23" customWidth="1"/>
    <col min="15630" max="15872" width="9.1796875" style="23"/>
    <col min="15873" max="15873" width="29" style="23" customWidth="1"/>
    <col min="15874" max="15874" width="18.54296875" style="23" bestFit="1" customWidth="1"/>
    <col min="15875" max="15875" width="8.1796875" style="23" bestFit="1" customWidth="1"/>
    <col min="15876" max="15877" width="8.453125" style="23" bestFit="1" customWidth="1"/>
    <col min="15878" max="15878" width="7.453125" style="23" bestFit="1" customWidth="1"/>
    <col min="15879" max="15879" width="23.453125" style="23" customWidth="1"/>
    <col min="15880" max="15880" width="17.1796875" style="23" bestFit="1" customWidth="1"/>
    <col min="15881" max="15881" width="23.453125" style="23" customWidth="1"/>
    <col min="15882" max="15882" width="28.54296875" style="23" bestFit="1" customWidth="1"/>
    <col min="15883" max="15884" width="9.1796875" style="23"/>
    <col min="15885" max="15885" width="13.453125" style="23" customWidth="1"/>
    <col min="15886" max="16128" width="9.1796875" style="23"/>
    <col min="16129" max="16129" width="29" style="23" customWidth="1"/>
    <col min="16130" max="16130" width="18.54296875" style="23" bestFit="1" customWidth="1"/>
    <col min="16131" max="16131" width="8.1796875" style="23" bestFit="1" customWidth="1"/>
    <col min="16132" max="16133" width="8.453125" style="23" bestFit="1" customWidth="1"/>
    <col min="16134" max="16134" width="7.453125" style="23" bestFit="1" customWidth="1"/>
    <col min="16135" max="16135" width="23.453125" style="23" customWidth="1"/>
    <col min="16136" max="16136" width="17.1796875" style="23" bestFit="1" customWidth="1"/>
    <col min="16137" max="16137" width="23.453125" style="23" customWidth="1"/>
    <col min="16138" max="16138" width="28.54296875" style="23" bestFit="1" customWidth="1"/>
    <col min="16139" max="16140" width="9.1796875" style="23"/>
    <col min="16141" max="16141" width="13.453125" style="23" customWidth="1"/>
    <col min="16142" max="16384" width="9.1796875" style="23"/>
  </cols>
  <sheetData>
    <row r="1" spans="1:14" s="482" customFormat="1" ht="69.75" customHeight="1">
      <c r="A1" s="480" t="s">
        <v>0</v>
      </c>
      <c r="B1" s="159" t="s">
        <v>1</v>
      </c>
      <c r="C1" s="159" t="s">
        <v>2</v>
      </c>
      <c r="D1" s="159" t="s">
        <v>3</v>
      </c>
      <c r="E1" s="159" t="s">
        <v>4</v>
      </c>
      <c r="F1" s="159" t="s">
        <v>5</v>
      </c>
      <c r="G1" s="159" t="s">
        <v>6</v>
      </c>
      <c r="H1" s="159" t="s">
        <v>703</v>
      </c>
      <c r="I1" s="159" t="s">
        <v>704</v>
      </c>
      <c r="J1" s="159" t="s">
        <v>705</v>
      </c>
      <c r="K1" s="159" t="s">
        <v>10</v>
      </c>
      <c r="L1" s="159" t="s">
        <v>706</v>
      </c>
      <c r="M1" s="261" t="s">
        <v>12</v>
      </c>
      <c r="N1" s="481" t="s">
        <v>508</v>
      </c>
    </row>
    <row r="2" spans="1:14" ht="20">
      <c r="A2" s="483" t="s">
        <v>708</v>
      </c>
      <c r="B2" s="484" t="s">
        <v>14</v>
      </c>
      <c r="C2" s="484" t="s">
        <v>879</v>
      </c>
      <c r="D2" s="484">
        <v>1</v>
      </c>
      <c r="E2" s="484" t="e">
        <f>#REF!</f>
        <v>#REF!</v>
      </c>
      <c r="F2" s="484">
        <f>SUM(F3:F7)</f>
        <v>49</v>
      </c>
      <c r="G2" s="462" t="s">
        <v>510</v>
      </c>
      <c r="H2" s="485"/>
      <c r="I2" s="485"/>
      <c r="J2" s="484"/>
      <c r="K2" s="484"/>
      <c r="L2" s="484"/>
      <c r="M2" s="21"/>
      <c r="N2" s="22"/>
    </row>
    <row r="3" spans="1:14" ht="10.5">
      <c r="A3" s="18" t="s">
        <v>723</v>
      </c>
      <c r="B3" s="18" t="s">
        <v>720</v>
      </c>
      <c r="C3" s="19">
        <v>1</v>
      </c>
      <c r="D3" s="19">
        <v>1</v>
      </c>
      <c r="E3" s="19">
        <f>D3+F3-1</f>
        <v>1</v>
      </c>
      <c r="F3" s="19">
        <v>1</v>
      </c>
      <c r="G3" s="18" t="s">
        <v>19</v>
      </c>
      <c r="H3" s="66"/>
      <c r="I3" s="66"/>
      <c r="J3" s="19"/>
      <c r="K3" s="19"/>
      <c r="L3" s="19"/>
      <c r="M3" s="21"/>
      <c r="N3" s="22"/>
    </row>
    <row r="4" spans="1:14">
      <c r="A4" s="18" t="s">
        <v>710</v>
      </c>
      <c r="B4" s="18" t="s">
        <v>711</v>
      </c>
      <c r="C4" s="19">
        <v>2</v>
      </c>
      <c r="D4" s="19">
        <f>E3+1</f>
        <v>2</v>
      </c>
      <c r="E4" s="19">
        <f>D4+F4-1</f>
        <v>16</v>
      </c>
      <c r="F4" s="19">
        <v>15</v>
      </c>
      <c r="G4" s="18" t="s">
        <v>1982</v>
      </c>
      <c r="H4" s="66"/>
      <c r="I4" s="66"/>
      <c r="J4" s="19"/>
      <c r="K4" s="19"/>
      <c r="L4" s="19"/>
      <c r="M4" s="21"/>
      <c r="N4" s="22"/>
    </row>
    <row r="5" spans="1:14">
      <c r="A5" s="18" t="s">
        <v>713</v>
      </c>
      <c r="B5" s="18" t="s">
        <v>714</v>
      </c>
      <c r="C5" s="19">
        <v>3</v>
      </c>
      <c r="D5" s="19">
        <f>E4+1</f>
        <v>17</v>
      </c>
      <c r="E5" s="19">
        <f>D5+F5-1</f>
        <v>26</v>
      </c>
      <c r="F5" s="19">
        <v>10</v>
      </c>
      <c r="G5" s="18" t="s">
        <v>715</v>
      </c>
      <c r="H5" s="66"/>
      <c r="I5" s="66"/>
      <c r="J5" s="19"/>
      <c r="K5" s="19"/>
      <c r="L5" s="19"/>
      <c r="M5" s="21"/>
      <c r="N5" s="22"/>
    </row>
    <row r="6" spans="1:14" ht="10.5">
      <c r="A6" s="18" t="s">
        <v>1001</v>
      </c>
      <c r="B6" s="18" t="s">
        <v>1002</v>
      </c>
      <c r="C6" s="19">
        <v>4</v>
      </c>
      <c r="D6" s="19">
        <f>E5+1</f>
        <v>27</v>
      </c>
      <c r="E6" s="19">
        <f>D6+F6-1</f>
        <v>34</v>
      </c>
      <c r="F6" s="19">
        <v>8</v>
      </c>
      <c r="G6" s="18" t="s">
        <v>716</v>
      </c>
      <c r="H6" s="174"/>
      <c r="I6" s="174"/>
      <c r="J6" s="19"/>
      <c r="K6" s="19"/>
      <c r="L6" s="19"/>
      <c r="M6" s="21"/>
      <c r="N6" s="22"/>
    </row>
    <row r="7" spans="1:14" ht="10.5">
      <c r="A7" s="18" t="s">
        <v>717</v>
      </c>
      <c r="B7" s="18" t="s">
        <v>711</v>
      </c>
      <c r="C7" s="19">
        <v>5</v>
      </c>
      <c r="D7" s="19">
        <f>E6+1</f>
        <v>35</v>
      </c>
      <c r="E7" s="19">
        <f>D7+F7-1</f>
        <v>49</v>
      </c>
      <c r="F7" s="19">
        <v>15</v>
      </c>
      <c r="G7" s="18" t="s">
        <v>2146</v>
      </c>
      <c r="H7" s="174"/>
      <c r="I7" s="174"/>
      <c r="J7" s="19"/>
      <c r="K7" s="19"/>
      <c r="L7" s="19"/>
      <c r="M7" s="21"/>
      <c r="N7" s="22"/>
    </row>
    <row r="8" spans="1:14" ht="10.5">
      <c r="A8" s="483" t="s">
        <v>722</v>
      </c>
      <c r="B8" s="484" t="s">
        <v>2147</v>
      </c>
      <c r="C8" s="486" t="s">
        <v>879</v>
      </c>
      <c r="D8" s="484">
        <v>1</v>
      </c>
      <c r="E8" s="484" t="e">
        <f>#REF!</f>
        <v>#REF!</v>
      </c>
      <c r="F8" s="484">
        <f>SUM(F9:F13)</f>
        <v>154</v>
      </c>
      <c r="G8" s="487"/>
      <c r="H8" s="487"/>
      <c r="I8" s="487"/>
      <c r="J8" s="484"/>
      <c r="K8" s="484"/>
      <c r="L8" s="484"/>
      <c r="M8" s="21"/>
      <c r="N8" s="22"/>
    </row>
    <row r="9" spans="1:14" ht="20.5">
      <c r="A9" s="463" t="s">
        <v>1984</v>
      </c>
      <c r="B9" s="464" t="s">
        <v>1985</v>
      </c>
      <c r="C9" s="19">
        <v>7</v>
      </c>
      <c r="D9" s="19">
        <v>1</v>
      </c>
      <c r="E9" s="19">
        <f>D9+F9-1</f>
        <v>1</v>
      </c>
      <c r="F9" s="19">
        <v>1</v>
      </c>
      <c r="G9" s="66" t="s">
        <v>1986</v>
      </c>
      <c r="H9" s="465"/>
      <c r="I9" s="465"/>
      <c r="J9" s="466"/>
      <c r="K9" s="466"/>
      <c r="L9" s="466"/>
      <c r="M9" s="467"/>
      <c r="N9" s="22"/>
    </row>
    <row r="10" spans="1:14" ht="12.5">
      <c r="A10" s="463" t="s">
        <v>2148</v>
      </c>
      <c r="B10" s="264" t="s">
        <v>2149</v>
      </c>
      <c r="C10" s="19">
        <v>8</v>
      </c>
      <c r="D10" s="466">
        <f>E9+1</f>
        <v>2</v>
      </c>
      <c r="E10" s="19">
        <f>D10+F10-1</f>
        <v>3</v>
      </c>
      <c r="F10" s="466">
        <v>2</v>
      </c>
      <c r="G10" s="66" t="s">
        <v>1989</v>
      </c>
      <c r="H10" s="66" t="s">
        <v>1990</v>
      </c>
      <c r="I10" s="66" t="s">
        <v>2150</v>
      </c>
      <c r="J10" s="463" t="s">
        <v>2148</v>
      </c>
      <c r="K10" s="19" t="s">
        <v>730</v>
      </c>
      <c r="L10" s="466">
        <v>773</v>
      </c>
      <c r="M10" s="21" t="s">
        <v>1993</v>
      </c>
      <c r="N10" s="22" t="s">
        <v>1468</v>
      </c>
    </row>
    <row r="11" spans="1:14" ht="12.5">
      <c r="A11" s="488" t="s">
        <v>2151</v>
      </c>
      <c r="B11" s="264" t="s">
        <v>2152</v>
      </c>
      <c r="C11" s="19">
        <v>9</v>
      </c>
      <c r="D11" s="466">
        <f>E10+1</f>
        <v>4</v>
      </c>
      <c r="E11" s="19">
        <f>D11+F11-1</f>
        <v>4</v>
      </c>
      <c r="F11" s="19">
        <v>1</v>
      </c>
      <c r="G11" s="66" t="s">
        <v>2153</v>
      </c>
      <c r="H11" s="66" t="s">
        <v>1990</v>
      </c>
      <c r="I11" s="66" t="s">
        <v>2150</v>
      </c>
      <c r="J11" s="488" t="s">
        <v>2154</v>
      </c>
      <c r="K11" s="19" t="s">
        <v>730</v>
      </c>
      <c r="L11" s="489"/>
      <c r="M11" s="21" t="s">
        <v>1993</v>
      </c>
      <c r="N11" s="22" t="s">
        <v>1468</v>
      </c>
    </row>
    <row r="12" spans="1:14" ht="12.5">
      <c r="A12" s="488" t="s">
        <v>2155</v>
      </c>
      <c r="B12" s="264" t="s">
        <v>2156</v>
      </c>
      <c r="C12" s="19">
        <v>10</v>
      </c>
      <c r="D12" s="466">
        <f>E11+1</f>
        <v>5</v>
      </c>
      <c r="E12" s="19">
        <f>D12+F12-1</f>
        <v>54</v>
      </c>
      <c r="F12" s="19">
        <v>50</v>
      </c>
      <c r="G12" s="180" t="s">
        <v>738</v>
      </c>
      <c r="H12" s="66" t="s">
        <v>1990</v>
      </c>
      <c r="I12" s="66" t="s">
        <v>2150</v>
      </c>
      <c r="J12" s="488" t="s">
        <v>2157</v>
      </c>
      <c r="K12" s="19"/>
      <c r="L12" s="489"/>
      <c r="M12" s="21" t="s">
        <v>1993</v>
      </c>
      <c r="N12" s="22" t="s">
        <v>1468</v>
      </c>
    </row>
    <row r="13" spans="1:14" ht="12.5">
      <c r="A13" s="488" t="s">
        <v>2158</v>
      </c>
      <c r="B13" s="264" t="s">
        <v>2159</v>
      </c>
      <c r="C13" s="19">
        <v>11</v>
      </c>
      <c r="D13" s="466">
        <f>E12+1</f>
        <v>55</v>
      </c>
      <c r="E13" s="19">
        <f>D13+F13-1</f>
        <v>154</v>
      </c>
      <c r="F13" s="19">
        <v>100</v>
      </c>
      <c r="G13" s="180" t="s">
        <v>738</v>
      </c>
      <c r="H13" s="66" t="s">
        <v>1990</v>
      </c>
      <c r="I13" s="66" t="s">
        <v>2150</v>
      </c>
      <c r="J13" s="488" t="s">
        <v>2160</v>
      </c>
      <c r="K13" s="19"/>
      <c r="L13" s="489"/>
      <c r="M13" s="21" t="s">
        <v>1993</v>
      </c>
      <c r="N13" s="22" t="s">
        <v>1468</v>
      </c>
    </row>
    <row r="14" spans="1:14" ht="10.5">
      <c r="A14" s="483" t="s">
        <v>2161</v>
      </c>
      <c r="B14" s="484" t="s">
        <v>2147</v>
      </c>
      <c r="C14" s="486" t="s">
        <v>879</v>
      </c>
      <c r="D14" s="484">
        <v>1</v>
      </c>
      <c r="E14" s="484" t="e">
        <f>#REF!</f>
        <v>#REF!</v>
      </c>
      <c r="F14" s="484">
        <f>SUM(F15:F16)</f>
        <v>10</v>
      </c>
      <c r="G14" s="487"/>
      <c r="H14" s="487"/>
      <c r="I14" s="487"/>
      <c r="J14" s="484"/>
      <c r="K14" s="164" t="s">
        <v>204</v>
      </c>
      <c r="L14" s="164"/>
      <c r="M14" s="21"/>
      <c r="N14" s="22"/>
    </row>
    <row r="15" spans="1:14" ht="21">
      <c r="A15" s="463" t="s">
        <v>723</v>
      </c>
      <c r="B15" s="264" t="s">
        <v>720</v>
      </c>
      <c r="C15" s="19">
        <v>13</v>
      </c>
      <c r="D15" s="19">
        <v>1</v>
      </c>
      <c r="E15" s="19">
        <v>1</v>
      </c>
      <c r="F15" s="19">
        <v>1</v>
      </c>
      <c r="G15" s="66" t="s">
        <v>205</v>
      </c>
      <c r="H15" s="66"/>
      <c r="I15" s="66"/>
      <c r="J15" s="19"/>
      <c r="K15" s="19"/>
      <c r="L15" s="19"/>
      <c r="M15" s="21"/>
      <c r="N15" s="22"/>
    </row>
    <row r="16" spans="1:14" ht="12.5">
      <c r="A16" s="80" t="s">
        <v>2162</v>
      </c>
      <c r="B16" s="264" t="s">
        <v>2163</v>
      </c>
      <c r="C16" s="19">
        <v>14</v>
      </c>
      <c r="D16" s="19">
        <f>D15+1</f>
        <v>2</v>
      </c>
      <c r="E16" s="19">
        <f>D16+F16-1</f>
        <v>10</v>
      </c>
      <c r="F16" s="19">
        <v>9</v>
      </c>
      <c r="G16" s="66" t="s">
        <v>2164</v>
      </c>
      <c r="H16" s="66"/>
      <c r="I16" s="66"/>
      <c r="J16" s="19"/>
      <c r="K16" s="19"/>
      <c r="L16" s="19"/>
      <c r="M16" s="21"/>
      <c r="N16" s="22"/>
    </row>
    <row r="17" spans="13:13">
      <c r="M17" s="491"/>
    </row>
    <row r="18" spans="13:13">
      <c r="M18" s="491"/>
    </row>
    <row r="19" spans="13:13">
      <c r="M19" s="491"/>
    </row>
    <row r="20" spans="13:13">
      <c r="M20" s="491"/>
    </row>
    <row r="21" spans="13:13">
      <c r="M21" s="491"/>
    </row>
    <row r="22" spans="13:13">
      <c r="M22" s="491"/>
    </row>
    <row r="23" spans="13:13">
      <c r="M23" s="491"/>
    </row>
    <row r="24" spans="13:13">
      <c r="M24" s="491"/>
    </row>
    <row r="25" spans="13:13">
      <c r="M25" s="491"/>
    </row>
    <row r="26" spans="13:13">
      <c r="M26" s="491"/>
    </row>
    <row r="27" spans="13:13">
      <c r="M27" s="491"/>
    </row>
    <row r="28" spans="13:13">
      <c r="M28" s="491"/>
    </row>
    <row r="29" spans="13:13">
      <c r="M29" s="491"/>
    </row>
    <row r="30" spans="13:13">
      <c r="M30" s="491"/>
    </row>
    <row r="31" spans="13:13">
      <c r="M31" s="491"/>
    </row>
    <row r="32" spans="13:13">
      <c r="M32" s="491"/>
    </row>
    <row r="33" spans="13:13">
      <c r="M33" s="491"/>
    </row>
    <row r="34" spans="13:13">
      <c r="M34" s="491"/>
    </row>
    <row r="35" spans="13:13">
      <c r="M35" s="491"/>
    </row>
    <row r="36" spans="13:13">
      <c r="M36" s="491"/>
    </row>
    <row r="37" spans="13:13">
      <c r="M37" s="491"/>
    </row>
    <row r="38" spans="13:13">
      <c r="M38" s="491"/>
    </row>
    <row r="39" spans="13:13">
      <c r="M39" s="491"/>
    </row>
    <row r="40" spans="13:13">
      <c r="M40" s="491"/>
    </row>
    <row r="41" spans="13:13">
      <c r="M41" s="491"/>
    </row>
    <row r="42" spans="13:13">
      <c r="M42" s="491"/>
    </row>
    <row r="43" spans="13:13">
      <c r="M43" s="491"/>
    </row>
    <row r="44" spans="13:13">
      <c r="M44" s="491"/>
    </row>
    <row r="45" spans="13:13">
      <c r="M45" s="491"/>
    </row>
    <row r="46" spans="13:13">
      <c r="M46" s="491"/>
    </row>
    <row r="47" spans="13:13">
      <c r="M47" s="491"/>
    </row>
    <row r="48" spans="13:13">
      <c r="M48" s="491"/>
    </row>
    <row r="49" spans="13:13">
      <c r="M49" s="491"/>
    </row>
    <row r="50" spans="13:13">
      <c r="M50" s="491"/>
    </row>
    <row r="51" spans="13:13">
      <c r="M51" s="491"/>
    </row>
    <row r="52" spans="13:13">
      <c r="M52" s="491"/>
    </row>
    <row r="53" spans="13:13">
      <c r="M53" s="491"/>
    </row>
    <row r="54" spans="13:13">
      <c r="M54" s="491"/>
    </row>
    <row r="55" spans="13:13">
      <c r="M55" s="491"/>
    </row>
    <row r="56" spans="13:13">
      <c r="M56" s="491"/>
    </row>
    <row r="57" spans="13:13">
      <c r="M57" s="491"/>
    </row>
    <row r="58" spans="13:13">
      <c r="M58" s="491"/>
    </row>
    <row r="59" spans="13:13">
      <c r="M59" s="491"/>
    </row>
    <row r="60" spans="13:13">
      <c r="M60" s="491"/>
    </row>
    <row r="61" spans="13:13">
      <c r="M61" s="491"/>
    </row>
    <row r="62" spans="13:13">
      <c r="M62" s="491"/>
    </row>
    <row r="63" spans="13:13">
      <c r="M63" s="491"/>
    </row>
    <row r="64" spans="13:13">
      <c r="M64" s="491"/>
    </row>
    <row r="65" spans="13:13">
      <c r="M65" s="491"/>
    </row>
    <row r="66" spans="13:13">
      <c r="M66" s="491"/>
    </row>
    <row r="67" spans="13:13">
      <c r="M67" s="491"/>
    </row>
    <row r="68" spans="13:13">
      <c r="M68" s="491"/>
    </row>
    <row r="69" spans="13:13">
      <c r="M69" s="491"/>
    </row>
    <row r="70" spans="13:13">
      <c r="M70" s="491"/>
    </row>
    <row r="71" spans="13:13">
      <c r="M71" s="491"/>
    </row>
    <row r="72" spans="13:13">
      <c r="M72" s="491"/>
    </row>
    <row r="73" spans="13:13">
      <c r="M73" s="491"/>
    </row>
    <row r="74" spans="13:13">
      <c r="M74" s="491"/>
    </row>
    <row r="75" spans="13:13">
      <c r="M75" s="491"/>
    </row>
    <row r="76" spans="13:13">
      <c r="M76" s="491"/>
    </row>
    <row r="77" spans="13:13">
      <c r="M77" s="491"/>
    </row>
    <row r="78" spans="13:13">
      <c r="M78" s="491"/>
    </row>
    <row r="79" spans="13:13">
      <c r="M79" s="491"/>
    </row>
    <row r="80" spans="13:13">
      <c r="M80" s="491"/>
    </row>
    <row r="81" spans="13:13">
      <c r="M81" s="491"/>
    </row>
    <row r="82" spans="13:13">
      <c r="M82" s="491"/>
    </row>
    <row r="83" spans="13:13">
      <c r="M83" s="491"/>
    </row>
    <row r="84" spans="13:13">
      <c r="M84" s="491"/>
    </row>
    <row r="85" spans="13:13">
      <c r="M85" s="491"/>
    </row>
    <row r="86" spans="13:13">
      <c r="M86" s="491"/>
    </row>
    <row r="87" spans="13:13">
      <c r="M87" s="491"/>
    </row>
    <row r="88" spans="13:13">
      <c r="M88" s="491"/>
    </row>
    <row r="89" spans="13:13">
      <c r="M89" s="491"/>
    </row>
    <row r="90" spans="13:13">
      <c r="M90" s="491"/>
    </row>
    <row r="91" spans="13:13">
      <c r="M91" s="491"/>
    </row>
    <row r="92" spans="13:13">
      <c r="M92" s="491"/>
    </row>
    <row r="93" spans="13:13">
      <c r="M93" s="491"/>
    </row>
    <row r="94" spans="13:13">
      <c r="M94" s="491"/>
    </row>
    <row r="95" spans="13:13">
      <c r="M95" s="491"/>
    </row>
    <row r="96" spans="13:13">
      <c r="M96" s="491"/>
    </row>
    <row r="97" spans="13:13">
      <c r="M97" s="491"/>
    </row>
  </sheetData>
  <dataValidations count="1">
    <dataValidation type="list" allowBlank="1" showInputMessage="1" showErrorMessage="1" sqref="N11:N13 JJ11:JJ13 TF11:TF13 ADB11:ADB13 AMX11:AMX13 AWT11:AWT13 BGP11:BGP13 BQL11:BQL13 CAH11:CAH13 CKD11:CKD13 CTZ11:CTZ13 DDV11:DDV13 DNR11:DNR13 DXN11:DXN13 EHJ11:EHJ13 ERF11:ERF13 FBB11:FBB13 FKX11:FKX13 FUT11:FUT13 GEP11:GEP13 GOL11:GOL13 GYH11:GYH13 HID11:HID13 HRZ11:HRZ13 IBV11:IBV13 ILR11:ILR13 IVN11:IVN13 JFJ11:JFJ13 JPF11:JPF13 JZB11:JZB13 KIX11:KIX13 KST11:KST13 LCP11:LCP13 LML11:LML13 LWH11:LWH13 MGD11:MGD13 MPZ11:MPZ13 MZV11:MZV13 NJR11:NJR13 NTN11:NTN13 ODJ11:ODJ13 ONF11:ONF13 OXB11:OXB13 PGX11:PGX13 PQT11:PQT13 QAP11:QAP13 QKL11:QKL13 QUH11:QUH13 RED11:RED13 RNZ11:RNZ13 RXV11:RXV13 SHR11:SHR13 SRN11:SRN13 TBJ11:TBJ13 TLF11:TLF13 TVB11:TVB13 UEX11:UEX13 UOT11:UOT13 UYP11:UYP13 VIL11:VIL13 VSH11:VSH13 WCD11:WCD13 WLZ11:WLZ13 WVV11:WVV13 N65547:N65549 JJ65547:JJ65549 TF65547:TF65549 ADB65547:ADB65549 AMX65547:AMX65549 AWT65547:AWT65549 BGP65547:BGP65549 BQL65547:BQL65549 CAH65547:CAH65549 CKD65547:CKD65549 CTZ65547:CTZ65549 DDV65547:DDV65549 DNR65547:DNR65549 DXN65547:DXN65549 EHJ65547:EHJ65549 ERF65547:ERF65549 FBB65547:FBB65549 FKX65547:FKX65549 FUT65547:FUT65549 GEP65547:GEP65549 GOL65547:GOL65549 GYH65547:GYH65549 HID65547:HID65549 HRZ65547:HRZ65549 IBV65547:IBV65549 ILR65547:ILR65549 IVN65547:IVN65549 JFJ65547:JFJ65549 JPF65547:JPF65549 JZB65547:JZB65549 KIX65547:KIX65549 KST65547:KST65549 LCP65547:LCP65549 LML65547:LML65549 LWH65547:LWH65549 MGD65547:MGD65549 MPZ65547:MPZ65549 MZV65547:MZV65549 NJR65547:NJR65549 NTN65547:NTN65549 ODJ65547:ODJ65549 ONF65547:ONF65549 OXB65547:OXB65549 PGX65547:PGX65549 PQT65547:PQT65549 QAP65547:QAP65549 QKL65547:QKL65549 QUH65547:QUH65549 RED65547:RED65549 RNZ65547:RNZ65549 RXV65547:RXV65549 SHR65547:SHR65549 SRN65547:SRN65549 TBJ65547:TBJ65549 TLF65547:TLF65549 TVB65547:TVB65549 UEX65547:UEX65549 UOT65547:UOT65549 UYP65547:UYP65549 VIL65547:VIL65549 VSH65547:VSH65549 WCD65547:WCD65549 WLZ65547:WLZ65549 WVV65547:WVV65549 N131083:N131085 JJ131083:JJ131085 TF131083:TF131085 ADB131083:ADB131085 AMX131083:AMX131085 AWT131083:AWT131085 BGP131083:BGP131085 BQL131083:BQL131085 CAH131083:CAH131085 CKD131083:CKD131085 CTZ131083:CTZ131085 DDV131083:DDV131085 DNR131083:DNR131085 DXN131083:DXN131085 EHJ131083:EHJ131085 ERF131083:ERF131085 FBB131083:FBB131085 FKX131083:FKX131085 FUT131083:FUT131085 GEP131083:GEP131085 GOL131083:GOL131085 GYH131083:GYH131085 HID131083:HID131085 HRZ131083:HRZ131085 IBV131083:IBV131085 ILR131083:ILR131085 IVN131083:IVN131085 JFJ131083:JFJ131085 JPF131083:JPF131085 JZB131083:JZB131085 KIX131083:KIX131085 KST131083:KST131085 LCP131083:LCP131085 LML131083:LML131085 LWH131083:LWH131085 MGD131083:MGD131085 MPZ131083:MPZ131085 MZV131083:MZV131085 NJR131083:NJR131085 NTN131083:NTN131085 ODJ131083:ODJ131085 ONF131083:ONF131085 OXB131083:OXB131085 PGX131083:PGX131085 PQT131083:PQT131085 QAP131083:QAP131085 QKL131083:QKL131085 QUH131083:QUH131085 RED131083:RED131085 RNZ131083:RNZ131085 RXV131083:RXV131085 SHR131083:SHR131085 SRN131083:SRN131085 TBJ131083:TBJ131085 TLF131083:TLF131085 TVB131083:TVB131085 UEX131083:UEX131085 UOT131083:UOT131085 UYP131083:UYP131085 VIL131083:VIL131085 VSH131083:VSH131085 WCD131083:WCD131085 WLZ131083:WLZ131085 WVV131083:WVV131085 N196619:N196621 JJ196619:JJ196621 TF196619:TF196621 ADB196619:ADB196621 AMX196619:AMX196621 AWT196619:AWT196621 BGP196619:BGP196621 BQL196619:BQL196621 CAH196619:CAH196621 CKD196619:CKD196621 CTZ196619:CTZ196621 DDV196619:DDV196621 DNR196619:DNR196621 DXN196619:DXN196621 EHJ196619:EHJ196621 ERF196619:ERF196621 FBB196619:FBB196621 FKX196619:FKX196621 FUT196619:FUT196621 GEP196619:GEP196621 GOL196619:GOL196621 GYH196619:GYH196621 HID196619:HID196621 HRZ196619:HRZ196621 IBV196619:IBV196621 ILR196619:ILR196621 IVN196619:IVN196621 JFJ196619:JFJ196621 JPF196619:JPF196621 JZB196619:JZB196621 KIX196619:KIX196621 KST196619:KST196621 LCP196619:LCP196621 LML196619:LML196621 LWH196619:LWH196621 MGD196619:MGD196621 MPZ196619:MPZ196621 MZV196619:MZV196621 NJR196619:NJR196621 NTN196619:NTN196621 ODJ196619:ODJ196621 ONF196619:ONF196621 OXB196619:OXB196621 PGX196619:PGX196621 PQT196619:PQT196621 QAP196619:QAP196621 QKL196619:QKL196621 QUH196619:QUH196621 RED196619:RED196621 RNZ196619:RNZ196621 RXV196619:RXV196621 SHR196619:SHR196621 SRN196619:SRN196621 TBJ196619:TBJ196621 TLF196619:TLF196621 TVB196619:TVB196621 UEX196619:UEX196621 UOT196619:UOT196621 UYP196619:UYP196621 VIL196619:VIL196621 VSH196619:VSH196621 WCD196619:WCD196621 WLZ196619:WLZ196621 WVV196619:WVV196621 N262155:N262157 JJ262155:JJ262157 TF262155:TF262157 ADB262155:ADB262157 AMX262155:AMX262157 AWT262155:AWT262157 BGP262155:BGP262157 BQL262155:BQL262157 CAH262155:CAH262157 CKD262155:CKD262157 CTZ262155:CTZ262157 DDV262155:DDV262157 DNR262155:DNR262157 DXN262155:DXN262157 EHJ262155:EHJ262157 ERF262155:ERF262157 FBB262155:FBB262157 FKX262155:FKX262157 FUT262155:FUT262157 GEP262155:GEP262157 GOL262155:GOL262157 GYH262155:GYH262157 HID262155:HID262157 HRZ262155:HRZ262157 IBV262155:IBV262157 ILR262155:ILR262157 IVN262155:IVN262157 JFJ262155:JFJ262157 JPF262155:JPF262157 JZB262155:JZB262157 KIX262155:KIX262157 KST262155:KST262157 LCP262155:LCP262157 LML262155:LML262157 LWH262155:LWH262157 MGD262155:MGD262157 MPZ262155:MPZ262157 MZV262155:MZV262157 NJR262155:NJR262157 NTN262155:NTN262157 ODJ262155:ODJ262157 ONF262155:ONF262157 OXB262155:OXB262157 PGX262155:PGX262157 PQT262155:PQT262157 QAP262155:QAP262157 QKL262155:QKL262157 QUH262155:QUH262157 RED262155:RED262157 RNZ262155:RNZ262157 RXV262155:RXV262157 SHR262155:SHR262157 SRN262155:SRN262157 TBJ262155:TBJ262157 TLF262155:TLF262157 TVB262155:TVB262157 UEX262155:UEX262157 UOT262155:UOT262157 UYP262155:UYP262157 VIL262155:VIL262157 VSH262155:VSH262157 WCD262155:WCD262157 WLZ262155:WLZ262157 WVV262155:WVV262157 N327691:N327693 JJ327691:JJ327693 TF327691:TF327693 ADB327691:ADB327693 AMX327691:AMX327693 AWT327691:AWT327693 BGP327691:BGP327693 BQL327691:BQL327693 CAH327691:CAH327693 CKD327691:CKD327693 CTZ327691:CTZ327693 DDV327691:DDV327693 DNR327691:DNR327693 DXN327691:DXN327693 EHJ327691:EHJ327693 ERF327691:ERF327693 FBB327691:FBB327693 FKX327691:FKX327693 FUT327691:FUT327693 GEP327691:GEP327693 GOL327691:GOL327693 GYH327691:GYH327693 HID327691:HID327693 HRZ327691:HRZ327693 IBV327691:IBV327693 ILR327691:ILR327693 IVN327691:IVN327693 JFJ327691:JFJ327693 JPF327691:JPF327693 JZB327691:JZB327693 KIX327691:KIX327693 KST327691:KST327693 LCP327691:LCP327693 LML327691:LML327693 LWH327691:LWH327693 MGD327691:MGD327693 MPZ327691:MPZ327693 MZV327691:MZV327693 NJR327691:NJR327693 NTN327691:NTN327693 ODJ327691:ODJ327693 ONF327691:ONF327693 OXB327691:OXB327693 PGX327691:PGX327693 PQT327691:PQT327693 QAP327691:QAP327693 QKL327691:QKL327693 QUH327691:QUH327693 RED327691:RED327693 RNZ327691:RNZ327693 RXV327691:RXV327693 SHR327691:SHR327693 SRN327691:SRN327693 TBJ327691:TBJ327693 TLF327691:TLF327693 TVB327691:TVB327693 UEX327691:UEX327693 UOT327691:UOT327693 UYP327691:UYP327693 VIL327691:VIL327693 VSH327691:VSH327693 WCD327691:WCD327693 WLZ327691:WLZ327693 WVV327691:WVV327693 N393227:N393229 JJ393227:JJ393229 TF393227:TF393229 ADB393227:ADB393229 AMX393227:AMX393229 AWT393227:AWT393229 BGP393227:BGP393229 BQL393227:BQL393229 CAH393227:CAH393229 CKD393227:CKD393229 CTZ393227:CTZ393229 DDV393227:DDV393229 DNR393227:DNR393229 DXN393227:DXN393229 EHJ393227:EHJ393229 ERF393227:ERF393229 FBB393227:FBB393229 FKX393227:FKX393229 FUT393227:FUT393229 GEP393227:GEP393229 GOL393227:GOL393229 GYH393227:GYH393229 HID393227:HID393229 HRZ393227:HRZ393229 IBV393227:IBV393229 ILR393227:ILR393229 IVN393227:IVN393229 JFJ393227:JFJ393229 JPF393227:JPF393229 JZB393227:JZB393229 KIX393227:KIX393229 KST393227:KST393229 LCP393227:LCP393229 LML393227:LML393229 LWH393227:LWH393229 MGD393227:MGD393229 MPZ393227:MPZ393229 MZV393227:MZV393229 NJR393227:NJR393229 NTN393227:NTN393229 ODJ393227:ODJ393229 ONF393227:ONF393229 OXB393227:OXB393229 PGX393227:PGX393229 PQT393227:PQT393229 QAP393227:QAP393229 QKL393227:QKL393229 QUH393227:QUH393229 RED393227:RED393229 RNZ393227:RNZ393229 RXV393227:RXV393229 SHR393227:SHR393229 SRN393227:SRN393229 TBJ393227:TBJ393229 TLF393227:TLF393229 TVB393227:TVB393229 UEX393227:UEX393229 UOT393227:UOT393229 UYP393227:UYP393229 VIL393227:VIL393229 VSH393227:VSH393229 WCD393227:WCD393229 WLZ393227:WLZ393229 WVV393227:WVV393229 N458763:N458765 JJ458763:JJ458765 TF458763:TF458765 ADB458763:ADB458765 AMX458763:AMX458765 AWT458763:AWT458765 BGP458763:BGP458765 BQL458763:BQL458765 CAH458763:CAH458765 CKD458763:CKD458765 CTZ458763:CTZ458765 DDV458763:DDV458765 DNR458763:DNR458765 DXN458763:DXN458765 EHJ458763:EHJ458765 ERF458763:ERF458765 FBB458763:FBB458765 FKX458763:FKX458765 FUT458763:FUT458765 GEP458763:GEP458765 GOL458763:GOL458765 GYH458763:GYH458765 HID458763:HID458765 HRZ458763:HRZ458765 IBV458763:IBV458765 ILR458763:ILR458765 IVN458763:IVN458765 JFJ458763:JFJ458765 JPF458763:JPF458765 JZB458763:JZB458765 KIX458763:KIX458765 KST458763:KST458765 LCP458763:LCP458765 LML458763:LML458765 LWH458763:LWH458765 MGD458763:MGD458765 MPZ458763:MPZ458765 MZV458763:MZV458765 NJR458763:NJR458765 NTN458763:NTN458765 ODJ458763:ODJ458765 ONF458763:ONF458765 OXB458763:OXB458765 PGX458763:PGX458765 PQT458763:PQT458765 QAP458763:QAP458765 QKL458763:QKL458765 QUH458763:QUH458765 RED458763:RED458765 RNZ458763:RNZ458765 RXV458763:RXV458765 SHR458763:SHR458765 SRN458763:SRN458765 TBJ458763:TBJ458765 TLF458763:TLF458765 TVB458763:TVB458765 UEX458763:UEX458765 UOT458763:UOT458765 UYP458763:UYP458765 VIL458763:VIL458765 VSH458763:VSH458765 WCD458763:WCD458765 WLZ458763:WLZ458765 WVV458763:WVV458765 N524299:N524301 JJ524299:JJ524301 TF524299:TF524301 ADB524299:ADB524301 AMX524299:AMX524301 AWT524299:AWT524301 BGP524299:BGP524301 BQL524299:BQL524301 CAH524299:CAH524301 CKD524299:CKD524301 CTZ524299:CTZ524301 DDV524299:DDV524301 DNR524299:DNR524301 DXN524299:DXN524301 EHJ524299:EHJ524301 ERF524299:ERF524301 FBB524299:FBB524301 FKX524299:FKX524301 FUT524299:FUT524301 GEP524299:GEP524301 GOL524299:GOL524301 GYH524299:GYH524301 HID524299:HID524301 HRZ524299:HRZ524301 IBV524299:IBV524301 ILR524299:ILR524301 IVN524299:IVN524301 JFJ524299:JFJ524301 JPF524299:JPF524301 JZB524299:JZB524301 KIX524299:KIX524301 KST524299:KST524301 LCP524299:LCP524301 LML524299:LML524301 LWH524299:LWH524301 MGD524299:MGD524301 MPZ524299:MPZ524301 MZV524299:MZV524301 NJR524299:NJR524301 NTN524299:NTN524301 ODJ524299:ODJ524301 ONF524299:ONF524301 OXB524299:OXB524301 PGX524299:PGX524301 PQT524299:PQT524301 QAP524299:QAP524301 QKL524299:QKL524301 QUH524299:QUH524301 RED524299:RED524301 RNZ524299:RNZ524301 RXV524299:RXV524301 SHR524299:SHR524301 SRN524299:SRN524301 TBJ524299:TBJ524301 TLF524299:TLF524301 TVB524299:TVB524301 UEX524299:UEX524301 UOT524299:UOT524301 UYP524299:UYP524301 VIL524299:VIL524301 VSH524299:VSH524301 WCD524299:WCD524301 WLZ524299:WLZ524301 WVV524299:WVV524301 N589835:N589837 JJ589835:JJ589837 TF589835:TF589837 ADB589835:ADB589837 AMX589835:AMX589837 AWT589835:AWT589837 BGP589835:BGP589837 BQL589835:BQL589837 CAH589835:CAH589837 CKD589835:CKD589837 CTZ589835:CTZ589837 DDV589835:DDV589837 DNR589835:DNR589837 DXN589835:DXN589837 EHJ589835:EHJ589837 ERF589835:ERF589837 FBB589835:FBB589837 FKX589835:FKX589837 FUT589835:FUT589837 GEP589835:GEP589837 GOL589835:GOL589837 GYH589835:GYH589837 HID589835:HID589837 HRZ589835:HRZ589837 IBV589835:IBV589837 ILR589835:ILR589837 IVN589835:IVN589837 JFJ589835:JFJ589837 JPF589835:JPF589837 JZB589835:JZB589837 KIX589835:KIX589837 KST589835:KST589837 LCP589835:LCP589837 LML589835:LML589837 LWH589835:LWH589837 MGD589835:MGD589837 MPZ589835:MPZ589837 MZV589835:MZV589837 NJR589835:NJR589837 NTN589835:NTN589837 ODJ589835:ODJ589837 ONF589835:ONF589837 OXB589835:OXB589837 PGX589835:PGX589837 PQT589835:PQT589837 QAP589835:QAP589837 QKL589835:QKL589837 QUH589835:QUH589837 RED589835:RED589837 RNZ589835:RNZ589837 RXV589835:RXV589837 SHR589835:SHR589837 SRN589835:SRN589837 TBJ589835:TBJ589837 TLF589835:TLF589837 TVB589835:TVB589837 UEX589835:UEX589837 UOT589835:UOT589837 UYP589835:UYP589837 VIL589835:VIL589837 VSH589835:VSH589837 WCD589835:WCD589837 WLZ589835:WLZ589837 WVV589835:WVV589837 N655371:N655373 JJ655371:JJ655373 TF655371:TF655373 ADB655371:ADB655373 AMX655371:AMX655373 AWT655371:AWT655373 BGP655371:BGP655373 BQL655371:BQL655373 CAH655371:CAH655373 CKD655371:CKD655373 CTZ655371:CTZ655373 DDV655371:DDV655373 DNR655371:DNR655373 DXN655371:DXN655373 EHJ655371:EHJ655373 ERF655371:ERF655373 FBB655371:FBB655373 FKX655371:FKX655373 FUT655371:FUT655373 GEP655371:GEP655373 GOL655371:GOL655373 GYH655371:GYH655373 HID655371:HID655373 HRZ655371:HRZ655373 IBV655371:IBV655373 ILR655371:ILR655373 IVN655371:IVN655373 JFJ655371:JFJ655373 JPF655371:JPF655373 JZB655371:JZB655373 KIX655371:KIX655373 KST655371:KST655373 LCP655371:LCP655373 LML655371:LML655373 LWH655371:LWH655373 MGD655371:MGD655373 MPZ655371:MPZ655373 MZV655371:MZV655373 NJR655371:NJR655373 NTN655371:NTN655373 ODJ655371:ODJ655373 ONF655371:ONF655373 OXB655371:OXB655373 PGX655371:PGX655373 PQT655371:PQT655373 QAP655371:QAP655373 QKL655371:QKL655373 QUH655371:QUH655373 RED655371:RED655373 RNZ655371:RNZ655373 RXV655371:RXV655373 SHR655371:SHR655373 SRN655371:SRN655373 TBJ655371:TBJ655373 TLF655371:TLF655373 TVB655371:TVB655373 UEX655371:UEX655373 UOT655371:UOT655373 UYP655371:UYP655373 VIL655371:VIL655373 VSH655371:VSH655373 WCD655371:WCD655373 WLZ655371:WLZ655373 WVV655371:WVV655373 N720907:N720909 JJ720907:JJ720909 TF720907:TF720909 ADB720907:ADB720909 AMX720907:AMX720909 AWT720907:AWT720909 BGP720907:BGP720909 BQL720907:BQL720909 CAH720907:CAH720909 CKD720907:CKD720909 CTZ720907:CTZ720909 DDV720907:DDV720909 DNR720907:DNR720909 DXN720907:DXN720909 EHJ720907:EHJ720909 ERF720907:ERF720909 FBB720907:FBB720909 FKX720907:FKX720909 FUT720907:FUT720909 GEP720907:GEP720909 GOL720907:GOL720909 GYH720907:GYH720909 HID720907:HID720909 HRZ720907:HRZ720909 IBV720907:IBV720909 ILR720907:ILR720909 IVN720907:IVN720909 JFJ720907:JFJ720909 JPF720907:JPF720909 JZB720907:JZB720909 KIX720907:KIX720909 KST720907:KST720909 LCP720907:LCP720909 LML720907:LML720909 LWH720907:LWH720909 MGD720907:MGD720909 MPZ720907:MPZ720909 MZV720907:MZV720909 NJR720907:NJR720909 NTN720907:NTN720909 ODJ720907:ODJ720909 ONF720907:ONF720909 OXB720907:OXB720909 PGX720907:PGX720909 PQT720907:PQT720909 QAP720907:QAP720909 QKL720907:QKL720909 QUH720907:QUH720909 RED720907:RED720909 RNZ720907:RNZ720909 RXV720907:RXV720909 SHR720907:SHR720909 SRN720907:SRN720909 TBJ720907:TBJ720909 TLF720907:TLF720909 TVB720907:TVB720909 UEX720907:UEX720909 UOT720907:UOT720909 UYP720907:UYP720909 VIL720907:VIL720909 VSH720907:VSH720909 WCD720907:WCD720909 WLZ720907:WLZ720909 WVV720907:WVV720909 N786443:N786445 JJ786443:JJ786445 TF786443:TF786445 ADB786443:ADB786445 AMX786443:AMX786445 AWT786443:AWT786445 BGP786443:BGP786445 BQL786443:BQL786445 CAH786443:CAH786445 CKD786443:CKD786445 CTZ786443:CTZ786445 DDV786443:DDV786445 DNR786443:DNR786445 DXN786443:DXN786445 EHJ786443:EHJ786445 ERF786443:ERF786445 FBB786443:FBB786445 FKX786443:FKX786445 FUT786443:FUT786445 GEP786443:GEP786445 GOL786443:GOL786445 GYH786443:GYH786445 HID786443:HID786445 HRZ786443:HRZ786445 IBV786443:IBV786445 ILR786443:ILR786445 IVN786443:IVN786445 JFJ786443:JFJ786445 JPF786443:JPF786445 JZB786443:JZB786445 KIX786443:KIX786445 KST786443:KST786445 LCP786443:LCP786445 LML786443:LML786445 LWH786443:LWH786445 MGD786443:MGD786445 MPZ786443:MPZ786445 MZV786443:MZV786445 NJR786443:NJR786445 NTN786443:NTN786445 ODJ786443:ODJ786445 ONF786443:ONF786445 OXB786443:OXB786445 PGX786443:PGX786445 PQT786443:PQT786445 QAP786443:QAP786445 QKL786443:QKL786445 QUH786443:QUH786445 RED786443:RED786445 RNZ786443:RNZ786445 RXV786443:RXV786445 SHR786443:SHR786445 SRN786443:SRN786445 TBJ786443:TBJ786445 TLF786443:TLF786445 TVB786443:TVB786445 UEX786443:UEX786445 UOT786443:UOT786445 UYP786443:UYP786445 VIL786443:VIL786445 VSH786443:VSH786445 WCD786443:WCD786445 WLZ786443:WLZ786445 WVV786443:WVV786445 N851979:N851981 JJ851979:JJ851981 TF851979:TF851981 ADB851979:ADB851981 AMX851979:AMX851981 AWT851979:AWT851981 BGP851979:BGP851981 BQL851979:BQL851981 CAH851979:CAH851981 CKD851979:CKD851981 CTZ851979:CTZ851981 DDV851979:DDV851981 DNR851979:DNR851981 DXN851979:DXN851981 EHJ851979:EHJ851981 ERF851979:ERF851981 FBB851979:FBB851981 FKX851979:FKX851981 FUT851979:FUT851981 GEP851979:GEP851981 GOL851979:GOL851981 GYH851979:GYH851981 HID851979:HID851981 HRZ851979:HRZ851981 IBV851979:IBV851981 ILR851979:ILR851981 IVN851979:IVN851981 JFJ851979:JFJ851981 JPF851979:JPF851981 JZB851979:JZB851981 KIX851979:KIX851981 KST851979:KST851981 LCP851979:LCP851981 LML851979:LML851981 LWH851979:LWH851981 MGD851979:MGD851981 MPZ851979:MPZ851981 MZV851979:MZV851981 NJR851979:NJR851981 NTN851979:NTN851981 ODJ851979:ODJ851981 ONF851979:ONF851981 OXB851979:OXB851981 PGX851979:PGX851981 PQT851979:PQT851981 QAP851979:QAP851981 QKL851979:QKL851981 QUH851979:QUH851981 RED851979:RED851981 RNZ851979:RNZ851981 RXV851979:RXV851981 SHR851979:SHR851981 SRN851979:SRN851981 TBJ851979:TBJ851981 TLF851979:TLF851981 TVB851979:TVB851981 UEX851979:UEX851981 UOT851979:UOT851981 UYP851979:UYP851981 VIL851979:VIL851981 VSH851979:VSH851981 WCD851979:WCD851981 WLZ851979:WLZ851981 WVV851979:WVV851981 N917515:N917517 JJ917515:JJ917517 TF917515:TF917517 ADB917515:ADB917517 AMX917515:AMX917517 AWT917515:AWT917517 BGP917515:BGP917517 BQL917515:BQL917517 CAH917515:CAH917517 CKD917515:CKD917517 CTZ917515:CTZ917517 DDV917515:DDV917517 DNR917515:DNR917517 DXN917515:DXN917517 EHJ917515:EHJ917517 ERF917515:ERF917517 FBB917515:FBB917517 FKX917515:FKX917517 FUT917515:FUT917517 GEP917515:GEP917517 GOL917515:GOL917517 GYH917515:GYH917517 HID917515:HID917517 HRZ917515:HRZ917517 IBV917515:IBV917517 ILR917515:ILR917517 IVN917515:IVN917517 JFJ917515:JFJ917517 JPF917515:JPF917517 JZB917515:JZB917517 KIX917515:KIX917517 KST917515:KST917517 LCP917515:LCP917517 LML917515:LML917517 LWH917515:LWH917517 MGD917515:MGD917517 MPZ917515:MPZ917517 MZV917515:MZV917517 NJR917515:NJR917517 NTN917515:NTN917517 ODJ917515:ODJ917517 ONF917515:ONF917517 OXB917515:OXB917517 PGX917515:PGX917517 PQT917515:PQT917517 QAP917515:QAP917517 QKL917515:QKL917517 QUH917515:QUH917517 RED917515:RED917517 RNZ917515:RNZ917517 RXV917515:RXV917517 SHR917515:SHR917517 SRN917515:SRN917517 TBJ917515:TBJ917517 TLF917515:TLF917517 TVB917515:TVB917517 UEX917515:UEX917517 UOT917515:UOT917517 UYP917515:UYP917517 VIL917515:VIL917517 VSH917515:VSH917517 WCD917515:WCD917517 WLZ917515:WLZ917517 WVV917515:WVV917517 N983051:N983053 JJ983051:JJ983053 TF983051:TF983053 ADB983051:ADB983053 AMX983051:AMX983053 AWT983051:AWT983053 BGP983051:BGP983053 BQL983051:BQL983053 CAH983051:CAH983053 CKD983051:CKD983053 CTZ983051:CTZ983053 DDV983051:DDV983053 DNR983051:DNR983053 DXN983051:DXN983053 EHJ983051:EHJ983053 ERF983051:ERF983053 FBB983051:FBB983053 FKX983051:FKX983053 FUT983051:FUT983053 GEP983051:GEP983053 GOL983051:GOL983053 GYH983051:GYH983053 HID983051:HID983053 HRZ983051:HRZ983053 IBV983051:IBV983053 ILR983051:ILR983053 IVN983051:IVN983053 JFJ983051:JFJ983053 JPF983051:JPF983053 JZB983051:JZB983053 KIX983051:KIX983053 KST983051:KST983053 LCP983051:LCP983053 LML983051:LML983053 LWH983051:LWH983053 MGD983051:MGD983053 MPZ983051:MPZ983053 MZV983051:MZV983053 NJR983051:NJR983053 NTN983051:NTN983053 ODJ983051:ODJ983053 ONF983051:ONF983053 OXB983051:OXB983053 PGX983051:PGX983053 PQT983051:PQT983053 QAP983051:QAP983053 QKL983051:QKL983053 QUH983051:QUH983053 RED983051:RED983053 RNZ983051:RNZ983053 RXV983051:RXV983053 SHR983051:SHR983053 SRN983051:SRN983053 TBJ983051:TBJ983053 TLF983051:TLF983053 TVB983051:TVB983053 UEX983051:UEX983053 UOT983051:UOT983053 UYP983051:UYP983053 VIL983051:VIL983053 VSH983051:VSH983053 WCD983051:WCD983053 WLZ983051:WLZ983053 WVV983051:WVV983053" xr:uid="{C3235735-0380-44D0-905A-3FD44528A8A9}">
      <formula1>"Y,N"</formula1>
    </dataValidation>
  </dataValidations>
  <pageMargins left="0.75" right="0.75" top="1" bottom="1" header="0.5" footer="0.5"/>
  <pageSetup paperSize="9" orientation="portrait" verticalDpi="300" r:id="rId1"/>
  <headerFooter alignWithMargins="0">
    <oddHeader>&amp;L&amp;"Arial"&amp;9&amp;K0078D7 INTERNAL&amp;1#_x000D_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5767A-AC28-49A5-9F87-A0B7B3207B9B}">
  <sheetPr codeName="Sheet26"/>
  <dimension ref="A1:N97"/>
  <sheetViews>
    <sheetView workbookViewId="0">
      <selection activeCell="H10" sqref="H10"/>
    </sheetView>
  </sheetViews>
  <sheetFormatPr defaultColWidth="9.1796875" defaultRowHeight="10"/>
  <cols>
    <col min="1" max="1" width="29" style="492" customWidth="1"/>
    <col min="2" max="2" width="18.54296875" style="490" bestFit="1" customWidth="1"/>
    <col min="3" max="3" width="8.1796875" style="490" bestFit="1" customWidth="1"/>
    <col min="4" max="5" width="8.453125" style="490" bestFit="1" customWidth="1"/>
    <col min="6" max="6" width="7.453125" style="490" bestFit="1" customWidth="1"/>
    <col min="7" max="7" width="23.453125" style="493" customWidth="1"/>
    <col min="8" max="8" width="17.1796875" style="493" bestFit="1" customWidth="1"/>
    <col min="9" max="9" width="23.453125" style="493" customWidth="1"/>
    <col min="10" max="10" width="28.54296875" style="490" bestFit="1" customWidth="1"/>
    <col min="11" max="12" width="9.1796875" style="490"/>
    <col min="13" max="13" width="13.453125" style="23" customWidth="1"/>
    <col min="14" max="256" width="9.1796875" style="23"/>
    <col min="257" max="257" width="29" style="23" customWidth="1"/>
    <col min="258" max="258" width="18.54296875" style="23" bestFit="1" customWidth="1"/>
    <col min="259" max="259" width="8.1796875" style="23" bestFit="1" customWidth="1"/>
    <col min="260" max="261" width="8.453125" style="23" bestFit="1" customWidth="1"/>
    <col min="262" max="262" width="7.453125" style="23" bestFit="1" customWidth="1"/>
    <col min="263" max="263" width="23.453125" style="23" customWidth="1"/>
    <col min="264" max="264" width="17.1796875" style="23" bestFit="1" customWidth="1"/>
    <col min="265" max="265" width="23.453125" style="23" customWidth="1"/>
    <col min="266" max="266" width="28.54296875" style="23" bestFit="1" customWidth="1"/>
    <col min="267" max="268" width="9.1796875" style="23"/>
    <col min="269" max="269" width="13.453125" style="23" customWidth="1"/>
    <col min="270" max="512" width="9.1796875" style="23"/>
    <col min="513" max="513" width="29" style="23" customWidth="1"/>
    <col min="514" max="514" width="18.54296875" style="23" bestFit="1" customWidth="1"/>
    <col min="515" max="515" width="8.1796875" style="23" bestFit="1" customWidth="1"/>
    <col min="516" max="517" width="8.453125" style="23" bestFit="1" customWidth="1"/>
    <col min="518" max="518" width="7.453125" style="23" bestFit="1" customWidth="1"/>
    <col min="519" max="519" width="23.453125" style="23" customWidth="1"/>
    <col min="520" max="520" width="17.1796875" style="23" bestFit="1" customWidth="1"/>
    <col min="521" max="521" width="23.453125" style="23" customWidth="1"/>
    <col min="522" max="522" width="28.54296875" style="23" bestFit="1" customWidth="1"/>
    <col min="523" max="524" width="9.1796875" style="23"/>
    <col min="525" max="525" width="13.453125" style="23" customWidth="1"/>
    <col min="526" max="768" width="9.1796875" style="23"/>
    <col min="769" max="769" width="29" style="23" customWidth="1"/>
    <col min="770" max="770" width="18.54296875" style="23" bestFit="1" customWidth="1"/>
    <col min="771" max="771" width="8.1796875" style="23" bestFit="1" customWidth="1"/>
    <col min="772" max="773" width="8.453125" style="23" bestFit="1" customWidth="1"/>
    <col min="774" max="774" width="7.453125" style="23" bestFit="1" customWidth="1"/>
    <col min="775" max="775" width="23.453125" style="23" customWidth="1"/>
    <col min="776" max="776" width="17.1796875" style="23" bestFit="1" customWidth="1"/>
    <col min="777" max="777" width="23.453125" style="23" customWidth="1"/>
    <col min="778" max="778" width="28.54296875" style="23" bestFit="1" customWidth="1"/>
    <col min="779" max="780" width="9.1796875" style="23"/>
    <col min="781" max="781" width="13.453125" style="23" customWidth="1"/>
    <col min="782" max="1024" width="9.1796875" style="23"/>
    <col min="1025" max="1025" width="29" style="23" customWidth="1"/>
    <col min="1026" max="1026" width="18.54296875" style="23" bestFit="1" customWidth="1"/>
    <col min="1027" max="1027" width="8.1796875" style="23" bestFit="1" customWidth="1"/>
    <col min="1028" max="1029" width="8.453125" style="23" bestFit="1" customWidth="1"/>
    <col min="1030" max="1030" width="7.453125" style="23" bestFit="1" customWidth="1"/>
    <col min="1031" max="1031" width="23.453125" style="23" customWidth="1"/>
    <col min="1032" max="1032" width="17.1796875" style="23" bestFit="1" customWidth="1"/>
    <col min="1033" max="1033" width="23.453125" style="23" customWidth="1"/>
    <col min="1034" max="1034" width="28.54296875" style="23" bestFit="1" customWidth="1"/>
    <col min="1035" max="1036" width="9.1796875" style="23"/>
    <col min="1037" max="1037" width="13.453125" style="23" customWidth="1"/>
    <col min="1038" max="1280" width="9.1796875" style="23"/>
    <col min="1281" max="1281" width="29" style="23" customWidth="1"/>
    <col min="1282" max="1282" width="18.54296875" style="23" bestFit="1" customWidth="1"/>
    <col min="1283" max="1283" width="8.1796875" style="23" bestFit="1" customWidth="1"/>
    <col min="1284" max="1285" width="8.453125" style="23" bestFit="1" customWidth="1"/>
    <col min="1286" max="1286" width="7.453125" style="23" bestFit="1" customWidth="1"/>
    <col min="1287" max="1287" width="23.453125" style="23" customWidth="1"/>
    <col min="1288" max="1288" width="17.1796875" style="23" bestFit="1" customWidth="1"/>
    <col min="1289" max="1289" width="23.453125" style="23" customWidth="1"/>
    <col min="1290" max="1290" width="28.54296875" style="23" bestFit="1" customWidth="1"/>
    <col min="1291" max="1292" width="9.1796875" style="23"/>
    <col min="1293" max="1293" width="13.453125" style="23" customWidth="1"/>
    <col min="1294" max="1536" width="9.1796875" style="23"/>
    <col min="1537" max="1537" width="29" style="23" customWidth="1"/>
    <col min="1538" max="1538" width="18.54296875" style="23" bestFit="1" customWidth="1"/>
    <col min="1539" max="1539" width="8.1796875" style="23" bestFit="1" customWidth="1"/>
    <col min="1540" max="1541" width="8.453125" style="23" bestFit="1" customWidth="1"/>
    <col min="1542" max="1542" width="7.453125" style="23" bestFit="1" customWidth="1"/>
    <col min="1543" max="1543" width="23.453125" style="23" customWidth="1"/>
    <col min="1544" max="1544" width="17.1796875" style="23" bestFit="1" customWidth="1"/>
    <col min="1545" max="1545" width="23.453125" style="23" customWidth="1"/>
    <col min="1546" max="1546" width="28.54296875" style="23" bestFit="1" customWidth="1"/>
    <col min="1547" max="1548" width="9.1796875" style="23"/>
    <col min="1549" max="1549" width="13.453125" style="23" customWidth="1"/>
    <col min="1550" max="1792" width="9.1796875" style="23"/>
    <col min="1793" max="1793" width="29" style="23" customWidth="1"/>
    <col min="1794" max="1794" width="18.54296875" style="23" bestFit="1" customWidth="1"/>
    <col min="1795" max="1795" width="8.1796875" style="23" bestFit="1" customWidth="1"/>
    <col min="1796" max="1797" width="8.453125" style="23" bestFit="1" customWidth="1"/>
    <col min="1798" max="1798" width="7.453125" style="23" bestFit="1" customWidth="1"/>
    <col min="1799" max="1799" width="23.453125" style="23" customWidth="1"/>
    <col min="1800" max="1800" width="17.1796875" style="23" bestFit="1" customWidth="1"/>
    <col min="1801" max="1801" width="23.453125" style="23" customWidth="1"/>
    <col min="1802" max="1802" width="28.54296875" style="23" bestFit="1" customWidth="1"/>
    <col min="1803" max="1804" width="9.1796875" style="23"/>
    <col min="1805" max="1805" width="13.453125" style="23" customWidth="1"/>
    <col min="1806" max="2048" width="9.1796875" style="23"/>
    <col min="2049" max="2049" width="29" style="23" customWidth="1"/>
    <col min="2050" max="2050" width="18.54296875" style="23" bestFit="1" customWidth="1"/>
    <col min="2051" max="2051" width="8.1796875" style="23" bestFit="1" customWidth="1"/>
    <col min="2052" max="2053" width="8.453125" style="23" bestFit="1" customWidth="1"/>
    <col min="2054" max="2054" width="7.453125" style="23" bestFit="1" customWidth="1"/>
    <col min="2055" max="2055" width="23.453125" style="23" customWidth="1"/>
    <col min="2056" max="2056" width="17.1796875" style="23" bestFit="1" customWidth="1"/>
    <col min="2057" max="2057" width="23.453125" style="23" customWidth="1"/>
    <col min="2058" max="2058" width="28.54296875" style="23" bestFit="1" customWidth="1"/>
    <col min="2059" max="2060" width="9.1796875" style="23"/>
    <col min="2061" max="2061" width="13.453125" style="23" customWidth="1"/>
    <col min="2062" max="2304" width="9.1796875" style="23"/>
    <col min="2305" max="2305" width="29" style="23" customWidth="1"/>
    <col min="2306" max="2306" width="18.54296875" style="23" bestFit="1" customWidth="1"/>
    <col min="2307" max="2307" width="8.1796875" style="23" bestFit="1" customWidth="1"/>
    <col min="2308" max="2309" width="8.453125" style="23" bestFit="1" customWidth="1"/>
    <col min="2310" max="2310" width="7.453125" style="23" bestFit="1" customWidth="1"/>
    <col min="2311" max="2311" width="23.453125" style="23" customWidth="1"/>
    <col min="2312" max="2312" width="17.1796875" style="23" bestFit="1" customWidth="1"/>
    <col min="2313" max="2313" width="23.453125" style="23" customWidth="1"/>
    <col min="2314" max="2314" width="28.54296875" style="23" bestFit="1" customWidth="1"/>
    <col min="2315" max="2316" width="9.1796875" style="23"/>
    <col min="2317" max="2317" width="13.453125" style="23" customWidth="1"/>
    <col min="2318" max="2560" width="9.1796875" style="23"/>
    <col min="2561" max="2561" width="29" style="23" customWidth="1"/>
    <col min="2562" max="2562" width="18.54296875" style="23" bestFit="1" customWidth="1"/>
    <col min="2563" max="2563" width="8.1796875" style="23" bestFit="1" customWidth="1"/>
    <col min="2564" max="2565" width="8.453125" style="23" bestFit="1" customWidth="1"/>
    <col min="2566" max="2566" width="7.453125" style="23" bestFit="1" customWidth="1"/>
    <col min="2567" max="2567" width="23.453125" style="23" customWidth="1"/>
    <col min="2568" max="2568" width="17.1796875" style="23" bestFit="1" customWidth="1"/>
    <col min="2569" max="2569" width="23.453125" style="23" customWidth="1"/>
    <col min="2570" max="2570" width="28.54296875" style="23" bestFit="1" customWidth="1"/>
    <col min="2571" max="2572" width="9.1796875" style="23"/>
    <col min="2573" max="2573" width="13.453125" style="23" customWidth="1"/>
    <col min="2574" max="2816" width="9.1796875" style="23"/>
    <col min="2817" max="2817" width="29" style="23" customWidth="1"/>
    <col min="2818" max="2818" width="18.54296875" style="23" bestFit="1" customWidth="1"/>
    <col min="2819" max="2819" width="8.1796875" style="23" bestFit="1" customWidth="1"/>
    <col min="2820" max="2821" width="8.453125" style="23" bestFit="1" customWidth="1"/>
    <col min="2822" max="2822" width="7.453125" style="23" bestFit="1" customWidth="1"/>
    <col min="2823" max="2823" width="23.453125" style="23" customWidth="1"/>
    <col min="2824" max="2824" width="17.1796875" style="23" bestFit="1" customWidth="1"/>
    <col min="2825" max="2825" width="23.453125" style="23" customWidth="1"/>
    <col min="2826" max="2826" width="28.54296875" style="23" bestFit="1" customWidth="1"/>
    <col min="2827" max="2828" width="9.1796875" style="23"/>
    <col min="2829" max="2829" width="13.453125" style="23" customWidth="1"/>
    <col min="2830" max="3072" width="9.1796875" style="23"/>
    <col min="3073" max="3073" width="29" style="23" customWidth="1"/>
    <col min="3074" max="3074" width="18.54296875" style="23" bestFit="1" customWidth="1"/>
    <col min="3075" max="3075" width="8.1796875" style="23" bestFit="1" customWidth="1"/>
    <col min="3076" max="3077" width="8.453125" style="23" bestFit="1" customWidth="1"/>
    <col min="3078" max="3078" width="7.453125" style="23" bestFit="1" customWidth="1"/>
    <col min="3079" max="3079" width="23.453125" style="23" customWidth="1"/>
    <col min="3080" max="3080" width="17.1796875" style="23" bestFit="1" customWidth="1"/>
    <col min="3081" max="3081" width="23.453125" style="23" customWidth="1"/>
    <col min="3082" max="3082" width="28.54296875" style="23" bestFit="1" customWidth="1"/>
    <col min="3083" max="3084" width="9.1796875" style="23"/>
    <col min="3085" max="3085" width="13.453125" style="23" customWidth="1"/>
    <col min="3086" max="3328" width="9.1796875" style="23"/>
    <col min="3329" max="3329" width="29" style="23" customWidth="1"/>
    <col min="3330" max="3330" width="18.54296875" style="23" bestFit="1" customWidth="1"/>
    <col min="3331" max="3331" width="8.1796875" style="23" bestFit="1" customWidth="1"/>
    <col min="3332" max="3333" width="8.453125" style="23" bestFit="1" customWidth="1"/>
    <col min="3334" max="3334" width="7.453125" style="23" bestFit="1" customWidth="1"/>
    <col min="3335" max="3335" width="23.453125" style="23" customWidth="1"/>
    <col min="3336" max="3336" width="17.1796875" style="23" bestFit="1" customWidth="1"/>
    <col min="3337" max="3337" width="23.453125" style="23" customWidth="1"/>
    <col min="3338" max="3338" width="28.54296875" style="23" bestFit="1" customWidth="1"/>
    <col min="3339" max="3340" width="9.1796875" style="23"/>
    <col min="3341" max="3341" width="13.453125" style="23" customWidth="1"/>
    <col min="3342" max="3584" width="9.1796875" style="23"/>
    <col min="3585" max="3585" width="29" style="23" customWidth="1"/>
    <col min="3586" max="3586" width="18.54296875" style="23" bestFit="1" customWidth="1"/>
    <col min="3587" max="3587" width="8.1796875" style="23" bestFit="1" customWidth="1"/>
    <col min="3588" max="3589" width="8.453125" style="23" bestFit="1" customWidth="1"/>
    <col min="3590" max="3590" width="7.453125" style="23" bestFit="1" customWidth="1"/>
    <col min="3591" max="3591" width="23.453125" style="23" customWidth="1"/>
    <col min="3592" max="3592" width="17.1796875" style="23" bestFit="1" customWidth="1"/>
    <col min="3593" max="3593" width="23.453125" style="23" customWidth="1"/>
    <col min="3594" max="3594" width="28.54296875" style="23" bestFit="1" customWidth="1"/>
    <col min="3595" max="3596" width="9.1796875" style="23"/>
    <col min="3597" max="3597" width="13.453125" style="23" customWidth="1"/>
    <col min="3598" max="3840" width="9.1796875" style="23"/>
    <col min="3841" max="3841" width="29" style="23" customWidth="1"/>
    <col min="3842" max="3842" width="18.54296875" style="23" bestFit="1" customWidth="1"/>
    <col min="3843" max="3843" width="8.1796875" style="23" bestFit="1" customWidth="1"/>
    <col min="3844" max="3845" width="8.453125" style="23" bestFit="1" customWidth="1"/>
    <col min="3846" max="3846" width="7.453125" style="23" bestFit="1" customWidth="1"/>
    <col min="3847" max="3847" width="23.453125" style="23" customWidth="1"/>
    <col min="3848" max="3848" width="17.1796875" style="23" bestFit="1" customWidth="1"/>
    <col min="3849" max="3849" width="23.453125" style="23" customWidth="1"/>
    <col min="3850" max="3850" width="28.54296875" style="23" bestFit="1" customWidth="1"/>
    <col min="3851" max="3852" width="9.1796875" style="23"/>
    <col min="3853" max="3853" width="13.453125" style="23" customWidth="1"/>
    <col min="3854" max="4096" width="9.1796875" style="23"/>
    <col min="4097" max="4097" width="29" style="23" customWidth="1"/>
    <col min="4098" max="4098" width="18.54296875" style="23" bestFit="1" customWidth="1"/>
    <col min="4099" max="4099" width="8.1796875" style="23" bestFit="1" customWidth="1"/>
    <col min="4100" max="4101" width="8.453125" style="23" bestFit="1" customWidth="1"/>
    <col min="4102" max="4102" width="7.453125" style="23" bestFit="1" customWidth="1"/>
    <col min="4103" max="4103" width="23.453125" style="23" customWidth="1"/>
    <col min="4104" max="4104" width="17.1796875" style="23" bestFit="1" customWidth="1"/>
    <col min="4105" max="4105" width="23.453125" style="23" customWidth="1"/>
    <col min="4106" max="4106" width="28.54296875" style="23" bestFit="1" customWidth="1"/>
    <col min="4107" max="4108" width="9.1796875" style="23"/>
    <col min="4109" max="4109" width="13.453125" style="23" customWidth="1"/>
    <col min="4110" max="4352" width="9.1796875" style="23"/>
    <col min="4353" max="4353" width="29" style="23" customWidth="1"/>
    <col min="4354" max="4354" width="18.54296875" style="23" bestFit="1" customWidth="1"/>
    <col min="4355" max="4355" width="8.1796875" style="23" bestFit="1" customWidth="1"/>
    <col min="4356" max="4357" width="8.453125" style="23" bestFit="1" customWidth="1"/>
    <col min="4358" max="4358" width="7.453125" style="23" bestFit="1" customWidth="1"/>
    <col min="4359" max="4359" width="23.453125" style="23" customWidth="1"/>
    <col min="4360" max="4360" width="17.1796875" style="23" bestFit="1" customWidth="1"/>
    <col min="4361" max="4361" width="23.453125" style="23" customWidth="1"/>
    <col min="4362" max="4362" width="28.54296875" style="23" bestFit="1" customWidth="1"/>
    <col min="4363" max="4364" width="9.1796875" style="23"/>
    <col min="4365" max="4365" width="13.453125" style="23" customWidth="1"/>
    <col min="4366" max="4608" width="9.1796875" style="23"/>
    <col min="4609" max="4609" width="29" style="23" customWidth="1"/>
    <col min="4610" max="4610" width="18.54296875" style="23" bestFit="1" customWidth="1"/>
    <col min="4611" max="4611" width="8.1796875" style="23" bestFit="1" customWidth="1"/>
    <col min="4612" max="4613" width="8.453125" style="23" bestFit="1" customWidth="1"/>
    <col min="4614" max="4614" width="7.453125" style="23" bestFit="1" customWidth="1"/>
    <col min="4615" max="4615" width="23.453125" style="23" customWidth="1"/>
    <col min="4616" max="4616" width="17.1796875" style="23" bestFit="1" customWidth="1"/>
    <col min="4617" max="4617" width="23.453125" style="23" customWidth="1"/>
    <col min="4618" max="4618" width="28.54296875" style="23" bestFit="1" customWidth="1"/>
    <col min="4619" max="4620" width="9.1796875" style="23"/>
    <col min="4621" max="4621" width="13.453125" style="23" customWidth="1"/>
    <col min="4622" max="4864" width="9.1796875" style="23"/>
    <col min="4865" max="4865" width="29" style="23" customWidth="1"/>
    <col min="4866" max="4866" width="18.54296875" style="23" bestFit="1" customWidth="1"/>
    <col min="4867" max="4867" width="8.1796875" style="23" bestFit="1" customWidth="1"/>
    <col min="4868" max="4869" width="8.453125" style="23" bestFit="1" customWidth="1"/>
    <col min="4870" max="4870" width="7.453125" style="23" bestFit="1" customWidth="1"/>
    <col min="4871" max="4871" width="23.453125" style="23" customWidth="1"/>
    <col min="4872" max="4872" width="17.1796875" style="23" bestFit="1" customWidth="1"/>
    <col min="4873" max="4873" width="23.453125" style="23" customWidth="1"/>
    <col min="4874" max="4874" width="28.54296875" style="23" bestFit="1" customWidth="1"/>
    <col min="4875" max="4876" width="9.1796875" style="23"/>
    <col min="4877" max="4877" width="13.453125" style="23" customWidth="1"/>
    <col min="4878" max="5120" width="9.1796875" style="23"/>
    <col min="5121" max="5121" width="29" style="23" customWidth="1"/>
    <col min="5122" max="5122" width="18.54296875" style="23" bestFit="1" customWidth="1"/>
    <col min="5123" max="5123" width="8.1796875" style="23" bestFit="1" customWidth="1"/>
    <col min="5124" max="5125" width="8.453125" style="23" bestFit="1" customWidth="1"/>
    <col min="5126" max="5126" width="7.453125" style="23" bestFit="1" customWidth="1"/>
    <col min="5127" max="5127" width="23.453125" style="23" customWidth="1"/>
    <col min="5128" max="5128" width="17.1796875" style="23" bestFit="1" customWidth="1"/>
    <col min="5129" max="5129" width="23.453125" style="23" customWidth="1"/>
    <col min="5130" max="5130" width="28.54296875" style="23" bestFit="1" customWidth="1"/>
    <col min="5131" max="5132" width="9.1796875" style="23"/>
    <col min="5133" max="5133" width="13.453125" style="23" customWidth="1"/>
    <col min="5134" max="5376" width="9.1796875" style="23"/>
    <col min="5377" max="5377" width="29" style="23" customWidth="1"/>
    <col min="5378" max="5378" width="18.54296875" style="23" bestFit="1" customWidth="1"/>
    <col min="5379" max="5379" width="8.1796875" style="23" bestFit="1" customWidth="1"/>
    <col min="5380" max="5381" width="8.453125" style="23" bestFit="1" customWidth="1"/>
    <col min="5382" max="5382" width="7.453125" style="23" bestFit="1" customWidth="1"/>
    <col min="5383" max="5383" width="23.453125" style="23" customWidth="1"/>
    <col min="5384" max="5384" width="17.1796875" style="23" bestFit="1" customWidth="1"/>
    <col min="5385" max="5385" width="23.453125" style="23" customWidth="1"/>
    <col min="5386" max="5386" width="28.54296875" style="23" bestFit="1" customWidth="1"/>
    <col min="5387" max="5388" width="9.1796875" style="23"/>
    <col min="5389" max="5389" width="13.453125" style="23" customWidth="1"/>
    <col min="5390" max="5632" width="9.1796875" style="23"/>
    <col min="5633" max="5633" width="29" style="23" customWidth="1"/>
    <col min="5634" max="5634" width="18.54296875" style="23" bestFit="1" customWidth="1"/>
    <col min="5635" max="5635" width="8.1796875" style="23" bestFit="1" customWidth="1"/>
    <col min="5636" max="5637" width="8.453125" style="23" bestFit="1" customWidth="1"/>
    <col min="5638" max="5638" width="7.453125" style="23" bestFit="1" customWidth="1"/>
    <col min="5639" max="5639" width="23.453125" style="23" customWidth="1"/>
    <col min="5640" max="5640" width="17.1796875" style="23" bestFit="1" customWidth="1"/>
    <col min="5641" max="5641" width="23.453125" style="23" customWidth="1"/>
    <col min="5642" max="5642" width="28.54296875" style="23" bestFit="1" customWidth="1"/>
    <col min="5643" max="5644" width="9.1796875" style="23"/>
    <col min="5645" max="5645" width="13.453125" style="23" customWidth="1"/>
    <col min="5646" max="5888" width="9.1796875" style="23"/>
    <col min="5889" max="5889" width="29" style="23" customWidth="1"/>
    <col min="5890" max="5890" width="18.54296875" style="23" bestFit="1" customWidth="1"/>
    <col min="5891" max="5891" width="8.1796875" style="23" bestFit="1" customWidth="1"/>
    <col min="5892" max="5893" width="8.453125" style="23" bestFit="1" customWidth="1"/>
    <col min="5894" max="5894" width="7.453125" style="23" bestFit="1" customWidth="1"/>
    <col min="5895" max="5895" width="23.453125" style="23" customWidth="1"/>
    <col min="5896" max="5896" width="17.1796875" style="23" bestFit="1" customWidth="1"/>
    <col min="5897" max="5897" width="23.453125" style="23" customWidth="1"/>
    <col min="5898" max="5898" width="28.54296875" style="23" bestFit="1" customWidth="1"/>
    <col min="5899" max="5900" width="9.1796875" style="23"/>
    <col min="5901" max="5901" width="13.453125" style="23" customWidth="1"/>
    <col min="5902" max="6144" width="9.1796875" style="23"/>
    <col min="6145" max="6145" width="29" style="23" customWidth="1"/>
    <col min="6146" max="6146" width="18.54296875" style="23" bestFit="1" customWidth="1"/>
    <col min="6147" max="6147" width="8.1796875" style="23" bestFit="1" customWidth="1"/>
    <col min="6148" max="6149" width="8.453125" style="23" bestFit="1" customWidth="1"/>
    <col min="6150" max="6150" width="7.453125" style="23" bestFit="1" customWidth="1"/>
    <col min="6151" max="6151" width="23.453125" style="23" customWidth="1"/>
    <col min="6152" max="6152" width="17.1796875" style="23" bestFit="1" customWidth="1"/>
    <col min="6153" max="6153" width="23.453125" style="23" customWidth="1"/>
    <col min="6154" max="6154" width="28.54296875" style="23" bestFit="1" customWidth="1"/>
    <col min="6155" max="6156" width="9.1796875" style="23"/>
    <col min="6157" max="6157" width="13.453125" style="23" customWidth="1"/>
    <col min="6158" max="6400" width="9.1796875" style="23"/>
    <col min="6401" max="6401" width="29" style="23" customWidth="1"/>
    <col min="6402" max="6402" width="18.54296875" style="23" bestFit="1" customWidth="1"/>
    <col min="6403" max="6403" width="8.1796875" style="23" bestFit="1" customWidth="1"/>
    <col min="6404" max="6405" width="8.453125" style="23" bestFit="1" customWidth="1"/>
    <col min="6406" max="6406" width="7.453125" style="23" bestFit="1" customWidth="1"/>
    <col min="6407" max="6407" width="23.453125" style="23" customWidth="1"/>
    <col min="6408" max="6408" width="17.1796875" style="23" bestFit="1" customWidth="1"/>
    <col min="6409" max="6409" width="23.453125" style="23" customWidth="1"/>
    <col min="6410" max="6410" width="28.54296875" style="23" bestFit="1" customWidth="1"/>
    <col min="6411" max="6412" width="9.1796875" style="23"/>
    <col min="6413" max="6413" width="13.453125" style="23" customWidth="1"/>
    <col min="6414" max="6656" width="9.1796875" style="23"/>
    <col min="6657" max="6657" width="29" style="23" customWidth="1"/>
    <col min="6658" max="6658" width="18.54296875" style="23" bestFit="1" customWidth="1"/>
    <col min="6659" max="6659" width="8.1796875" style="23" bestFit="1" customWidth="1"/>
    <col min="6660" max="6661" width="8.453125" style="23" bestFit="1" customWidth="1"/>
    <col min="6662" max="6662" width="7.453125" style="23" bestFit="1" customWidth="1"/>
    <col min="6663" max="6663" width="23.453125" style="23" customWidth="1"/>
    <col min="6664" max="6664" width="17.1796875" style="23" bestFit="1" customWidth="1"/>
    <col min="6665" max="6665" width="23.453125" style="23" customWidth="1"/>
    <col min="6666" max="6666" width="28.54296875" style="23" bestFit="1" customWidth="1"/>
    <col min="6667" max="6668" width="9.1796875" style="23"/>
    <col min="6669" max="6669" width="13.453125" style="23" customWidth="1"/>
    <col min="6670" max="6912" width="9.1796875" style="23"/>
    <col min="6913" max="6913" width="29" style="23" customWidth="1"/>
    <col min="6914" max="6914" width="18.54296875" style="23" bestFit="1" customWidth="1"/>
    <col min="6915" max="6915" width="8.1796875" style="23" bestFit="1" customWidth="1"/>
    <col min="6916" max="6917" width="8.453125" style="23" bestFit="1" customWidth="1"/>
    <col min="6918" max="6918" width="7.453125" style="23" bestFit="1" customWidth="1"/>
    <col min="6919" max="6919" width="23.453125" style="23" customWidth="1"/>
    <col min="6920" max="6920" width="17.1796875" style="23" bestFit="1" customWidth="1"/>
    <col min="6921" max="6921" width="23.453125" style="23" customWidth="1"/>
    <col min="6922" max="6922" width="28.54296875" style="23" bestFit="1" customWidth="1"/>
    <col min="6923" max="6924" width="9.1796875" style="23"/>
    <col min="6925" max="6925" width="13.453125" style="23" customWidth="1"/>
    <col min="6926" max="7168" width="9.1796875" style="23"/>
    <col min="7169" max="7169" width="29" style="23" customWidth="1"/>
    <col min="7170" max="7170" width="18.54296875" style="23" bestFit="1" customWidth="1"/>
    <col min="7171" max="7171" width="8.1796875" style="23" bestFit="1" customWidth="1"/>
    <col min="7172" max="7173" width="8.453125" style="23" bestFit="1" customWidth="1"/>
    <col min="7174" max="7174" width="7.453125" style="23" bestFit="1" customWidth="1"/>
    <col min="7175" max="7175" width="23.453125" style="23" customWidth="1"/>
    <col min="7176" max="7176" width="17.1796875" style="23" bestFit="1" customWidth="1"/>
    <col min="7177" max="7177" width="23.453125" style="23" customWidth="1"/>
    <col min="7178" max="7178" width="28.54296875" style="23" bestFit="1" customWidth="1"/>
    <col min="7179" max="7180" width="9.1796875" style="23"/>
    <col min="7181" max="7181" width="13.453125" style="23" customWidth="1"/>
    <col min="7182" max="7424" width="9.1796875" style="23"/>
    <col min="7425" max="7425" width="29" style="23" customWidth="1"/>
    <col min="7426" max="7426" width="18.54296875" style="23" bestFit="1" customWidth="1"/>
    <col min="7427" max="7427" width="8.1796875" style="23" bestFit="1" customWidth="1"/>
    <col min="7428" max="7429" width="8.453125" style="23" bestFit="1" customWidth="1"/>
    <col min="7430" max="7430" width="7.453125" style="23" bestFit="1" customWidth="1"/>
    <col min="7431" max="7431" width="23.453125" style="23" customWidth="1"/>
    <col min="7432" max="7432" width="17.1796875" style="23" bestFit="1" customWidth="1"/>
    <col min="7433" max="7433" width="23.453125" style="23" customWidth="1"/>
    <col min="7434" max="7434" width="28.54296875" style="23" bestFit="1" customWidth="1"/>
    <col min="7435" max="7436" width="9.1796875" style="23"/>
    <col min="7437" max="7437" width="13.453125" style="23" customWidth="1"/>
    <col min="7438" max="7680" width="9.1796875" style="23"/>
    <col min="7681" max="7681" width="29" style="23" customWidth="1"/>
    <col min="7682" max="7682" width="18.54296875" style="23" bestFit="1" customWidth="1"/>
    <col min="7683" max="7683" width="8.1796875" style="23" bestFit="1" customWidth="1"/>
    <col min="7684" max="7685" width="8.453125" style="23" bestFit="1" customWidth="1"/>
    <col min="7686" max="7686" width="7.453125" style="23" bestFit="1" customWidth="1"/>
    <col min="7687" max="7687" width="23.453125" style="23" customWidth="1"/>
    <col min="7688" max="7688" width="17.1796875" style="23" bestFit="1" customWidth="1"/>
    <col min="7689" max="7689" width="23.453125" style="23" customWidth="1"/>
    <col min="7690" max="7690" width="28.54296875" style="23" bestFit="1" customWidth="1"/>
    <col min="7691" max="7692" width="9.1796875" style="23"/>
    <col min="7693" max="7693" width="13.453125" style="23" customWidth="1"/>
    <col min="7694" max="7936" width="9.1796875" style="23"/>
    <col min="7937" max="7937" width="29" style="23" customWidth="1"/>
    <col min="7938" max="7938" width="18.54296875" style="23" bestFit="1" customWidth="1"/>
    <col min="7939" max="7939" width="8.1796875" style="23" bestFit="1" customWidth="1"/>
    <col min="7940" max="7941" width="8.453125" style="23" bestFit="1" customWidth="1"/>
    <col min="7942" max="7942" width="7.453125" style="23" bestFit="1" customWidth="1"/>
    <col min="7943" max="7943" width="23.453125" style="23" customWidth="1"/>
    <col min="7944" max="7944" width="17.1796875" style="23" bestFit="1" customWidth="1"/>
    <col min="7945" max="7945" width="23.453125" style="23" customWidth="1"/>
    <col min="7946" max="7946" width="28.54296875" style="23" bestFit="1" customWidth="1"/>
    <col min="7947" max="7948" width="9.1796875" style="23"/>
    <col min="7949" max="7949" width="13.453125" style="23" customWidth="1"/>
    <col min="7950" max="8192" width="9.1796875" style="23"/>
    <col min="8193" max="8193" width="29" style="23" customWidth="1"/>
    <col min="8194" max="8194" width="18.54296875" style="23" bestFit="1" customWidth="1"/>
    <col min="8195" max="8195" width="8.1796875" style="23" bestFit="1" customWidth="1"/>
    <col min="8196" max="8197" width="8.453125" style="23" bestFit="1" customWidth="1"/>
    <col min="8198" max="8198" width="7.453125" style="23" bestFit="1" customWidth="1"/>
    <col min="8199" max="8199" width="23.453125" style="23" customWidth="1"/>
    <col min="8200" max="8200" width="17.1796875" style="23" bestFit="1" customWidth="1"/>
    <col min="8201" max="8201" width="23.453125" style="23" customWidth="1"/>
    <col min="8202" max="8202" width="28.54296875" style="23" bestFit="1" customWidth="1"/>
    <col min="8203" max="8204" width="9.1796875" style="23"/>
    <col min="8205" max="8205" width="13.453125" style="23" customWidth="1"/>
    <col min="8206" max="8448" width="9.1796875" style="23"/>
    <col min="8449" max="8449" width="29" style="23" customWidth="1"/>
    <col min="8450" max="8450" width="18.54296875" style="23" bestFit="1" customWidth="1"/>
    <col min="8451" max="8451" width="8.1796875" style="23" bestFit="1" customWidth="1"/>
    <col min="8452" max="8453" width="8.453125" style="23" bestFit="1" customWidth="1"/>
    <col min="8454" max="8454" width="7.453125" style="23" bestFit="1" customWidth="1"/>
    <col min="8455" max="8455" width="23.453125" style="23" customWidth="1"/>
    <col min="8456" max="8456" width="17.1796875" style="23" bestFit="1" customWidth="1"/>
    <col min="8457" max="8457" width="23.453125" style="23" customWidth="1"/>
    <col min="8458" max="8458" width="28.54296875" style="23" bestFit="1" customWidth="1"/>
    <col min="8459" max="8460" width="9.1796875" style="23"/>
    <col min="8461" max="8461" width="13.453125" style="23" customWidth="1"/>
    <col min="8462" max="8704" width="9.1796875" style="23"/>
    <col min="8705" max="8705" width="29" style="23" customWidth="1"/>
    <col min="8706" max="8706" width="18.54296875" style="23" bestFit="1" customWidth="1"/>
    <col min="8707" max="8707" width="8.1796875" style="23" bestFit="1" customWidth="1"/>
    <col min="8708" max="8709" width="8.453125" style="23" bestFit="1" customWidth="1"/>
    <col min="8710" max="8710" width="7.453125" style="23" bestFit="1" customWidth="1"/>
    <col min="8711" max="8711" width="23.453125" style="23" customWidth="1"/>
    <col min="8712" max="8712" width="17.1796875" style="23" bestFit="1" customWidth="1"/>
    <col min="8713" max="8713" width="23.453125" style="23" customWidth="1"/>
    <col min="8714" max="8714" width="28.54296875" style="23" bestFit="1" customWidth="1"/>
    <col min="8715" max="8716" width="9.1796875" style="23"/>
    <col min="8717" max="8717" width="13.453125" style="23" customWidth="1"/>
    <col min="8718" max="8960" width="9.1796875" style="23"/>
    <col min="8961" max="8961" width="29" style="23" customWidth="1"/>
    <col min="8962" max="8962" width="18.54296875" style="23" bestFit="1" customWidth="1"/>
    <col min="8963" max="8963" width="8.1796875" style="23" bestFit="1" customWidth="1"/>
    <col min="8964" max="8965" width="8.453125" style="23" bestFit="1" customWidth="1"/>
    <col min="8966" max="8966" width="7.453125" style="23" bestFit="1" customWidth="1"/>
    <col min="8967" max="8967" width="23.453125" style="23" customWidth="1"/>
    <col min="8968" max="8968" width="17.1796875" style="23" bestFit="1" customWidth="1"/>
    <col min="8969" max="8969" width="23.453125" style="23" customWidth="1"/>
    <col min="8970" max="8970" width="28.54296875" style="23" bestFit="1" customWidth="1"/>
    <col min="8971" max="8972" width="9.1796875" style="23"/>
    <col min="8973" max="8973" width="13.453125" style="23" customWidth="1"/>
    <col min="8974" max="9216" width="9.1796875" style="23"/>
    <col min="9217" max="9217" width="29" style="23" customWidth="1"/>
    <col min="9218" max="9218" width="18.54296875" style="23" bestFit="1" customWidth="1"/>
    <col min="9219" max="9219" width="8.1796875" style="23" bestFit="1" customWidth="1"/>
    <col min="9220" max="9221" width="8.453125" style="23" bestFit="1" customWidth="1"/>
    <col min="9222" max="9222" width="7.453125" style="23" bestFit="1" customWidth="1"/>
    <col min="9223" max="9223" width="23.453125" style="23" customWidth="1"/>
    <col min="9224" max="9224" width="17.1796875" style="23" bestFit="1" customWidth="1"/>
    <col min="9225" max="9225" width="23.453125" style="23" customWidth="1"/>
    <col min="9226" max="9226" width="28.54296875" style="23" bestFit="1" customWidth="1"/>
    <col min="9227" max="9228" width="9.1796875" style="23"/>
    <col min="9229" max="9229" width="13.453125" style="23" customWidth="1"/>
    <col min="9230" max="9472" width="9.1796875" style="23"/>
    <col min="9473" max="9473" width="29" style="23" customWidth="1"/>
    <col min="9474" max="9474" width="18.54296875" style="23" bestFit="1" customWidth="1"/>
    <col min="9475" max="9475" width="8.1796875" style="23" bestFit="1" customWidth="1"/>
    <col min="9476" max="9477" width="8.453125" style="23" bestFit="1" customWidth="1"/>
    <col min="9478" max="9478" width="7.453125" style="23" bestFit="1" customWidth="1"/>
    <col min="9479" max="9479" width="23.453125" style="23" customWidth="1"/>
    <col min="9480" max="9480" width="17.1796875" style="23" bestFit="1" customWidth="1"/>
    <col min="9481" max="9481" width="23.453125" style="23" customWidth="1"/>
    <col min="9482" max="9482" width="28.54296875" style="23" bestFit="1" customWidth="1"/>
    <col min="9483" max="9484" width="9.1796875" style="23"/>
    <col min="9485" max="9485" width="13.453125" style="23" customWidth="1"/>
    <col min="9486" max="9728" width="9.1796875" style="23"/>
    <col min="9729" max="9729" width="29" style="23" customWidth="1"/>
    <col min="9730" max="9730" width="18.54296875" style="23" bestFit="1" customWidth="1"/>
    <col min="9731" max="9731" width="8.1796875" style="23" bestFit="1" customWidth="1"/>
    <col min="9732" max="9733" width="8.453125" style="23" bestFit="1" customWidth="1"/>
    <col min="9734" max="9734" width="7.453125" style="23" bestFit="1" customWidth="1"/>
    <col min="9735" max="9735" width="23.453125" style="23" customWidth="1"/>
    <col min="9736" max="9736" width="17.1796875" style="23" bestFit="1" customWidth="1"/>
    <col min="9737" max="9737" width="23.453125" style="23" customWidth="1"/>
    <col min="9738" max="9738" width="28.54296875" style="23" bestFit="1" customWidth="1"/>
    <col min="9739" max="9740" width="9.1796875" style="23"/>
    <col min="9741" max="9741" width="13.453125" style="23" customWidth="1"/>
    <col min="9742" max="9984" width="9.1796875" style="23"/>
    <col min="9985" max="9985" width="29" style="23" customWidth="1"/>
    <col min="9986" max="9986" width="18.54296875" style="23" bestFit="1" customWidth="1"/>
    <col min="9987" max="9987" width="8.1796875" style="23" bestFit="1" customWidth="1"/>
    <col min="9988" max="9989" width="8.453125" style="23" bestFit="1" customWidth="1"/>
    <col min="9990" max="9990" width="7.453125" style="23" bestFit="1" customWidth="1"/>
    <col min="9991" max="9991" width="23.453125" style="23" customWidth="1"/>
    <col min="9992" max="9992" width="17.1796875" style="23" bestFit="1" customWidth="1"/>
    <col min="9993" max="9993" width="23.453125" style="23" customWidth="1"/>
    <col min="9994" max="9994" width="28.54296875" style="23" bestFit="1" customWidth="1"/>
    <col min="9995" max="9996" width="9.1796875" style="23"/>
    <col min="9997" max="9997" width="13.453125" style="23" customWidth="1"/>
    <col min="9998" max="10240" width="9.1796875" style="23"/>
    <col min="10241" max="10241" width="29" style="23" customWidth="1"/>
    <col min="10242" max="10242" width="18.54296875" style="23" bestFit="1" customWidth="1"/>
    <col min="10243" max="10243" width="8.1796875" style="23" bestFit="1" customWidth="1"/>
    <col min="10244" max="10245" width="8.453125" style="23" bestFit="1" customWidth="1"/>
    <col min="10246" max="10246" width="7.453125" style="23" bestFit="1" customWidth="1"/>
    <col min="10247" max="10247" width="23.453125" style="23" customWidth="1"/>
    <col min="10248" max="10248" width="17.1796875" style="23" bestFit="1" customWidth="1"/>
    <col min="10249" max="10249" width="23.453125" style="23" customWidth="1"/>
    <col min="10250" max="10250" width="28.54296875" style="23" bestFit="1" customWidth="1"/>
    <col min="10251" max="10252" width="9.1796875" style="23"/>
    <col min="10253" max="10253" width="13.453125" style="23" customWidth="1"/>
    <col min="10254" max="10496" width="9.1796875" style="23"/>
    <col min="10497" max="10497" width="29" style="23" customWidth="1"/>
    <col min="10498" max="10498" width="18.54296875" style="23" bestFit="1" customWidth="1"/>
    <col min="10499" max="10499" width="8.1796875" style="23" bestFit="1" customWidth="1"/>
    <col min="10500" max="10501" width="8.453125" style="23" bestFit="1" customWidth="1"/>
    <col min="10502" max="10502" width="7.453125" style="23" bestFit="1" customWidth="1"/>
    <col min="10503" max="10503" width="23.453125" style="23" customWidth="1"/>
    <col min="10504" max="10504" width="17.1796875" style="23" bestFit="1" customWidth="1"/>
    <col min="10505" max="10505" width="23.453125" style="23" customWidth="1"/>
    <col min="10506" max="10506" width="28.54296875" style="23" bestFit="1" customWidth="1"/>
    <col min="10507" max="10508" width="9.1796875" style="23"/>
    <col min="10509" max="10509" width="13.453125" style="23" customWidth="1"/>
    <col min="10510" max="10752" width="9.1796875" style="23"/>
    <col min="10753" max="10753" width="29" style="23" customWidth="1"/>
    <col min="10754" max="10754" width="18.54296875" style="23" bestFit="1" customWidth="1"/>
    <col min="10755" max="10755" width="8.1796875" style="23" bestFit="1" customWidth="1"/>
    <col min="10756" max="10757" width="8.453125" style="23" bestFit="1" customWidth="1"/>
    <col min="10758" max="10758" width="7.453125" style="23" bestFit="1" customWidth="1"/>
    <col min="10759" max="10759" width="23.453125" style="23" customWidth="1"/>
    <col min="10760" max="10760" width="17.1796875" style="23" bestFit="1" customWidth="1"/>
    <col min="10761" max="10761" width="23.453125" style="23" customWidth="1"/>
    <col min="10762" max="10762" width="28.54296875" style="23" bestFit="1" customWidth="1"/>
    <col min="10763" max="10764" width="9.1796875" style="23"/>
    <col min="10765" max="10765" width="13.453125" style="23" customWidth="1"/>
    <col min="10766" max="11008" width="9.1796875" style="23"/>
    <col min="11009" max="11009" width="29" style="23" customWidth="1"/>
    <col min="11010" max="11010" width="18.54296875" style="23" bestFit="1" customWidth="1"/>
    <col min="11011" max="11011" width="8.1796875" style="23" bestFit="1" customWidth="1"/>
    <col min="11012" max="11013" width="8.453125" style="23" bestFit="1" customWidth="1"/>
    <col min="11014" max="11014" width="7.453125" style="23" bestFit="1" customWidth="1"/>
    <col min="11015" max="11015" width="23.453125" style="23" customWidth="1"/>
    <col min="11016" max="11016" width="17.1796875" style="23" bestFit="1" customWidth="1"/>
    <col min="11017" max="11017" width="23.453125" style="23" customWidth="1"/>
    <col min="11018" max="11018" width="28.54296875" style="23" bestFit="1" customWidth="1"/>
    <col min="11019" max="11020" width="9.1796875" style="23"/>
    <col min="11021" max="11021" width="13.453125" style="23" customWidth="1"/>
    <col min="11022" max="11264" width="9.1796875" style="23"/>
    <col min="11265" max="11265" width="29" style="23" customWidth="1"/>
    <col min="11266" max="11266" width="18.54296875" style="23" bestFit="1" customWidth="1"/>
    <col min="11267" max="11267" width="8.1796875" style="23" bestFit="1" customWidth="1"/>
    <col min="11268" max="11269" width="8.453125" style="23" bestFit="1" customWidth="1"/>
    <col min="11270" max="11270" width="7.453125" style="23" bestFit="1" customWidth="1"/>
    <col min="11271" max="11271" width="23.453125" style="23" customWidth="1"/>
    <col min="11272" max="11272" width="17.1796875" style="23" bestFit="1" customWidth="1"/>
    <col min="11273" max="11273" width="23.453125" style="23" customWidth="1"/>
    <col min="11274" max="11274" width="28.54296875" style="23" bestFit="1" customWidth="1"/>
    <col min="11275" max="11276" width="9.1796875" style="23"/>
    <col min="11277" max="11277" width="13.453125" style="23" customWidth="1"/>
    <col min="11278" max="11520" width="9.1796875" style="23"/>
    <col min="11521" max="11521" width="29" style="23" customWidth="1"/>
    <col min="11522" max="11522" width="18.54296875" style="23" bestFit="1" customWidth="1"/>
    <col min="11523" max="11523" width="8.1796875" style="23" bestFit="1" customWidth="1"/>
    <col min="11524" max="11525" width="8.453125" style="23" bestFit="1" customWidth="1"/>
    <col min="11526" max="11526" width="7.453125" style="23" bestFit="1" customWidth="1"/>
    <col min="11527" max="11527" width="23.453125" style="23" customWidth="1"/>
    <col min="11528" max="11528" width="17.1796875" style="23" bestFit="1" customWidth="1"/>
    <col min="11529" max="11529" width="23.453125" style="23" customWidth="1"/>
    <col min="11530" max="11530" width="28.54296875" style="23" bestFit="1" customWidth="1"/>
    <col min="11531" max="11532" width="9.1796875" style="23"/>
    <col min="11533" max="11533" width="13.453125" style="23" customWidth="1"/>
    <col min="11534" max="11776" width="9.1796875" style="23"/>
    <col min="11777" max="11777" width="29" style="23" customWidth="1"/>
    <col min="11778" max="11778" width="18.54296875" style="23" bestFit="1" customWidth="1"/>
    <col min="11779" max="11779" width="8.1796875" style="23" bestFit="1" customWidth="1"/>
    <col min="11780" max="11781" width="8.453125" style="23" bestFit="1" customWidth="1"/>
    <col min="11782" max="11782" width="7.453125" style="23" bestFit="1" customWidth="1"/>
    <col min="11783" max="11783" width="23.453125" style="23" customWidth="1"/>
    <col min="11784" max="11784" width="17.1796875" style="23" bestFit="1" customWidth="1"/>
    <col min="11785" max="11785" width="23.453125" style="23" customWidth="1"/>
    <col min="11786" max="11786" width="28.54296875" style="23" bestFit="1" customWidth="1"/>
    <col min="11787" max="11788" width="9.1796875" style="23"/>
    <col min="11789" max="11789" width="13.453125" style="23" customWidth="1"/>
    <col min="11790" max="12032" width="9.1796875" style="23"/>
    <col min="12033" max="12033" width="29" style="23" customWidth="1"/>
    <col min="12034" max="12034" width="18.54296875" style="23" bestFit="1" customWidth="1"/>
    <col min="12035" max="12035" width="8.1796875" style="23" bestFit="1" customWidth="1"/>
    <col min="12036" max="12037" width="8.453125" style="23" bestFit="1" customWidth="1"/>
    <col min="12038" max="12038" width="7.453125" style="23" bestFit="1" customWidth="1"/>
    <col min="12039" max="12039" width="23.453125" style="23" customWidth="1"/>
    <col min="12040" max="12040" width="17.1796875" style="23" bestFit="1" customWidth="1"/>
    <col min="12041" max="12041" width="23.453125" style="23" customWidth="1"/>
    <col min="12042" max="12042" width="28.54296875" style="23" bestFit="1" customWidth="1"/>
    <col min="12043" max="12044" width="9.1796875" style="23"/>
    <col min="12045" max="12045" width="13.453125" style="23" customWidth="1"/>
    <col min="12046" max="12288" width="9.1796875" style="23"/>
    <col min="12289" max="12289" width="29" style="23" customWidth="1"/>
    <col min="12290" max="12290" width="18.54296875" style="23" bestFit="1" customWidth="1"/>
    <col min="12291" max="12291" width="8.1796875" style="23" bestFit="1" customWidth="1"/>
    <col min="12292" max="12293" width="8.453125" style="23" bestFit="1" customWidth="1"/>
    <col min="12294" max="12294" width="7.453125" style="23" bestFit="1" customWidth="1"/>
    <col min="12295" max="12295" width="23.453125" style="23" customWidth="1"/>
    <col min="12296" max="12296" width="17.1796875" style="23" bestFit="1" customWidth="1"/>
    <col min="12297" max="12297" width="23.453125" style="23" customWidth="1"/>
    <col min="12298" max="12298" width="28.54296875" style="23" bestFit="1" customWidth="1"/>
    <col min="12299" max="12300" width="9.1796875" style="23"/>
    <col min="12301" max="12301" width="13.453125" style="23" customWidth="1"/>
    <col min="12302" max="12544" width="9.1796875" style="23"/>
    <col min="12545" max="12545" width="29" style="23" customWidth="1"/>
    <col min="12546" max="12546" width="18.54296875" style="23" bestFit="1" customWidth="1"/>
    <col min="12547" max="12547" width="8.1796875" style="23" bestFit="1" customWidth="1"/>
    <col min="12548" max="12549" width="8.453125" style="23" bestFit="1" customWidth="1"/>
    <col min="12550" max="12550" width="7.453125" style="23" bestFit="1" customWidth="1"/>
    <col min="12551" max="12551" width="23.453125" style="23" customWidth="1"/>
    <col min="12552" max="12552" width="17.1796875" style="23" bestFit="1" customWidth="1"/>
    <col min="12553" max="12553" width="23.453125" style="23" customWidth="1"/>
    <col min="12554" max="12554" width="28.54296875" style="23" bestFit="1" customWidth="1"/>
    <col min="12555" max="12556" width="9.1796875" style="23"/>
    <col min="12557" max="12557" width="13.453125" style="23" customWidth="1"/>
    <col min="12558" max="12800" width="9.1796875" style="23"/>
    <col min="12801" max="12801" width="29" style="23" customWidth="1"/>
    <col min="12802" max="12802" width="18.54296875" style="23" bestFit="1" customWidth="1"/>
    <col min="12803" max="12803" width="8.1796875" style="23" bestFit="1" customWidth="1"/>
    <col min="12804" max="12805" width="8.453125" style="23" bestFit="1" customWidth="1"/>
    <col min="12806" max="12806" width="7.453125" style="23" bestFit="1" customWidth="1"/>
    <col min="12807" max="12807" width="23.453125" style="23" customWidth="1"/>
    <col min="12808" max="12808" width="17.1796875" style="23" bestFit="1" customWidth="1"/>
    <col min="12809" max="12809" width="23.453125" style="23" customWidth="1"/>
    <col min="12810" max="12810" width="28.54296875" style="23" bestFit="1" customWidth="1"/>
    <col min="12811" max="12812" width="9.1796875" style="23"/>
    <col min="12813" max="12813" width="13.453125" style="23" customWidth="1"/>
    <col min="12814" max="13056" width="9.1796875" style="23"/>
    <col min="13057" max="13057" width="29" style="23" customWidth="1"/>
    <col min="13058" max="13058" width="18.54296875" style="23" bestFit="1" customWidth="1"/>
    <col min="13059" max="13059" width="8.1796875" style="23" bestFit="1" customWidth="1"/>
    <col min="13060" max="13061" width="8.453125" style="23" bestFit="1" customWidth="1"/>
    <col min="13062" max="13062" width="7.453125" style="23" bestFit="1" customWidth="1"/>
    <col min="13063" max="13063" width="23.453125" style="23" customWidth="1"/>
    <col min="13064" max="13064" width="17.1796875" style="23" bestFit="1" customWidth="1"/>
    <col min="13065" max="13065" width="23.453125" style="23" customWidth="1"/>
    <col min="13066" max="13066" width="28.54296875" style="23" bestFit="1" customWidth="1"/>
    <col min="13067" max="13068" width="9.1796875" style="23"/>
    <col min="13069" max="13069" width="13.453125" style="23" customWidth="1"/>
    <col min="13070" max="13312" width="9.1796875" style="23"/>
    <col min="13313" max="13313" width="29" style="23" customWidth="1"/>
    <col min="13314" max="13314" width="18.54296875" style="23" bestFit="1" customWidth="1"/>
    <col min="13315" max="13315" width="8.1796875" style="23" bestFit="1" customWidth="1"/>
    <col min="13316" max="13317" width="8.453125" style="23" bestFit="1" customWidth="1"/>
    <col min="13318" max="13318" width="7.453125" style="23" bestFit="1" customWidth="1"/>
    <col min="13319" max="13319" width="23.453125" style="23" customWidth="1"/>
    <col min="13320" max="13320" width="17.1796875" style="23" bestFit="1" customWidth="1"/>
    <col min="13321" max="13321" width="23.453125" style="23" customWidth="1"/>
    <col min="13322" max="13322" width="28.54296875" style="23" bestFit="1" customWidth="1"/>
    <col min="13323" max="13324" width="9.1796875" style="23"/>
    <col min="13325" max="13325" width="13.453125" style="23" customWidth="1"/>
    <col min="13326" max="13568" width="9.1796875" style="23"/>
    <col min="13569" max="13569" width="29" style="23" customWidth="1"/>
    <col min="13570" max="13570" width="18.54296875" style="23" bestFit="1" customWidth="1"/>
    <col min="13571" max="13571" width="8.1796875" style="23" bestFit="1" customWidth="1"/>
    <col min="13572" max="13573" width="8.453125" style="23" bestFit="1" customWidth="1"/>
    <col min="13574" max="13574" width="7.453125" style="23" bestFit="1" customWidth="1"/>
    <col min="13575" max="13575" width="23.453125" style="23" customWidth="1"/>
    <col min="13576" max="13576" width="17.1796875" style="23" bestFit="1" customWidth="1"/>
    <col min="13577" max="13577" width="23.453125" style="23" customWidth="1"/>
    <col min="13578" max="13578" width="28.54296875" style="23" bestFit="1" customWidth="1"/>
    <col min="13579" max="13580" width="9.1796875" style="23"/>
    <col min="13581" max="13581" width="13.453125" style="23" customWidth="1"/>
    <col min="13582" max="13824" width="9.1796875" style="23"/>
    <col min="13825" max="13825" width="29" style="23" customWidth="1"/>
    <col min="13826" max="13826" width="18.54296875" style="23" bestFit="1" customWidth="1"/>
    <col min="13827" max="13827" width="8.1796875" style="23" bestFit="1" customWidth="1"/>
    <col min="13828" max="13829" width="8.453125" style="23" bestFit="1" customWidth="1"/>
    <col min="13830" max="13830" width="7.453125" style="23" bestFit="1" customWidth="1"/>
    <col min="13831" max="13831" width="23.453125" style="23" customWidth="1"/>
    <col min="13832" max="13832" width="17.1796875" style="23" bestFit="1" customWidth="1"/>
    <col min="13833" max="13833" width="23.453125" style="23" customWidth="1"/>
    <col min="13834" max="13834" width="28.54296875" style="23" bestFit="1" customWidth="1"/>
    <col min="13835" max="13836" width="9.1796875" style="23"/>
    <col min="13837" max="13837" width="13.453125" style="23" customWidth="1"/>
    <col min="13838" max="14080" width="9.1796875" style="23"/>
    <col min="14081" max="14081" width="29" style="23" customWidth="1"/>
    <col min="14082" max="14082" width="18.54296875" style="23" bestFit="1" customWidth="1"/>
    <col min="14083" max="14083" width="8.1796875" style="23" bestFit="1" customWidth="1"/>
    <col min="14084" max="14085" width="8.453125" style="23" bestFit="1" customWidth="1"/>
    <col min="14086" max="14086" width="7.453125" style="23" bestFit="1" customWidth="1"/>
    <col min="14087" max="14087" width="23.453125" style="23" customWidth="1"/>
    <col min="14088" max="14088" width="17.1796875" style="23" bestFit="1" customWidth="1"/>
    <col min="14089" max="14089" width="23.453125" style="23" customWidth="1"/>
    <col min="14090" max="14090" width="28.54296875" style="23" bestFit="1" customWidth="1"/>
    <col min="14091" max="14092" width="9.1796875" style="23"/>
    <col min="14093" max="14093" width="13.453125" style="23" customWidth="1"/>
    <col min="14094" max="14336" width="9.1796875" style="23"/>
    <col min="14337" max="14337" width="29" style="23" customWidth="1"/>
    <col min="14338" max="14338" width="18.54296875" style="23" bestFit="1" customWidth="1"/>
    <col min="14339" max="14339" width="8.1796875" style="23" bestFit="1" customWidth="1"/>
    <col min="14340" max="14341" width="8.453125" style="23" bestFit="1" customWidth="1"/>
    <col min="14342" max="14342" width="7.453125" style="23" bestFit="1" customWidth="1"/>
    <col min="14343" max="14343" width="23.453125" style="23" customWidth="1"/>
    <col min="14344" max="14344" width="17.1796875" style="23" bestFit="1" customWidth="1"/>
    <col min="14345" max="14345" width="23.453125" style="23" customWidth="1"/>
    <col min="14346" max="14346" width="28.54296875" style="23" bestFit="1" customWidth="1"/>
    <col min="14347" max="14348" width="9.1796875" style="23"/>
    <col min="14349" max="14349" width="13.453125" style="23" customWidth="1"/>
    <col min="14350" max="14592" width="9.1796875" style="23"/>
    <col min="14593" max="14593" width="29" style="23" customWidth="1"/>
    <col min="14594" max="14594" width="18.54296875" style="23" bestFit="1" customWidth="1"/>
    <col min="14595" max="14595" width="8.1796875" style="23" bestFit="1" customWidth="1"/>
    <col min="14596" max="14597" width="8.453125" style="23" bestFit="1" customWidth="1"/>
    <col min="14598" max="14598" width="7.453125" style="23" bestFit="1" customWidth="1"/>
    <col min="14599" max="14599" width="23.453125" style="23" customWidth="1"/>
    <col min="14600" max="14600" width="17.1796875" style="23" bestFit="1" customWidth="1"/>
    <col min="14601" max="14601" width="23.453125" style="23" customWidth="1"/>
    <col min="14602" max="14602" width="28.54296875" style="23" bestFit="1" customWidth="1"/>
    <col min="14603" max="14604" width="9.1796875" style="23"/>
    <col min="14605" max="14605" width="13.453125" style="23" customWidth="1"/>
    <col min="14606" max="14848" width="9.1796875" style="23"/>
    <col min="14849" max="14849" width="29" style="23" customWidth="1"/>
    <col min="14850" max="14850" width="18.54296875" style="23" bestFit="1" customWidth="1"/>
    <col min="14851" max="14851" width="8.1796875" style="23" bestFit="1" customWidth="1"/>
    <col min="14852" max="14853" width="8.453125" style="23" bestFit="1" customWidth="1"/>
    <col min="14854" max="14854" width="7.453125" style="23" bestFit="1" customWidth="1"/>
    <col min="14855" max="14855" width="23.453125" style="23" customWidth="1"/>
    <col min="14856" max="14856" width="17.1796875" style="23" bestFit="1" customWidth="1"/>
    <col min="14857" max="14857" width="23.453125" style="23" customWidth="1"/>
    <col min="14858" max="14858" width="28.54296875" style="23" bestFit="1" customWidth="1"/>
    <col min="14859" max="14860" width="9.1796875" style="23"/>
    <col min="14861" max="14861" width="13.453125" style="23" customWidth="1"/>
    <col min="14862" max="15104" width="9.1796875" style="23"/>
    <col min="15105" max="15105" width="29" style="23" customWidth="1"/>
    <col min="15106" max="15106" width="18.54296875" style="23" bestFit="1" customWidth="1"/>
    <col min="15107" max="15107" width="8.1796875" style="23" bestFit="1" customWidth="1"/>
    <col min="15108" max="15109" width="8.453125" style="23" bestFit="1" customWidth="1"/>
    <col min="15110" max="15110" width="7.453125" style="23" bestFit="1" customWidth="1"/>
    <col min="15111" max="15111" width="23.453125" style="23" customWidth="1"/>
    <col min="15112" max="15112" width="17.1796875" style="23" bestFit="1" customWidth="1"/>
    <col min="15113" max="15113" width="23.453125" style="23" customWidth="1"/>
    <col min="15114" max="15114" width="28.54296875" style="23" bestFit="1" customWidth="1"/>
    <col min="15115" max="15116" width="9.1796875" style="23"/>
    <col min="15117" max="15117" width="13.453125" style="23" customWidth="1"/>
    <col min="15118" max="15360" width="9.1796875" style="23"/>
    <col min="15361" max="15361" width="29" style="23" customWidth="1"/>
    <col min="15362" max="15362" width="18.54296875" style="23" bestFit="1" customWidth="1"/>
    <col min="15363" max="15363" width="8.1796875" style="23" bestFit="1" customWidth="1"/>
    <col min="15364" max="15365" width="8.453125" style="23" bestFit="1" customWidth="1"/>
    <col min="15366" max="15366" width="7.453125" style="23" bestFit="1" customWidth="1"/>
    <col min="15367" max="15367" width="23.453125" style="23" customWidth="1"/>
    <col min="15368" max="15368" width="17.1796875" style="23" bestFit="1" customWidth="1"/>
    <col min="15369" max="15369" width="23.453125" style="23" customWidth="1"/>
    <col min="15370" max="15370" width="28.54296875" style="23" bestFit="1" customWidth="1"/>
    <col min="15371" max="15372" width="9.1796875" style="23"/>
    <col min="15373" max="15373" width="13.453125" style="23" customWidth="1"/>
    <col min="15374" max="15616" width="9.1796875" style="23"/>
    <col min="15617" max="15617" width="29" style="23" customWidth="1"/>
    <col min="15618" max="15618" width="18.54296875" style="23" bestFit="1" customWidth="1"/>
    <col min="15619" max="15619" width="8.1796875" style="23" bestFit="1" customWidth="1"/>
    <col min="15620" max="15621" width="8.453125" style="23" bestFit="1" customWidth="1"/>
    <col min="15622" max="15622" width="7.453125" style="23" bestFit="1" customWidth="1"/>
    <col min="15623" max="15623" width="23.453125" style="23" customWidth="1"/>
    <col min="15624" max="15624" width="17.1796875" style="23" bestFit="1" customWidth="1"/>
    <col min="15625" max="15625" width="23.453125" style="23" customWidth="1"/>
    <col min="15626" max="15626" width="28.54296875" style="23" bestFit="1" customWidth="1"/>
    <col min="15627" max="15628" width="9.1796875" style="23"/>
    <col min="15629" max="15629" width="13.453125" style="23" customWidth="1"/>
    <col min="15630" max="15872" width="9.1796875" style="23"/>
    <col min="15873" max="15873" width="29" style="23" customWidth="1"/>
    <col min="15874" max="15874" width="18.54296875" style="23" bestFit="1" customWidth="1"/>
    <col min="15875" max="15875" width="8.1796875" style="23" bestFit="1" customWidth="1"/>
    <col min="15876" max="15877" width="8.453125" style="23" bestFit="1" customWidth="1"/>
    <col min="15878" max="15878" width="7.453125" style="23" bestFit="1" customWidth="1"/>
    <col min="15879" max="15879" width="23.453125" style="23" customWidth="1"/>
    <col min="15880" max="15880" width="17.1796875" style="23" bestFit="1" customWidth="1"/>
    <col min="15881" max="15881" width="23.453125" style="23" customWidth="1"/>
    <col min="15882" max="15882" width="28.54296875" style="23" bestFit="1" customWidth="1"/>
    <col min="15883" max="15884" width="9.1796875" style="23"/>
    <col min="15885" max="15885" width="13.453125" style="23" customWidth="1"/>
    <col min="15886" max="16128" width="9.1796875" style="23"/>
    <col min="16129" max="16129" width="29" style="23" customWidth="1"/>
    <col min="16130" max="16130" width="18.54296875" style="23" bestFit="1" customWidth="1"/>
    <col min="16131" max="16131" width="8.1796875" style="23" bestFit="1" customWidth="1"/>
    <col min="16132" max="16133" width="8.453125" style="23" bestFit="1" customWidth="1"/>
    <col min="16134" max="16134" width="7.453125" style="23" bestFit="1" customWidth="1"/>
    <col min="16135" max="16135" width="23.453125" style="23" customWidth="1"/>
    <col min="16136" max="16136" width="17.1796875" style="23" bestFit="1" customWidth="1"/>
    <col min="16137" max="16137" width="23.453125" style="23" customWidth="1"/>
    <col min="16138" max="16138" width="28.54296875" style="23" bestFit="1" customWidth="1"/>
    <col min="16139" max="16140" width="9.1796875" style="23"/>
    <col min="16141" max="16141" width="13.453125" style="23" customWidth="1"/>
    <col min="16142" max="16384" width="9.1796875" style="23"/>
  </cols>
  <sheetData>
    <row r="1" spans="1:14" s="482" customFormat="1" ht="69.75" customHeight="1">
      <c r="A1" s="480" t="s">
        <v>0</v>
      </c>
      <c r="B1" s="159" t="s">
        <v>1</v>
      </c>
      <c r="C1" s="159" t="s">
        <v>2</v>
      </c>
      <c r="D1" s="159" t="s">
        <v>3</v>
      </c>
      <c r="E1" s="159" t="s">
        <v>4</v>
      </c>
      <c r="F1" s="159" t="s">
        <v>5</v>
      </c>
      <c r="G1" s="159" t="s">
        <v>6</v>
      </c>
      <c r="H1" s="159" t="s">
        <v>703</v>
      </c>
      <c r="I1" s="159" t="s">
        <v>704</v>
      </c>
      <c r="J1" s="159" t="s">
        <v>705</v>
      </c>
      <c r="K1" s="159" t="s">
        <v>10</v>
      </c>
      <c r="L1" s="159" t="s">
        <v>706</v>
      </c>
      <c r="M1" s="261" t="s">
        <v>12</v>
      </c>
      <c r="N1" s="481" t="s">
        <v>508</v>
      </c>
    </row>
    <row r="2" spans="1:14" ht="20">
      <c r="A2" s="483" t="s">
        <v>708</v>
      </c>
      <c r="B2" s="484" t="s">
        <v>14</v>
      </c>
      <c r="C2" s="484"/>
      <c r="D2" s="484">
        <v>1</v>
      </c>
      <c r="E2" s="484" t="e">
        <f>#REF!</f>
        <v>#REF!</v>
      </c>
      <c r="F2" s="484">
        <f>SUM(F3:F7)</f>
        <v>49</v>
      </c>
      <c r="G2" s="462" t="s">
        <v>510</v>
      </c>
      <c r="H2" s="485"/>
      <c r="I2" s="485"/>
      <c r="J2" s="484"/>
      <c r="K2" s="484"/>
      <c r="L2" s="484"/>
      <c r="M2" s="21"/>
      <c r="N2" s="22"/>
    </row>
    <row r="3" spans="1:14" ht="21">
      <c r="A3" s="64" t="s">
        <v>17</v>
      </c>
      <c r="B3" s="264" t="s">
        <v>18</v>
      </c>
      <c r="C3" s="19">
        <v>1</v>
      </c>
      <c r="D3" s="19">
        <v>1</v>
      </c>
      <c r="E3" s="19">
        <f>D3+F3-1</f>
        <v>1</v>
      </c>
      <c r="F3" s="19">
        <v>1</v>
      </c>
      <c r="G3" s="66" t="s">
        <v>19</v>
      </c>
      <c r="H3" s="66"/>
      <c r="I3" s="66"/>
      <c r="J3" s="19"/>
      <c r="K3" s="19"/>
      <c r="L3" s="19"/>
      <c r="M3" s="21"/>
      <c r="N3" s="22"/>
    </row>
    <row r="4" spans="1:14" ht="12.5">
      <c r="A4" s="64" t="s">
        <v>710</v>
      </c>
      <c r="B4" s="264" t="s">
        <v>711</v>
      </c>
      <c r="C4" s="19">
        <v>2</v>
      </c>
      <c r="D4" s="19">
        <f>E3+1</f>
        <v>2</v>
      </c>
      <c r="E4" s="19">
        <f>D4+F4-1</f>
        <v>16</v>
      </c>
      <c r="F4" s="19">
        <v>15</v>
      </c>
      <c r="G4" s="66" t="s">
        <v>1982</v>
      </c>
      <c r="H4" s="66"/>
      <c r="I4" s="66"/>
      <c r="J4" s="19"/>
      <c r="K4" s="19"/>
      <c r="L4" s="19"/>
      <c r="M4" s="21"/>
      <c r="N4" s="22"/>
    </row>
    <row r="5" spans="1:14" ht="12.5">
      <c r="A5" s="64" t="s">
        <v>713</v>
      </c>
      <c r="B5" s="264" t="s">
        <v>714</v>
      </c>
      <c r="C5" s="19">
        <v>3</v>
      </c>
      <c r="D5" s="19">
        <f>E4+1</f>
        <v>17</v>
      </c>
      <c r="E5" s="19">
        <f>D5+F5-1</f>
        <v>26</v>
      </c>
      <c r="F5" s="19">
        <v>10</v>
      </c>
      <c r="G5" s="66" t="s">
        <v>715</v>
      </c>
      <c r="H5" s="66"/>
      <c r="I5" s="66"/>
      <c r="J5" s="19"/>
      <c r="K5" s="19"/>
      <c r="L5" s="19"/>
      <c r="M5" s="21"/>
      <c r="N5" s="22"/>
    </row>
    <row r="6" spans="1:14" ht="12.5">
      <c r="A6" s="64" t="s">
        <v>215</v>
      </c>
      <c r="B6" s="264" t="s">
        <v>216</v>
      </c>
      <c r="C6" s="19">
        <v>4</v>
      </c>
      <c r="D6" s="19">
        <f>E5+1</f>
        <v>27</v>
      </c>
      <c r="E6" s="19">
        <f>D6+F6-1</f>
        <v>34</v>
      </c>
      <c r="F6" s="19">
        <v>8</v>
      </c>
      <c r="G6" s="66" t="s">
        <v>716</v>
      </c>
      <c r="H6" s="174"/>
      <c r="I6" s="174"/>
      <c r="J6" s="19"/>
      <c r="K6" s="19"/>
      <c r="L6" s="19"/>
      <c r="M6" s="21"/>
      <c r="N6" s="22"/>
    </row>
    <row r="7" spans="1:14" ht="12.5">
      <c r="A7" s="64" t="s">
        <v>717</v>
      </c>
      <c r="B7" s="264" t="s">
        <v>711</v>
      </c>
      <c r="C7" s="19">
        <v>3</v>
      </c>
      <c r="D7" s="19">
        <f>E6+1</f>
        <v>35</v>
      </c>
      <c r="E7" s="19">
        <f>D7+F7-1</f>
        <v>49</v>
      </c>
      <c r="F7" s="19">
        <v>15</v>
      </c>
      <c r="G7" s="174" t="s">
        <v>2165</v>
      </c>
      <c r="H7" s="174"/>
      <c r="I7" s="174"/>
      <c r="J7" s="19"/>
      <c r="K7" s="19"/>
      <c r="L7" s="19"/>
      <c r="M7" s="21"/>
      <c r="N7" s="22"/>
    </row>
    <row r="8" spans="1:14" ht="10.5">
      <c r="A8" s="483" t="s">
        <v>722</v>
      </c>
      <c r="B8" s="484" t="s">
        <v>14</v>
      </c>
      <c r="C8" s="486" t="s">
        <v>879</v>
      </c>
      <c r="D8" s="484">
        <v>1</v>
      </c>
      <c r="E8" s="484" t="e">
        <f>#REF!</f>
        <v>#REF!</v>
      </c>
      <c r="F8" s="484">
        <f>SUM(F9:F13)</f>
        <v>772</v>
      </c>
      <c r="G8" s="487"/>
      <c r="H8" s="487"/>
      <c r="I8" s="487"/>
      <c r="J8" s="484"/>
      <c r="K8" s="484"/>
      <c r="L8" s="484"/>
      <c r="M8" s="21"/>
      <c r="N8" s="22"/>
    </row>
    <row r="9" spans="1:14" ht="20.5">
      <c r="A9" s="463" t="s">
        <v>1984</v>
      </c>
      <c r="B9" s="464" t="s">
        <v>1985</v>
      </c>
      <c r="C9" s="19">
        <v>7</v>
      </c>
      <c r="D9" s="19">
        <v>1</v>
      </c>
      <c r="E9" s="19">
        <f>D9+F9-1</f>
        <v>1</v>
      </c>
      <c r="F9" s="19">
        <v>1</v>
      </c>
      <c r="G9" s="66" t="s">
        <v>1986</v>
      </c>
      <c r="H9" s="465"/>
      <c r="I9" s="465"/>
      <c r="J9" s="466"/>
      <c r="K9" s="466"/>
      <c r="L9" s="466"/>
      <c r="M9" s="467"/>
      <c r="N9" s="22"/>
    </row>
    <row r="10" spans="1:14" ht="12.5">
      <c r="A10" s="463" t="s">
        <v>2166</v>
      </c>
      <c r="B10" s="264" t="s">
        <v>2167</v>
      </c>
      <c r="C10" s="19">
        <v>8</v>
      </c>
      <c r="D10" s="19">
        <f>E9+1</f>
        <v>2</v>
      </c>
      <c r="E10" s="19">
        <f>D10+F10-1</f>
        <v>7</v>
      </c>
      <c r="F10" s="466">
        <v>6</v>
      </c>
      <c r="G10" s="66" t="s">
        <v>1989</v>
      </c>
      <c r="H10" s="66" t="s">
        <v>1990</v>
      </c>
      <c r="I10" s="66" t="s">
        <v>2168</v>
      </c>
      <c r="J10" s="463" t="s">
        <v>2169</v>
      </c>
      <c r="K10" s="19" t="s">
        <v>730</v>
      </c>
      <c r="L10" s="466">
        <v>779</v>
      </c>
      <c r="M10" s="21" t="s">
        <v>1993</v>
      </c>
      <c r="N10" s="22" t="s">
        <v>1468</v>
      </c>
    </row>
    <row r="11" spans="1:14" ht="12.5">
      <c r="A11" s="488" t="s">
        <v>2170</v>
      </c>
      <c r="B11" s="264" t="s">
        <v>2171</v>
      </c>
      <c r="C11" s="19">
        <v>9</v>
      </c>
      <c r="D11" s="19">
        <f>E10+1</f>
        <v>8</v>
      </c>
      <c r="E11" s="19">
        <f>D11+F11-1</f>
        <v>262</v>
      </c>
      <c r="F11" s="19">
        <v>255</v>
      </c>
      <c r="G11" s="180" t="s">
        <v>2172</v>
      </c>
      <c r="H11" s="66" t="s">
        <v>1990</v>
      </c>
      <c r="I11" s="66" t="s">
        <v>2168</v>
      </c>
      <c r="J11" s="488" t="s">
        <v>2170</v>
      </c>
      <c r="K11" s="19" t="s">
        <v>730</v>
      </c>
      <c r="L11" s="489"/>
      <c r="M11" s="21" t="s">
        <v>1993</v>
      </c>
      <c r="N11" s="22" t="s">
        <v>1468</v>
      </c>
    </row>
    <row r="12" spans="1:14" ht="12.5">
      <c r="A12" s="488" t="s">
        <v>2173</v>
      </c>
      <c r="B12" s="264" t="s">
        <v>2171</v>
      </c>
      <c r="C12" s="19">
        <v>10</v>
      </c>
      <c r="D12" s="19">
        <f>E11+1</f>
        <v>263</v>
      </c>
      <c r="E12" s="19">
        <f>D12+F12-1</f>
        <v>517</v>
      </c>
      <c r="F12" s="19">
        <v>255</v>
      </c>
      <c r="G12" s="180" t="s">
        <v>738</v>
      </c>
      <c r="H12" s="66" t="s">
        <v>1990</v>
      </c>
      <c r="I12" s="66" t="s">
        <v>2168</v>
      </c>
      <c r="J12" s="488" t="s">
        <v>2173</v>
      </c>
      <c r="K12" s="19" t="s">
        <v>730</v>
      </c>
      <c r="L12" s="489"/>
      <c r="M12" s="21" t="s">
        <v>1993</v>
      </c>
      <c r="N12" s="22" t="s">
        <v>1468</v>
      </c>
    </row>
    <row r="13" spans="1:14" ht="12.5">
      <c r="A13" s="488" t="s">
        <v>2174</v>
      </c>
      <c r="B13" s="264" t="s">
        <v>2171</v>
      </c>
      <c r="C13" s="19">
        <v>11</v>
      </c>
      <c r="D13" s="19">
        <f>E12+1</f>
        <v>518</v>
      </c>
      <c r="E13" s="19">
        <f>D13+F13-1</f>
        <v>772</v>
      </c>
      <c r="F13" s="19">
        <v>255</v>
      </c>
      <c r="G13" s="180" t="s">
        <v>738</v>
      </c>
      <c r="H13" s="66" t="s">
        <v>1990</v>
      </c>
      <c r="I13" s="66" t="s">
        <v>2168</v>
      </c>
      <c r="J13" s="488" t="s">
        <v>2174</v>
      </c>
      <c r="K13" s="19" t="s">
        <v>730</v>
      </c>
      <c r="L13" s="489"/>
      <c r="M13" s="21" t="s">
        <v>1993</v>
      </c>
      <c r="N13" s="22" t="s">
        <v>1468</v>
      </c>
    </row>
    <row r="14" spans="1:14" ht="10.5">
      <c r="A14" s="483" t="s">
        <v>858</v>
      </c>
      <c r="B14" s="484" t="s">
        <v>14</v>
      </c>
      <c r="C14" s="486" t="s">
        <v>879</v>
      </c>
      <c r="D14" s="484">
        <v>1</v>
      </c>
      <c r="E14" s="484" t="e">
        <f>#REF!</f>
        <v>#REF!</v>
      </c>
      <c r="F14" s="484">
        <f>SUM(F15:F16)</f>
        <v>10</v>
      </c>
      <c r="G14" s="487"/>
      <c r="H14" s="487"/>
      <c r="I14" s="487"/>
      <c r="J14" s="484"/>
      <c r="K14" s="164" t="s">
        <v>204</v>
      </c>
      <c r="L14" s="164"/>
      <c r="M14" s="21"/>
      <c r="N14" s="22"/>
    </row>
    <row r="15" spans="1:14" ht="21">
      <c r="A15" s="463" t="s">
        <v>723</v>
      </c>
      <c r="B15" s="264" t="s">
        <v>18</v>
      </c>
      <c r="C15" s="19">
        <v>13</v>
      </c>
      <c r="D15" s="19">
        <v>1</v>
      </c>
      <c r="E15" s="19">
        <f>D15+F15-1</f>
        <v>1</v>
      </c>
      <c r="F15" s="19">
        <v>1</v>
      </c>
      <c r="G15" s="66" t="s">
        <v>701</v>
      </c>
      <c r="H15" s="66"/>
      <c r="I15" s="66"/>
      <c r="J15" s="19"/>
      <c r="K15" s="19"/>
      <c r="L15" s="19"/>
      <c r="M15" s="21"/>
      <c r="N15" s="22"/>
    </row>
    <row r="16" spans="1:14" ht="12.5">
      <c r="A16" s="80" t="s">
        <v>206</v>
      </c>
      <c r="B16" s="264" t="s">
        <v>207</v>
      </c>
      <c r="C16" s="19">
        <v>14</v>
      </c>
      <c r="D16" s="19">
        <f>E15+1</f>
        <v>2</v>
      </c>
      <c r="E16" s="19">
        <f>D16+F16-1</f>
        <v>10</v>
      </c>
      <c r="F16" s="19">
        <v>9</v>
      </c>
      <c r="G16" s="66" t="s">
        <v>233</v>
      </c>
      <c r="H16" s="66"/>
      <c r="I16" s="66"/>
      <c r="J16" s="19"/>
      <c r="K16" s="19"/>
      <c r="L16" s="19"/>
      <c r="M16" s="21"/>
      <c r="N16" s="22"/>
    </row>
    <row r="17" spans="13:13">
      <c r="M17" s="491"/>
    </row>
    <row r="18" spans="13:13">
      <c r="M18" s="491"/>
    </row>
    <row r="19" spans="13:13">
      <c r="M19" s="491"/>
    </row>
    <row r="20" spans="13:13">
      <c r="M20" s="491"/>
    </row>
    <row r="21" spans="13:13">
      <c r="M21" s="491"/>
    </row>
    <row r="22" spans="13:13">
      <c r="M22" s="491"/>
    </row>
    <row r="23" spans="13:13">
      <c r="M23" s="491"/>
    </row>
    <row r="24" spans="13:13">
      <c r="M24" s="491"/>
    </row>
    <row r="25" spans="13:13">
      <c r="M25" s="491"/>
    </row>
    <row r="26" spans="13:13">
      <c r="M26" s="491"/>
    </row>
    <row r="27" spans="13:13">
      <c r="M27" s="491"/>
    </row>
    <row r="28" spans="13:13">
      <c r="M28" s="491"/>
    </row>
    <row r="29" spans="13:13">
      <c r="M29" s="491"/>
    </row>
    <row r="30" spans="13:13">
      <c r="M30" s="491"/>
    </row>
    <row r="31" spans="13:13">
      <c r="M31" s="491"/>
    </row>
    <row r="32" spans="13:13">
      <c r="M32" s="491"/>
    </row>
    <row r="33" spans="13:13">
      <c r="M33" s="491"/>
    </row>
    <row r="34" spans="13:13">
      <c r="M34" s="491"/>
    </row>
    <row r="35" spans="13:13">
      <c r="M35" s="491"/>
    </row>
    <row r="36" spans="13:13">
      <c r="M36" s="491"/>
    </row>
    <row r="37" spans="13:13">
      <c r="M37" s="491"/>
    </row>
    <row r="38" spans="13:13">
      <c r="M38" s="491"/>
    </row>
    <row r="39" spans="13:13">
      <c r="M39" s="491"/>
    </row>
    <row r="40" spans="13:13">
      <c r="M40" s="491"/>
    </row>
    <row r="41" spans="13:13">
      <c r="M41" s="491"/>
    </row>
    <row r="42" spans="13:13">
      <c r="M42" s="491"/>
    </row>
    <row r="43" spans="13:13">
      <c r="M43" s="491"/>
    </row>
    <row r="44" spans="13:13">
      <c r="M44" s="491"/>
    </row>
    <row r="45" spans="13:13">
      <c r="M45" s="491"/>
    </row>
    <row r="46" spans="13:13">
      <c r="M46" s="491"/>
    </row>
    <row r="47" spans="13:13">
      <c r="M47" s="491"/>
    </row>
    <row r="48" spans="13:13">
      <c r="M48" s="491"/>
    </row>
    <row r="49" spans="13:13">
      <c r="M49" s="491"/>
    </row>
    <row r="50" spans="13:13">
      <c r="M50" s="491"/>
    </row>
    <row r="51" spans="13:13">
      <c r="M51" s="491"/>
    </row>
    <row r="52" spans="13:13">
      <c r="M52" s="491"/>
    </row>
    <row r="53" spans="13:13">
      <c r="M53" s="491"/>
    </row>
    <row r="54" spans="13:13">
      <c r="M54" s="491"/>
    </row>
    <row r="55" spans="13:13">
      <c r="M55" s="491"/>
    </row>
    <row r="56" spans="13:13">
      <c r="M56" s="491"/>
    </row>
    <row r="57" spans="13:13">
      <c r="M57" s="491"/>
    </row>
    <row r="58" spans="13:13">
      <c r="M58" s="491"/>
    </row>
    <row r="59" spans="13:13">
      <c r="M59" s="491"/>
    </row>
    <row r="60" spans="13:13">
      <c r="M60" s="491"/>
    </row>
    <row r="61" spans="13:13">
      <c r="M61" s="491"/>
    </row>
    <row r="62" spans="13:13">
      <c r="M62" s="491"/>
    </row>
    <row r="63" spans="13:13">
      <c r="M63" s="491"/>
    </row>
    <row r="64" spans="13:13">
      <c r="M64" s="491"/>
    </row>
    <row r="65" spans="13:13">
      <c r="M65" s="491"/>
    </row>
    <row r="66" spans="13:13">
      <c r="M66" s="491"/>
    </row>
    <row r="67" spans="13:13">
      <c r="M67" s="491"/>
    </row>
    <row r="68" spans="13:13">
      <c r="M68" s="491"/>
    </row>
    <row r="69" spans="13:13">
      <c r="M69" s="491"/>
    </row>
    <row r="70" spans="13:13">
      <c r="M70" s="491"/>
    </row>
    <row r="71" spans="13:13">
      <c r="M71" s="491"/>
    </row>
    <row r="72" spans="13:13">
      <c r="M72" s="491"/>
    </row>
    <row r="73" spans="13:13">
      <c r="M73" s="491"/>
    </row>
    <row r="74" spans="13:13">
      <c r="M74" s="491"/>
    </row>
    <row r="75" spans="13:13">
      <c r="M75" s="491"/>
    </row>
    <row r="76" spans="13:13">
      <c r="M76" s="491"/>
    </row>
    <row r="77" spans="13:13">
      <c r="M77" s="491"/>
    </row>
    <row r="78" spans="13:13">
      <c r="M78" s="491"/>
    </row>
    <row r="79" spans="13:13">
      <c r="M79" s="491"/>
    </row>
    <row r="80" spans="13:13">
      <c r="M80" s="491"/>
    </row>
    <row r="81" spans="13:13">
      <c r="M81" s="491"/>
    </row>
    <row r="82" spans="13:13">
      <c r="M82" s="491"/>
    </row>
    <row r="83" spans="13:13">
      <c r="M83" s="491"/>
    </row>
    <row r="84" spans="13:13">
      <c r="M84" s="491"/>
    </row>
    <row r="85" spans="13:13">
      <c r="M85" s="491"/>
    </row>
    <row r="86" spans="13:13">
      <c r="M86" s="491"/>
    </row>
    <row r="87" spans="13:13">
      <c r="M87" s="491"/>
    </row>
    <row r="88" spans="13:13">
      <c r="M88" s="491"/>
    </row>
    <row r="89" spans="13:13">
      <c r="M89" s="491"/>
    </row>
    <row r="90" spans="13:13">
      <c r="M90" s="491"/>
    </row>
    <row r="91" spans="13:13">
      <c r="M91" s="491"/>
    </row>
    <row r="92" spans="13:13">
      <c r="M92" s="491"/>
    </row>
    <row r="93" spans="13:13">
      <c r="M93" s="491"/>
    </row>
    <row r="94" spans="13:13">
      <c r="M94" s="491"/>
    </row>
    <row r="95" spans="13:13">
      <c r="M95" s="491"/>
    </row>
    <row r="96" spans="13:13">
      <c r="M96" s="491"/>
    </row>
    <row r="97" spans="13:13">
      <c r="M97" s="491"/>
    </row>
  </sheetData>
  <dataValidations count="1">
    <dataValidation type="list" allowBlank="1" showInputMessage="1" showErrorMessage="1" sqref="N11:N13 JJ11:JJ13 TF11:TF13 ADB11:ADB13 AMX11:AMX13 AWT11:AWT13 BGP11:BGP13 BQL11:BQL13 CAH11:CAH13 CKD11:CKD13 CTZ11:CTZ13 DDV11:DDV13 DNR11:DNR13 DXN11:DXN13 EHJ11:EHJ13 ERF11:ERF13 FBB11:FBB13 FKX11:FKX13 FUT11:FUT13 GEP11:GEP13 GOL11:GOL13 GYH11:GYH13 HID11:HID13 HRZ11:HRZ13 IBV11:IBV13 ILR11:ILR13 IVN11:IVN13 JFJ11:JFJ13 JPF11:JPF13 JZB11:JZB13 KIX11:KIX13 KST11:KST13 LCP11:LCP13 LML11:LML13 LWH11:LWH13 MGD11:MGD13 MPZ11:MPZ13 MZV11:MZV13 NJR11:NJR13 NTN11:NTN13 ODJ11:ODJ13 ONF11:ONF13 OXB11:OXB13 PGX11:PGX13 PQT11:PQT13 QAP11:QAP13 QKL11:QKL13 QUH11:QUH13 RED11:RED13 RNZ11:RNZ13 RXV11:RXV13 SHR11:SHR13 SRN11:SRN13 TBJ11:TBJ13 TLF11:TLF13 TVB11:TVB13 UEX11:UEX13 UOT11:UOT13 UYP11:UYP13 VIL11:VIL13 VSH11:VSH13 WCD11:WCD13 WLZ11:WLZ13 WVV11:WVV13 N65547:N65549 JJ65547:JJ65549 TF65547:TF65549 ADB65547:ADB65549 AMX65547:AMX65549 AWT65547:AWT65549 BGP65547:BGP65549 BQL65547:BQL65549 CAH65547:CAH65549 CKD65547:CKD65549 CTZ65547:CTZ65549 DDV65547:DDV65549 DNR65547:DNR65549 DXN65547:DXN65549 EHJ65547:EHJ65549 ERF65547:ERF65549 FBB65547:FBB65549 FKX65547:FKX65549 FUT65547:FUT65549 GEP65547:GEP65549 GOL65547:GOL65549 GYH65547:GYH65549 HID65547:HID65549 HRZ65547:HRZ65549 IBV65547:IBV65549 ILR65547:ILR65549 IVN65547:IVN65549 JFJ65547:JFJ65549 JPF65547:JPF65549 JZB65547:JZB65549 KIX65547:KIX65549 KST65547:KST65549 LCP65547:LCP65549 LML65547:LML65549 LWH65547:LWH65549 MGD65547:MGD65549 MPZ65547:MPZ65549 MZV65547:MZV65549 NJR65547:NJR65549 NTN65547:NTN65549 ODJ65547:ODJ65549 ONF65547:ONF65549 OXB65547:OXB65549 PGX65547:PGX65549 PQT65547:PQT65549 QAP65547:QAP65549 QKL65547:QKL65549 QUH65547:QUH65549 RED65547:RED65549 RNZ65547:RNZ65549 RXV65547:RXV65549 SHR65547:SHR65549 SRN65547:SRN65549 TBJ65547:TBJ65549 TLF65547:TLF65549 TVB65547:TVB65549 UEX65547:UEX65549 UOT65547:UOT65549 UYP65547:UYP65549 VIL65547:VIL65549 VSH65547:VSH65549 WCD65547:WCD65549 WLZ65547:WLZ65549 WVV65547:WVV65549 N131083:N131085 JJ131083:JJ131085 TF131083:TF131085 ADB131083:ADB131085 AMX131083:AMX131085 AWT131083:AWT131085 BGP131083:BGP131085 BQL131083:BQL131085 CAH131083:CAH131085 CKD131083:CKD131085 CTZ131083:CTZ131085 DDV131083:DDV131085 DNR131083:DNR131085 DXN131083:DXN131085 EHJ131083:EHJ131085 ERF131083:ERF131085 FBB131083:FBB131085 FKX131083:FKX131085 FUT131083:FUT131085 GEP131083:GEP131085 GOL131083:GOL131085 GYH131083:GYH131085 HID131083:HID131085 HRZ131083:HRZ131085 IBV131083:IBV131085 ILR131083:ILR131085 IVN131083:IVN131085 JFJ131083:JFJ131085 JPF131083:JPF131085 JZB131083:JZB131085 KIX131083:KIX131085 KST131083:KST131085 LCP131083:LCP131085 LML131083:LML131085 LWH131083:LWH131085 MGD131083:MGD131085 MPZ131083:MPZ131085 MZV131083:MZV131085 NJR131083:NJR131085 NTN131083:NTN131085 ODJ131083:ODJ131085 ONF131083:ONF131085 OXB131083:OXB131085 PGX131083:PGX131085 PQT131083:PQT131085 QAP131083:QAP131085 QKL131083:QKL131085 QUH131083:QUH131085 RED131083:RED131085 RNZ131083:RNZ131085 RXV131083:RXV131085 SHR131083:SHR131085 SRN131083:SRN131085 TBJ131083:TBJ131085 TLF131083:TLF131085 TVB131083:TVB131085 UEX131083:UEX131085 UOT131083:UOT131085 UYP131083:UYP131085 VIL131083:VIL131085 VSH131083:VSH131085 WCD131083:WCD131085 WLZ131083:WLZ131085 WVV131083:WVV131085 N196619:N196621 JJ196619:JJ196621 TF196619:TF196621 ADB196619:ADB196621 AMX196619:AMX196621 AWT196619:AWT196621 BGP196619:BGP196621 BQL196619:BQL196621 CAH196619:CAH196621 CKD196619:CKD196621 CTZ196619:CTZ196621 DDV196619:DDV196621 DNR196619:DNR196621 DXN196619:DXN196621 EHJ196619:EHJ196621 ERF196619:ERF196621 FBB196619:FBB196621 FKX196619:FKX196621 FUT196619:FUT196621 GEP196619:GEP196621 GOL196619:GOL196621 GYH196619:GYH196621 HID196619:HID196621 HRZ196619:HRZ196621 IBV196619:IBV196621 ILR196619:ILR196621 IVN196619:IVN196621 JFJ196619:JFJ196621 JPF196619:JPF196621 JZB196619:JZB196621 KIX196619:KIX196621 KST196619:KST196621 LCP196619:LCP196621 LML196619:LML196621 LWH196619:LWH196621 MGD196619:MGD196621 MPZ196619:MPZ196621 MZV196619:MZV196621 NJR196619:NJR196621 NTN196619:NTN196621 ODJ196619:ODJ196621 ONF196619:ONF196621 OXB196619:OXB196621 PGX196619:PGX196621 PQT196619:PQT196621 QAP196619:QAP196621 QKL196619:QKL196621 QUH196619:QUH196621 RED196619:RED196621 RNZ196619:RNZ196621 RXV196619:RXV196621 SHR196619:SHR196621 SRN196619:SRN196621 TBJ196619:TBJ196621 TLF196619:TLF196621 TVB196619:TVB196621 UEX196619:UEX196621 UOT196619:UOT196621 UYP196619:UYP196621 VIL196619:VIL196621 VSH196619:VSH196621 WCD196619:WCD196621 WLZ196619:WLZ196621 WVV196619:WVV196621 N262155:N262157 JJ262155:JJ262157 TF262155:TF262157 ADB262155:ADB262157 AMX262155:AMX262157 AWT262155:AWT262157 BGP262155:BGP262157 BQL262155:BQL262157 CAH262155:CAH262157 CKD262155:CKD262157 CTZ262155:CTZ262157 DDV262155:DDV262157 DNR262155:DNR262157 DXN262155:DXN262157 EHJ262155:EHJ262157 ERF262155:ERF262157 FBB262155:FBB262157 FKX262155:FKX262157 FUT262155:FUT262157 GEP262155:GEP262157 GOL262155:GOL262157 GYH262155:GYH262157 HID262155:HID262157 HRZ262155:HRZ262157 IBV262155:IBV262157 ILR262155:ILR262157 IVN262155:IVN262157 JFJ262155:JFJ262157 JPF262155:JPF262157 JZB262155:JZB262157 KIX262155:KIX262157 KST262155:KST262157 LCP262155:LCP262157 LML262155:LML262157 LWH262155:LWH262157 MGD262155:MGD262157 MPZ262155:MPZ262157 MZV262155:MZV262157 NJR262155:NJR262157 NTN262155:NTN262157 ODJ262155:ODJ262157 ONF262155:ONF262157 OXB262155:OXB262157 PGX262155:PGX262157 PQT262155:PQT262157 QAP262155:QAP262157 QKL262155:QKL262157 QUH262155:QUH262157 RED262155:RED262157 RNZ262155:RNZ262157 RXV262155:RXV262157 SHR262155:SHR262157 SRN262155:SRN262157 TBJ262155:TBJ262157 TLF262155:TLF262157 TVB262155:TVB262157 UEX262155:UEX262157 UOT262155:UOT262157 UYP262155:UYP262157 VIL262155:VIL262157 VSH262155:VSH262157 WCD262155:WCD262157 WLZ262155:WLZ262157 WVV262155:WVV262157 N327691:N327693 JJ327691:JJ327693 TF327691:TF327693 ADB327691:ADB327693 AMX327691:AMX327693 AWT327691:AWT327693 BGP327691:BGP327693 BQL327691:BQL327693 CAH327691:CAH327693 CKD327691:CKD327693 CTZ327691:CTZ327693 DDV327691:DDV327693 DNR327691:DNR327693 DXN327691:DXN327693 EHJ327691:EHJ327693 ERF327691:ERF327693 FBB327691:FBB327693 FKX327691:FKX327693 FUT327691:FUT327693 GEP327691:GEP327693 GOL327691:GOL327693 GYH327691:GYH327693 HID327691:HID327693 HRZ327691:HRZ327693 IBV327691:IBV327693 ILR327691:ILR327693 IVN327691:IVN327693 JFJ327691:JFJ327693 JPF327691:JPF327693 JZB327691:JZB327693 KIX327691:KIX327693 KST327691:KST327693 LCP327691:LCP327693 LML327691:LML327693 LWH327691:LWH327693 MGD327691:MGD327693 MPZ327691:MPZ327693 MZV327691:MZV327693 NJR327691:NJR327693 NTN327691:NTN327693 ODJ327691:ODJ327693 ONF327691:ONF327693 OXB327691:OXB327693 PGX327691:PGX327693 PQT327691:PQT327693 QAP327691:QAP327693 QKL327691:QKL327693 QUH327691:QUH327693 RED327691:RED327693 RNZ327691:RNZ327693 RXV327691:RXV327693 SHR327691:SHR327693 SRN327691:SRN327693 TBJ327691:TBJ327693 TLF327691:TLF327693 TVB327691:TVB327693 UEX327691:UEX327693 UOT327691:UOT327693 UYP327691:UYP327693 VIL327691:VIL327693 VSH327691:VSH327693 WCD327691:WCD327693 WLZ327691:WLZ327693 WVV327691:WVV327693 N393227:N393229 JJ393227:JJ393229 TF393227:TF393229 ADB393227:ADB393229 AMX393227:AMX393229 AWT393227:AWT393229 BGP393227:BGP393229 BQL393227:BQL393229 CAH393227:CAH393229 CKD393227:CKD393229 CTZ393227:CTZ393229 DDV393227:DDV393229 DNR393227:DNR393229 DXN393227:DXN393229 EHJ393227:EHJ393229 ERF393227:ERF393229 FBB393227:FBB393229 FKX393227:FKX393229 FUT393227:FUT393229 GEP393227:GEP393229 GOL393227:GOL393229 GYH393227:GYH393229 HID393227:HID393229 HRZ393227:HRZ393229 IBV393227:IBV393229 ILR393227:ILR393229 IVN393227:IVN393229 JFJ393227:JFJ393229 JPF393227:JPF393229 JZB393227:JZB393229 KIX393227:KIX393229 KST393227:KST393229 LCP393227:LCP393229 LML393227:LML393229 LWH393227:LWH393229 MGD393227:MGD393229 MPZ393227:MPZ393229 MZV393227:MZV393229 NJR393227:NJR393229 NTN393227:NTN393229 ODJ393227:ODJ393229 ONF393227:ONF393229 OXB393227:OXB393229 PGX393227:PGX393229 PQT393227:PQT393229 QAP393227:QAP393229 QKL393227:QKL393229 QUH393227:QUH393229 RED393227:RED393229 RNZ393227:RNZ393229 RXV393227:RXV393229 SHR393227:SHR393229 SRN393227:SRN393229 TBJ393227:TBJ393229 TLF393227:TLF393229 TVB393227:TVB393229 UEX393227:UEX393229 UOT393227:UOT393229 UYP393227:UYP393229 VIL393227:VIL393229 VSH393227:VSH393229 WCD393227:WCD393229 WLZ393227:WLZ393229 WVV393227:WVV393229 N458763:N458765 JJ458763:JJ458765 TF458763:TF458765 ADB458763:ADB458765 AMX458763:AMX458765 AWT458763:AWT458765 BGP458763:BGP458765 BQL458763:BQL458765 CAH458763:CAH458765 CKD458763:CKD458765 CTZ458763:CTZ458765 DDV458763:DDV458765 DNR458763:DNR458765 DXN458763:DXN458765 EHJ458763:EHJ458765 ERF458763:ERF458765 FBB458763:FBB458765 FKX458763:FKX458765 FUT458763:FUT458765 GEP458763:GEP458765 GOL458763:GOL458765 GYH458763:GYH458765 HID458763:HID458765 HRZ458763:HRZ458765 IBV458763:IBV458765 ILR458763:ILR458765 IVN458763:IVN458765 JFJ458763:JFJ458765 JPF458763:JPF458765 JZB458763:JZB458765 KIX458763:KIX458765 KST458763:KST458765 LCP458763:LCP458765 LML458763:LML458765 LWH458763:LWH458765 MGD458763:MGD458765 MPZ458763:MPZ458765 MZV458763:MZV458765 NJR458763:NJR458765 NTN458763:NTN458765 ODJ458763:ODJ458765 ONF458763:ONF458765 OXB458763:OXB458765 PGX458763:PGX458765 PQT458763:PQT458765 QAP458763:QAP458765 QKL458763:QKL458765 QUH458763:QUH458765 RED458763:RED458765 RNZ458763:RNZ458765 RXV458763:RXV458765 SHR458763:SHR458765 SRN458763:SRN458765 TBJ458763:TBJ458765 TLF458763:TLF458765 TVB458763:TVB458765 UEX458763:UEX458765 UOT458763:UOT458765 UYP458763:UYP458765 VIL458763:VIL458765 VSH458763:VSH458765 WCD458763:WCD458765 WLZ458763:WLZ458765 WVV458763:WVV458765 N524299:N524301 JJ524299:JJ524301 TF524299:TF524301 ADB524299:ADB524301 AMX524299:AMX524301 AWT524299:AWT524301 BGP524299:BGP524301 BQL524299:BQL524301 CAH524299:CAH524301 CKD524299:CKD524301 CTZ524299:CTZ524301 DDV524299:DDV524301 DNR524299:DNR524301 DXN524299:DXN524301 EHJ524299:EHJ524301 ERF524299:ERF524301 FBB524299:FBB524301 FKX524299:FKX524301 FUT524299:FUT524301 GEP524299:GEP524301 GOL524299:GOL524301 GYH524299:GYH524301 HID524299:HID524301 HRZ524299:HRZ524301 IBV524299:IBV524301 ILR524299:ILR524301 IVN524299:IVN524301 JFJ524299:JFJ524301 JPF524299:JPF524301 JZB524299:JZB524301 KIX524299:KIX524301 KST524299:KST524301 LCP524299:LCP524301 LML524299:LML524301 LWH524299:LWH524301 MGD524299:MGD524301 MPZ524299:MPZ524301 MZV524299:MZV524301 NJR524299:NJR524301 NTN524299:NTN524301 ODJ524299:ODJ524301 ONF524299:ONF524301 OXB524299:OXB524301 PGX524299:PGX524301 PQT524299:PQT524301 QAP524299:QAP524301 QKL524299:QKL524301 QUH524299:QUH524301 RED524299:RED524301 RNZ524299:RNZ524301 RXV524299:RXV524301 SHR524299:SHR524301 SRN524299:SRN524301 TBJ524299:TBJ524301 TLF524299:TLF524301 TVB524299:TVB524301 UEX524299:UEX524301 UOT524299:UOT524301 UYP524299:UYP524301 VIL524299:VIL524301 VSH524299:VSH524301 WCD524299:WCD524301 WLZ524299:WLZ524301 WVV524299:WVV524301 N589835:N589837 JJ589835:JJ589837 TF589835:TF589837 ADB589835:ADB589837 AMX589835:AMX589837 AWT589835:AWT589837 BGP589835:BGP589837 BQL589835:BQL589837 CAH589835:CAH589837 CKD589835:CKD589837 CTZ589835:CTZ589837 DDV589835:DDV589837 DNR589835:DNR589837 DXN589835:DXN589837 EHJ589835:EHJ589837 ERF589835:ERF589837 FBB589835:FBB589837 FKX589835:FKX589837 FUT589835:FUT589837 GEP589835:GEP589837 GOL589835:GOL589837 GYH589835:GYH589837 HID589835:HID589837 HRZ589835:HRZ589837 IBV589835:IBV589837 ILR589835:ILR589837 IVN589835:IVN589837 JFJ589835:JFJ589837 JPF589835:JPF589837 JZB589835:JZB589837 KIX589835:KIX589837 KST589835:KST589837 LCP589835:LCP589837 LML589835:LML589837 LWH589835:LWH589837 MGD589835:MGD589837 MPZ589835:MPZ589837 MZV589835:MZV589837 NJR589835:NJR589837 NTN589835:NTN589837 ODJ589835:ODJ589837 ONF589835:ONF589837 OXB589835:OXB589837 PGX589835:PGX589837 PQT589835:PQT589837 QAP589835:QAP589837 QKL589835:QKL589837 QUH589835:QUH589837 RED589835:RED589837 RNZ589835:RNZ589837 RXV589835:RXV589837 SHR589835:SHR589837 SRN589835:SRN589837 TBJ589835:TBJ589837 TLF589835:TLF589837 TVB589835:TVB589837 UEX589835:UEX589837 UOT589835:UOT589837 UYP589835:UYP589837 VIL589835:VIL589837 VSH589835:VSH589837 WCD589835:WCD589837 WLZ589835:WLZ589837 WVV589835:WVV589837 N655371:N655373 JJ655371:JJ655373 TF655371:TF655373 ADB655371:ADB655373 AMX655371:AMX655373 AWT655371:AWT655373 BGP655371:BGP655373 BQL655371:BQL655373 CAH655371:CAH655373 CKD655371:CKD655373 CTZ655371:CTZ655373 DDV655371:DDV655373 DNR655371:DNR655373 DXN655371:DXN655373 EHJ655371:EHJ655373 ERF655371:ERF655373 FBB655371:FBB655373 FKX655371:FKX655373 FUT655371:FUT655373 GEP655371:GEP655373 GOL655371:GOL655373 GYH655371:GYH655373 HID655371:HID655373 HRZ655371:HRZ655373 IBV655371:IBV655373 ILR655371:ILR655373 IVN655371:IVN655373 JFJ655371:JFJ655373 JPF655371:JPF655373 JZB655371:JZB655373 KIX655371:KIX655373 KST655371:KST655373 LCP655371:LCP655373 LML655371:LML655373 LWH655371:LWH655373 MGD655371:MGD655373 MPZ655371:MPZ655373 MZV655371:MZV655373 NJR655371:NJR655373 NTN655371:NTN655373 ODJ655371:ODJ655373 ONF655371:ONF655373 OXB655371:OXB655373 PGX655371:PGX655373 PQT655371:PQT655373 QAP655371:QAP655373 QKL655371:QKL655373 QUH655371:QUH655373 RED655371:RED655373 RNZ655371:RNZ655373 RXV655371:RXV655373 SHR655371:SHR655373 SRN655371:SRN655373 TBJ655371:TBJ655373 TLF655371:TLF655373 TVB655371:TVB655373 UEX655371:UEX655373 UOT655371:UOT655373 UYP655371:UYP655373 VIL655371:VIL655373 VSH655371:VSH655373 WCD655371:WCD655373 WLZ655371:WLZ655373 WVV655371:WVV655373 N720907:N720909 JJ720907:JJ720909 TF720907:TF720909 ADB720907:ADB720909 AMX720907:AMX720909 AWT720907:AWT720909 BGP720907:BGP720909 BQL720907:BQL720909 CAH720907:CAH720909 CKD720907:CKD720909 CTZ720907:CTZ720909 DDV720907:DDV720909 DNR720907:DNR720909 DXN720907:DXN720909 EHJ720907:EHJ720909 ERF720907:ERF720909 FBB720907:FBB720909 FKX720907:FKX720909 FUT720907:FUT720909 GEP720907:GEP720909 GOL720907:GOL720909 GYH720907:GYH720909 HID720907:HID720909 HRZ720907:HRZ720909 IBV720907:IBV720909 ILR720907:ILR720909 IVN720907:IVN720909 JFJ720907:JFJ720909 JPF720907:JPF720909 JZB720907:JZB720909 KIX720907:KIX720909 KST720907:KST720909 LCP720907:LCP720909 LML720907:LML720909 LWH720907:LWH720909 MGD720907:MGD720909 MPZ720907:MPZ720909 MZV720907:MZV720909 NJR720907:NJR720909 NTN720907:NTN720909 ODJ720907:ODJ720909 ONF720907:ONF720909 OXB720907:OXB720909 PGX720907:PGX720909 PQT720907:PQT720909 QAP720907:QAP720909 QKL720907:QKL720909 QUH720907:QUH720909 RED720907:RED720909 RNZ720907:RNZ720909 RXV720907:RXV720909 SHR720907:SHR720909 SRN720907:SRN720909 TBJ720907:TBJ720909 TLF720907:TLF720909 TVB720907:TVB720909 UEX720907:UEX720909 UOT720907:UOT720909 UYP720907:UYP720909 VIL720907:VIL720909 VSH720907:VSH720909 WCD720907:WCD720909 WLZ720907:WLZ720909 WVV720907:WVV720909 N786443:N786445 JJ786443:JJ786445 TF786443:TF786445 ADB786443:ADB786445 AMX786443:AMX786445 AWT786443:AWT786445 BGP786443:BGP786445 BQL786443:BQL786445 CAH786443:CAH786445 CKD786443:CKD786445 CTZ786443:CTZ786445 DDV786443:DDV786445 DNR786443:DNR786445 DXN786443:DXN786445 EHJ786443:EHJ786445 ERF786443:ERF786445 FBB786443:FBB786445 FKX786443:FKX786445 FUT786443:FUT786445 GEP786443:GEP786445 GOL786443:GOL786445 GYH786443:GYH786445 HID786443:HID786445 HRZ786443:HRZ786445 IBV786443:IBV786445 ILR786443:ILR786445 IVN786443:IVN786445 JFJ786443:JFJ786445 JPF786443:JPF786445 JZB786443:JZB786445 KIX786443:KIX786445 KST786443:KST786445 LCP786443:LCP786445 LML786443:LML786445 LWH786443:LWH786445 MGD786443:MGD786445 MPZ786443:MPZ786445 MZV786443:MZV786445 NJR786443:NJR786445 NTN786443:NTN786445 ODJ786443:ODJ786445 ONF786443:ONF786445 OXB786443:OXB786445 PGX786443:PGX786445 PQT786443:PQT786445 QAP786443:QAP786445 QKL786443:QKL786445 QUH786443:QUH786445 RED786443:RED786445 RNZ786443:RNZ786445 RXV786443:RXV786445 SHR786443:SHR786445 SRN786443:SRN786445 TBJ786443:TBJ786445 TLF786443:TLF786445 TVB786443:TVB786445 UEX786443:UEX786445 UOT786443:UOT786445 UYP786443:UYP786445 VIL786443:VIL786445 VSH786443:VSH786445 WCD786443:WCD786445 WLZ786443:WLZ786445 WVV786443:WVV786445 N851979:N851981 JJ851979:JJ851981 TF851979:TF851981 ADB851979:ADB851981 AMX851979:AMX851981 AWT851979:AWT851981 BGP851979:BGP851981 BQL851979:BQL851981 CAH851979:CAH851981 CKD851979:CKD851981 CTZ851979:CTZ851981 DDV851979:DDV851981 DNR851979:DNR851981 DXN851979:DXN851981 EHJ851979:EHJ851981 ERF851979:ERF851981 FBB851979:FBB851981 FKX851979:FKX851981 FUT851979:FUT851981 GEP851979:GEP851981 GOL851979:GOL851981 GYH851979:GYH851981 HID851979:HID851981 HRZ851979:HRZ851981 IBV851979:IBV851981 ILR851979:ILR851981 IVN851979:IVN851981 JFJ851979:JFJ851981 JPF851979:JPF851981 JZB851979:JZB851981 KIX851979:KIX851981 KST851979:KST851981 LCP851979:LCP851981 LML851979:LML851981 LWH851979:LWH851981 MGD851979:MGD851981 MPZ851979:MPZ851981 MZV851979:MZV851981 NJR851979:NJR851981 NTN851979:NTN851981 ODJ851979:ODJ851981 ONF851979:ONF851981 OXB851979:OXB851981 PGX851979:PGX851981 PQT851979:PQT851981 QAP851979:QAP851981 QKL851979:QKL851981 QUH851979:QUH851981 RED851979:RED851981 RNZ851979:RNZ851981 RXV851979:RXV851981 SHR851979:SHR851981 SRN851979:SRN851981 TBJ851979:TBJ851981 TLF851979:TLF851981 TVB851979:TVB851981 UEX851979:UEX851981 UOT851979:UOT851981 UYP851979:UYP851981 VIL851979:VIL851981 VSH851979:VSH851981 WCD851979:WCD851981 WLZ851979:WLZ851981 WVV851979:WVV851981 N917515:N917517 JJ917515:JJ917517 TF917515:TF917517 ADB917515:ADB917517 AMX917515:AMX917517 AWT917515:AWT917517 BGP917515:BGP917517 BQL917515:BQL917517 CAH917515:CAH917517 CKD917515:CKD917517 CTZ917515:CTZ917517 DDV917515:DDV917517 DNR917515:DNR917517 DXN917515:DXN917517 EHJ917515:EHJ917517 ERF917515:ERF917517 FBB917515:FBB917517 FKX917515:FKX917517 FUT917515:FUT917517 GEP917515:GEP917517 GOL917515:GOL917517 GYH917515:GYH917517 HID917515:HID917517 HRZ917515:HRZ917517 IBV917515:IBV917517 ILR917515:ILR917517 IVN917515:IVN917517 JFJ917515:JFJ917517 JPF917515:JPF917517 JZB917515:JZB917517 KIX917515:KIX917517 KST917515:KST917517 LCP917515:LCP917517 LML917515:LML917517 LWH917515:LWH917517 MGD917515:MGD917517 MPZ917515:MPZ917517 MZV917515:MZV917517 NJR917515:NJR917517 NTN917515:NTN917517 ODJ917515:ODJ917517 ONF917515:ONF917517 OXB917515:OXB917517 PGX917515:PGX917517 PQT917515:PQT917517 QAP917515:QAP917517 QKL917515:QKL917517 QUH917515:QUH917517 RED917515:RED917517 RNZ917515:RNZ917517 RXV917515:RXV917517 SHR917515:SHR917517 SRN917515:SRN917517 TBJ917515:TBJ917517 TLF917515:TLF917517 TVB917515:TVB917517 UEX917515:UEX917517 UOT917515:UOT917517 UYP917515:UYP917517 VIL917515:VIL917517 VSH917515:VSH917517 WCD917515:WCD917517 WLZ917515:WLZ917517 WVV917515:WVV917517 N983051:N983053 JJ983051:JJ983053 TF983051:TF983053 ADB983051:ADB983053 AMX983051:AMX983053 AWT983051:AWT983053 BGP983051:BGP983053 BQL983051:BQL983053 CAH983051:CAH983053 CKD983051:CKD983053 CTZ983051:CTZ983053 DDV983051:DDV983053 DNR983051:DNR983053 DXN983051:DXN983053 EHJ983051:EHJ983053 ERF983051:ERF983053 FBB983051:FBB983053 FKX983051:FKX983053 FUT983051:FUT983053 GEP983051:GEP983053 GOL983051:GOL983053 GYH983051:GYH983053 HID983051:HID983053 HRZ983051:HRZ983053 IBV983051:IBV983053 ILR983051:ILR983053 IVN983051:IVN983053 JFJ983051:JFJ983053 JPF983051:JPF983053 JZB983051:JZB983053 KIX983051:KIX983053 KST983051:KST983053 LCP983051:LCP983053 LML983051:LML983053 LWH983051:LWH983053 MGD983051:MGD983053 MPZ983051:MPZ983053 MZV983051:MZV983053 NJR983051:NJR983053 NTN983051:NTN983053 ODJ983051:ODJ983053 ONF983051:ONF983053 OXB983051:OXB983053 PGX983051:PGX983053 PQT983051:PQT983053 QAP983051:QAP983053 QKL983051:QKL983053 QUH983051:QUH983053 RED983051:RED983053 RNZ983051:RNZ983053 RXV983051:RXV983053 SHR983051:SHR983053 SRN983051:SRN983053 TBJ983051:TBJ983053 TLF983051:TLF983053 TVB983051:TVB983053 UEX983051:UEX983053 UOT983051:UOT983053 UYP983051:UYP983053 VIL983051:VIL983053 VSH983051:VSH983053 WCD983051:WCD983053 WLZ983051:WLZ983053 WVV983051:WVV983053" xr:uid="{55F3A88F-6940-4631-B996-E00DC1F8899B}">
      <formula1>"Y,N"</formula1>
    </dataValidation>
  </dataValidations>
  <pageMargins left="0.75" right="0.75" top="1" bottom="1" header="0.5" footer="0.5"/>
  <pageSetup paperSize="9" orientation="portrait" verticalDpi="300" r:id="rId1"/>
  <headerFooter alignWithMargins="0">
    <oddHeader>&amp;L&amp;"Arial"&amp;9&amp;K0078D7 INTERNAL&amp;1#_x000D_</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8A32-DBC7-4CAF-8C55-DCC2F7D7B610}">
  <sheetPr codeName="Sheet27"/>
  <dimension ref="A1:N99"/>
  <sheetViews>
    <sheetView topLeftCell="A2" workbookViewId="0">
      <selection activeCell="G34" sqref="G34"/>
    </sheetView>
  </sheetViews>
  <sheetFormatPr defaultColWidth="9.1796875" defaultRowHeight="10"/>
  <cols>
    <col min="1" max="1" width="24.7265625" style="43" bestFit="1" customWidth="1"/>
    <col min="2" max="2" width="18.7265625" style="44" bestFit="1" customWidth="1"/>
    <col min="3" max="3" width="8.1796875" style="44" bestFit="1" customWidth="1"/>
    <col min="4" max="5" width="8.26953125" style="44" bestFit="1" customWidth="1"/>
    <col min="6" max="6" width="7.26953125" style="44" bestFit="1" customWidth="1"/>
    <col min="7" max="7" width="23.26953125" style="46" customWidth="1"/>
    <col min="8" max="8" width="17.1796875" style="46" bestFit="1" customWidth="1"/>
    <col min="9" max="9" width="23.26953125" style="46" customWidth="1"/>
    <col min="10" max="10" width="39" style="44" customWidth="1"/>
    <col min="11" max="12" width="9.1796875" style="44"/>
    <col min="13" max="13" width="13.26953125" style="11" customWidth="1"/>
    <col min="14" max="256" width="9.1796875" style="11"/>
    <col min="257" max="257" width="24.7265625" style="11" bestFit="1" customWidth="1"/>
    <col min="258" max="258" width="18.7265625" style="11" bestFit="1" customWidth="1"/>
    <col min="259" max="259" width="8.1796875" style="11" bestFit="1" customWidth="1"/>
    <col min="260" max="261" width="8.26953125" style="11" bestFit="1" customWidth="1"/>
    <col min="262" max="262" width="7.26953125" style="11" bestFit="1" customWidth="1"/>
    <col min="263" max="263" width="23.26953125" style="11" customWidth="1"/>
    <col min="264" max="264" width="17.1796875" style="11" bestFit="1" customWidth="1"/>
    <col min="265" max="265" width="23.26953125" style="11" customWidth="1"/>
    <col min="266" max="266" width="39" style="11" customWidth="1"/>
    <col min="267" max="268" width="9.1796875" style="11"/>
    <col min="269" max="269" width="13.26953125" style="11" customWidth="1"/>
    <col min="270" max="512" width="9.1796875" style="11"/>
    <col min="513" max="513" width="24.7265625" style="11" bestFit="1" customWidth="1"/>
    <col min="514" max="514" width="18.7265625" style="11" bestFit="1" customWidth="1"/>
    <col min="515" max="515" width="8.1796875" style="11" bestFit="1" customWidth="1"/>
    <col min="516" max="517" width="8.26953125" style="11" bestFit="1" customWidth="1"/>
    <col min="518" max="518" width="7.26953125" style="11" bestFit="1" customWidth="1"/>
    <col min="519" max="519" width="23.26953125" style="11" customWidth="1"/>
    <col min="520" max="520" width="17.1796875" style="11" bestFit="1" customWidth="1"/>
    <col min="521" max="521" width="23.26953125" style="11" customWidth="1"/>
    <col min="522" max="522" width="39" style="11" customWidth="1"/>
    <col min="523" max="524" width="9.1796875" style="11"/>
    <col min="525" max="525" width="13.26953125" style="11" customWidth="1"/>
    <col min="526" max="768" width="9.1796875" style="11"/>
    <col min="769" max="769" width="24.7265625" style="11" bestFit="1" customWidth="1"/>
    <col min="770" max="770" width="18.7265625" style="11" bestFit="1" customWidth="1"/>
    <col min="771" max="771" width="8.1796875" style="11" bestFit="1" customWidth="1"/>
    <col min="772" max="773" width="8.26953125" style="11" bestFit="1" customWidth="1"/>
    <col min="774" max="774" width="7.26953125" style="11" bestFit="1" customWidth="1"/>
    <col min="775" max="775" width="23.26953125" style="11" customWidth="1"/>
    <col min="776" max="776" width="17.1796875" style="11" bestFit="1" customWidth="1"/>
    <col min="777" max="777" width="23.26953125" style="11" customWidth="1"/>
    <col min="778" max="778" width="39" style="11" customWidth="1"/>
    <col min="779" max="780" width="9.1796875" style="11"/>
    <col min="781" max="781" width="13.26953125" style="11" customWidth="1"/>
    <col min="782" max="1024" width="9.1796875" style="11"/>
    <col min="1025" max="1025" width="24.7265625" style="11" bestFit="1" customWidth="1"/>
    <col min="1026" max="1026" width="18.7265625" style="11" bestFit="1" customWidth="1"/>
    <col min="1027" max="1027" width="8.1796875" style="11" bestFit="1" customWidth="1"/>
    <col min="1028" max="1029" width="8.26953125" style="11" bestFit="1" customWidth="1"/>
    <col min="1030" max="1030" width="7.26953125" style="11" bestFit="1" customWidth="1"/>
    <col min="1031" max="1031" width="23.26953125" style="11" customWidth="1"/>
    <col min="1032" max="1032" width="17.1796875" style="11" bestFit="1" customWidth="1"/>
    <col min="1033" max="1033" width="23.26953125" style="11" customWidth="1"/>
    <col min="1034" max="1034" width="39" style="11" customWidth="1"/>
    <col min="1035" max="1036" width="9.1796875" style="11"/>
    <col min="1037" max="1037" width="13.26953125" style="11" customWidth="1"/>
    <col min="1038" max="1280" width="9.1796875" style="11"/>
    <col min="1281" max="1281" width="24.7265625" style="11" bestFit="1" customWidth="1"/>
    <col min="1282" max="1282" width="18.7265625" style="11" bestFit="1" customWidth="1"/>
    <col min="1283" max="1283" width="8.1796875" style="11" bestFit="1" customWidth="1"/>
    <col min="1284" max="1285" width="8.26953125" style="11" bestFit="1" customWidth="1"/>
    <col min="1286" max="1286" width="7.26953125" style="11" bestFit="1" customWidth="1"/>
    <col min="1287" max="1287" width="23.26953125" style="11" customWidth="1"/>
    <col min="1288" max="1288" width="17.1796875" style="11" bestFit="1" customWidth="1"/>
    <col min="1289" max="1289" width="23.26953125" style="11" customWidth="1"/>
    <col min="1290" max="1290" width="39" style="11" customWidth="1"/>
    <col min="1291" max="1292" width="9.1796875" style="11"/>
    <col min="1293" max="1293" width="13.26953125" style="11" customWidth="1"/>
    <col min="1294" max="1536" width="9.1796875" style="11"/>
    <col min="1537" max="1537" width="24.7265625" style="11" bestFit="1" customWidth="1"/>
    <col min="1538" max="1538" width="18.7265625" style="11" bestFit="1" customWidth="1"/>
    <col min="1539" max="1539" width="8.1796875" style="11" bestFit="1" customWidth="1"/>
    <col min="1540" max="1541" width="8.26953125" style="11" bestFit="1" customWidth="1"/>
    <col min="1542" max="1542" width="7.26953125" style="11" bestFit="1" customWidth="1"/>
    <col min="1543" max="1543" width="23.26953125" style="11" customWidth="1"/>
    <col min="1544" max="1544" width="17.1796875" style="11" bestFit="1" customWidth="1"/>
    <col min="1545" max="1545" width="23.26953125" style="11" customWidth="1"/>
    <col min="1546" max="1546" width="39" style="11" customWidth="1"/>
    <col min="1547" max="1548" width="9.1796875" style="11"/>
    <col min="1549" max="1549" width="13.26953125" style="11" customWidth="1"/>
    <col min="1550" max="1792" width="9.1796875" style="11"/>
    <col min="1793" max="1793" width="24.7265625" style="11" bestFit="1" customWidth="1"/>
    <col min="1794" max="1794" width="18.7265625" style="11" bestFit="1" customWidth="1"/>
    <col min="1795" max="1795" width="8.1796875" style="11" bestFit="1" customWidth="1"/>
    <col min="1796" max="1797" width="8.26953125" style="11" bestFit="1" customWidth="1"/>
    <col min="1798" max="1798" width="7.26953125" style="11" bestFit="1" customWidth="1"/>
    <col min="1799" max="1799" width="23.26953125" style="11" customWidth="1"/>
    <col min="1800" max="1800" width="17.1796875" style="11" bestFit="1" customWidth="1"/>
    <col min="1801" max="1801" width="23.26953125" style="11" customWidth="1"/>
    <col min="1802" max="1802" width="39" style="11" customWidth="1"/>
    <col min="1803" max="1804" width="9.1796875" style="11"/>
    <col min="1805" max="1805" width="13.26953125" style="11" customWidth="1"/>
    <col min="1806" max="2048" width="9.1796875" style="11"/>
    <col min="2049" max="2049" width="24.7265625" style="11" bestFit="1" customWidth="1"/>
    <col min="2050" max="2050" width="18.7265625" style="11" bestFit="1" customWidth="1"/>
    <col min="2051" max="2051" width="8.1796875" style="11" bestFit="1" customWidth="1"/>
    <col min="2052" max="2053" width="8.26953125" style="11" bestFit="1" customWidth="1"/>
    <col min="2054" max="2054" width="7.26953125" style="11" bestFit="1" customWidth="1"/>
    <col min="2055" max="2055" width="23.26953125" style="11" customWidth="1"/>
    <col min="2056" max="2056" width="17.1796875" style="11" bestFit="1" customWidth="1"/>
    <col min="2057" max="2057" width="23.26953125" style="11" customWidth="1"/>
    <col min="2058" max="2058" width="39" style="11" customWidth="1"/>
    <col min="2059" max="2060" width="9.1796875" style="11"/>
    <col min="2061" max="2061" width="13.26953125" style="11" customWidth="1"/>
    <col min="2062" max="2304" width="9.1796875" style="11"/>
    <col min="2305" max="2305" width="24.7265625" style="11" bestFit="1" customWidth="1"/>
    <col min="2306" max="2306" width="18.7265625" style="11" bestFit="1" customWidth="1"/>
    <col min="2307" max="2307" width="8.1796875" style="11" bestFit="1" customWidth="1"/>
    <col min="2308" max="2309" width="8.26953125" style="11" bestFit="1" customWidth="1"/>
    <col min="2310" max="2310" width="7.26953125" style="11" bestFit="1" customWidth="1"/>
    <col min="2311" max="2311" width="23.26953125" style="11" customWidth="1"/>
    <col min="2312" max="2312" width="17.1796875" style="11" bestFit="1" customWidth="1"/>
    <col min="2313" max="2313" width="23.26953125" style="11" customWidth="1"/>
    <col min="2314" max="2314" width="39" style="11" customWidth="1"/>
    <col min="2315" max="2316" width="9.1796875" style="11"/>
    <col min="2317" max="2317" width="13.26953125" style="11" customWidth="1"/>
    <col min="2318" max="2560" width="9.1796875" style="11"/>
    <col min="2561" max="2561" width="24.7265625" style="11" bestFit="1" customWidth="1"/>
    <col min="2562" max="2562" width="18.7265625" style="11" bestFit="1" customWidth="1"/>
    <col min="2563" max="2563" width="8.1796875" style="11" bestFit="1" customWidth="1"/>
    <col min="2564" max="2565" width="8.26953125" style="11" bestFit="1" customWidth="1"/>
    <col min="2566" max="2566" width="7.26953125" style="11" bestFit="1" customWidth="1"/>
    <col min="2567" max="2567" width="23.26953125" style="11" customWidth="1"/>
    <col min="2568" max="2568" width="17.1796875" style="11" bestFit="1" customWidth="1"/>
    <col min="2569" max="2569" width="23.26953125" style="11" customWidth="1"/>
    <col min="2570" max="2570" width="39" style="11" customWidth="1"/>
    <col min="2571" max="2572" width="9.1796875" style="11"/>
    <col min="2573" max="2573" width="13.26953125" style="11" customWidth="1"/>
    <col min="2574" max="2816" width="9.1796875" style="11"/>
    <col min="2817" max="2817" width="24.7265625" style="11" bestFit="1" customWidth="1"/>
    <col min="2818" max="2818" width="18.7265625" style="11" bestFit="1" customWidth="1"/>
    <col min="2819" max="2819" width="8.1796875" style="11" bestFit="1" customWidth="1"/>
    <col min="2820" max="2821" width="8.26953125" style="11" bestFit="1" customWidth="1"/>
    <col min="2822" max="2822" width="7.26953125" style="11" bestFit="1" customWidth="1"/>
    <col min="2823" max="2823" width="23.26953125" style="11" customWidth="1"/>
    <col min="2824" max="2824" width="17.1796875" style="11" bestFit="1" customWidth="1"/>
    <col min="2825" max="2825" width="23.26953125" style="11" customWidth="1"/>
    <col min="2826" max="2826" width="39" style="11" customWidth="1"/>
    <col min="2827" max="2828" width="9.1796875" style="11"/>
    <col min="2829" max="2829" width="13.26953125" style="11" customWidth="1"/>
    <col min="2830" max="3072" width="9.1796875" style="11"/>
    <col min="3073" max="3073" width="24.7265625" style="11" bestFit="1" customWidth="1"/>
    <col min="3074" max="3074" width="18.7265625" style="11" bestFit="1" customWidth="1"/>
    <col min="3075" max="3075" width="8.1796875" style="11" bestFit="1" customWidth="1"/>
    <col min="3076" max="3077" width="8.26953125" style="11" bestFit="1" customWidth="1"/>
    <col min="3078" max="3078" width="7.26953125" style="11" bestFit="1" customWidth="1"/>
    <col min="3079" max="3079" width="23.26953125" style="11" customWidth="1"/>
    <col min="3080" max="3080" width="17.1796875" style="11" bestFit="1" customWidth="1"/>
    <col min="3081" max="3081" width="23.26953125" style="11" customWidth="1"/>
    <col min="3082" max="3082" width="39" style="11" customWidth="1"/>
    <col min="3083" max="3084" width="9.1796875" style="11"/>
    <col min="3085" max="3085" width="13.26953125" style="11" customWidth="1"/>
    <col min="3086" max="3328" width="9.1796875" style="11"/>
    <col min="3329" max="3329" width="24.7265625" style="11" bestFit="1" customWidth="1"/>
    <col min="3330" max="3330" width="18.7265625" style="11" bestFit="1" customWidth="1"/>
    <col min="3331" max="3331" width="8.1796875" style="11" bestFit="1" customWidth="1"/>
    <col min="3332" max="3333" width="8.26953125" style="11" bestFit="1" customWidth="1"/>
    <col min="3334" max="3334" width="7.26953125" style="11" bestFit="1" customWidth="1"/>
    <col min="3335" max="3335" width="23.26953125" style="11" customWidth="1"/>
    <col min="3336" max="3336" width="17.1796875" style="11" bestFit="1" customWidth="1"/>
    <col min="3337" max="3337" width="23.26953125" style="11" customWidth="1"/>
    <col min="3338" max="3338" width="39" style="11" customWidth="1"/>
    <col min="3339" max="3340" width="9.1796875" style="11"/>
    <col min="3341" max="3341" width="13.26953125" style="11" customWidth="1"/>
    <col min="3342" max="3584" width="9.1796875" style="11"/>
    <col min="3585" max="3585" width="24.7265625" style="11" bestFit="1" customWidth="1"/>
    <col min="3586" max="3586" width="18.7265625" style="11" bestFit="1" customWidth="1"/>
    <col min="3587" max="3587" width="8.1796875" style="11" bestFit="1" customWidth="1"/>
    <col min="3588" max="3589" width="8.26953125" style="11" bestFit="1" customWidth="1"/>
    <col min="3590" max="3590" width="7.26953125" style="11" bestFit="1" customWidth="1"/>
    <col min="3591" max="3591" width="23.26953125" style="11" customWidth="1"/>
    <col min="3592" max="3592" width="17.1796875" style="11" bestFit="1" customWidth="1"/>
    <col min="3593" max="3593" width="23.26953125" style="11" customWidth="1"/>
    <col min="3594" max="3594" width="39" style="11" customWidth="1"/>
    <col min="3595" max="3596" width="9.1796875" style="11"/>
    <col min="3597" max="3597" width="13.26953125" style="11" customWidth="1"/>
    <col min="3598" max="3840" width="9.1796875" style="11"/>
    <col min="3841" max="3841" width="24.7265625" style="11" bestFit="1" customWidth="1"/>
    <col min="3842" max="3842" width="18.7265625" style="11" bestFit="1" customWidth="1"/>
    <col min="3843" max="3843" width="8.1796875" style="11" bestFit="1" customWidth="1"/>
    <col min="3844" max="3845" width="8.26953125" style="11" bestFit="1" customWidth="1"/>
    <col min="3846" max="3846" width="7.26953125" style="11" bestFit="1" customWidth="1"/>
    <col min="3847" max="3847" width="23.26953125" style="11" customWidth="1"/>
    <col min="3848" max="3848" width="17.1796875" style="11" bestFit="1" customWidth="1"/>
    <col min="3849" max="3849" width="23.26953125" style="11" customWidth="1"/>
    <col min="3850" max="3850" width="39" style="11" customWidth="1"/>
    <col min="3851" max="3852" width="9.1796875" style="11"/>
    <col min="3853" max="3853" width="13.26953125" style="11" customWidth="1"/>
    <col min="3854" max="4096" width="9.1796875" style="11"/>
    <col min="4097" max="4097" width="24.7265625" style="11" bestFit="1" customWidth="1"/>
    <col min="4098" max="4098" width="18.7265625" style="11" bestFit="1" customWidth="1"/>
    <col min="4099" max="4099" width="8.1796875" style="11" bestFit="1" customWidth="1"/>
    <col min="4100" max="4101" width="8.26953125" style="11" bestFit="1" customWidth="1"/>
    <col min="4102" max="4102" width="7.26953125" style="11" bestFit="1" customWidth="1"/>
    <col min="4103" max="4103" width="23.26953125" style="11" customWidth="1"/>
    <col min="4104" max="4104" width="17.1796875" style="11" bestFit="1" customWidth="1"/>
    <col min="4105" max="4105" width="23.26953125" style="11" customWidth="1"/>
    <col min="4106" max="4106" width="39" style="11" customWidth="1"/>
    <col min="4107" max="4108" width="9.1796875" style="11"/>
    <col min="4109" max="4109" width="13.26953125" style="11" customWidth="1"/>
    <col min="4110" max="4352" width="9.1796875" style="11"/>
    <col min="4353" max="4353" width="24.7265625" style="11" bestFit="1" customWidth="1"/>
    <col min="4354" max="4354" width="18.7265625" style="11" bestFit="1" customWidth="1"/>
    <col min="4355" max="4355" width="8.1796875" style="11" bestFit="1" customWidth="1"/>
    <col min="4356" max="4357" width="8.26953125" style="11" bestFit="1" customWidth="1"/>
    <col min="4358" max="4358" width="7.26953125" style="11" bestFit="1" customWidth="1"/>
    <col min="4359" max="4359" width="23.26953125" style="11" customWidth="1"/>
    <col min="4360" max="4360" width="17.1796875" style="11" bestFit="1" customWidth="1"/>
    <col min="4361" max="4361" width="23.26953125" style="11" customWidth="1"/>
    <col min="4362" max="4362" width="39" style="11" customWidth="1"/>
    <col min="4363" max="4364" width="9.1796875" style="11"/>
    <col min="4365" max="4365" width="13.26953125" style="11" customWidth="1"/>
    <col min="4366" max="4608" width="9.1796875" style="11"/>
    <col min="4609" max="4609" width="24.7265625" style="11" bestFit="1" customWidth="1"/>
    <col min="4610" max="4610" width="18.7265625" style="11" bestFit="1" customWidth="1"/>
    <col min="4611" max="4611" width="8.1796875" style="11" bestFit="1" customWidth="1"/>
    <col min="4612" max="4613" width="8.26953125" style="11" bestFit="1" customWidth="1"/>
    <col min="4614" max="4614" width="7.26953125" style="11" bestFit="1" customWidth="1"/>
    <col min="4615" max="4615" width="23.26953125" style="11" customWidth="1"/>
    <col min="4616" max="4616" width="17.1796875" style="11" bestFit="1" customWidth="1"/>
    <col min="4617" max="4617" width="23.26953125" style="11" customWidth="1"/>
    <col min="4618" max="4618" width="39" style="11" customWidth="1"/>
    <col min="4619" max="4620" width="9.1796875" style="11"/>
    <col min="4621" max="4621" width="13.26953125" style="11" customWidth="1"/>
    <col min="4622" max="4864" width="9.1796875" style="11"/>
    <col min="4865" max="4865" width="24.7265625" style="11" bestFit="1" customWidth="1"/>
    <col min="4866" max="4866" width="18.7265625" style="11" bestFit="1" customWidth="1"/>
    <col min="4867" max="4867" width="8.1796875" style="11" bestFit="1" customWidth="1"/>
    <col min="4868" max="4869" width="8.26953125" style="11" bestFit="1" customWidth="1"/>
    <col min="4870" max="4870" width="7.26953125" style="11" bestFit="1" customWidth="1"/>
    <col min="4871" max="4871" width="23.26953125" style="11" customWidth="1"/>
    <col min="4872" max="4872" width="17.1796875" style="11" bestFit="1" customWidth="1"/>
    <col min="4873" max="4873" width="23.26953125" style="11" customWidth="1"/>
    <col min="4874" max="4874" width="39" style="11" customWidth="1"/>
    <col min="4875" max="4876" width="9.1796875" style="11"/>
    <col min="4877" max="4877" width="13.26953125" style="11" customWidth="1"/>
    <col min="4878" max="5120" width="9.1796875" style="11"/>
    <col min="5121" max="5121" width="24.7265625" style="11" bestFit="1" customWidth="1"/>
    <col min="5122" max="5122" width="18.7265625" style="11" bestFit="1" customWidth="1"/>
    <col min="5123" max="5123" width="8.1796875" style="11" bestFit="1" customWidth="1"/>
    <col min="5124" max="5125" width="8.26953125" style="11" bestFit="1" customWidth="1"/>
    <col min="5126" max="5126" width="7.26953125" style="11" bestFit="1" customWidth="1"/>
    <col min="5127" max="5127" width="23.26953125" style="11" customWidth="1"/>
    <col min="5128" max="5128" width="17.1796875" style="11" bestFit="1" customWidth="1"/>
    <col min="5129" max="5129" width="23.26953125" style="11" customWidth="1"/>
    <col min="5130" max="5130" width="39" style="11" customWidth="1"/>
    <col min="5131" max="5132" width="9.1796875" style="11"/>
    <col min="5133" max="5133" width="13.26953125" style="11" customWidth="1"/>
    <col min="5134" max="5376" width="9.1796875" style="11"/>
    <col min="5377" max="5377" width="24.7265625" style="11" bestFit="1" customWidth="1"/>
    <col min="5378" max="5378" width="18.7265625" style="11" bestFit="1" customWidth="1"/>
    <col min="5379" max="5379" width="8.1796875" style="11" bestFit="1" customWidth="1"/>
    <col min="5380" max="5381" width="8.26953125" style="11" bestFit="1" customWidth="1"/>
    <col min="5382" max="5382" width="7.26953125" style="11" bestFit="1" customWidth="1"/>
    <col min="5383" max="5383" width="23.26953125" style="11" customWidth="1"/>
    <col min="5384" max="5384" width="17.1796875" style="11" bestFit="1" customWidth="1"/>
    <col min="5385" max="5385" width="23.26953125" style="11" customWidth="1"/>
    <col min="5386" max="5386" width="39" style="11" customWidth="1"/>
    <col min="5387" max="5388" width="9.1796875" style="11"/>
    <col min="5389" max="5389" width="13.26953125" style="11" customWidth="1"/>
    <col min="5390" max="5632" width="9.1796875" style="11"/>
    <col min="5633" max="5633" width="24.7265625" style="11" bestFit="1" customWidth="1"/>
    <col min="5634" max="5634" width="18.7265625" style="11" bestFit="1" customWidth="1"/>
    <col min="5635" max="5635" width="8.1796875" style="11" bestFit="1" customWidth="1"/>
    <col min="5636" max="5637" width="8.26953125" style="11" bestFit="1" customWidth="1"/>
    <col min="5638" max="5638" width="7.26953125" style="11" bestFit="1" customWidth="1"/>
    <col min="5639" max="5639" width="23.26953125" style="11" customWidth="1"/>
    <col min="5640" max="5640" width="17.1796875" style="11" bestFit="1" customWidth="1"/>
    <col min="5641" max="5641" width="23.26953125" style="11" customWidth="1"/>
    <col min="5642" max="5642" width="39" style="11" customWidth="1"/>
    <col min="5643" max="5644" width="9.1796875" style="11"/>
    <col min="5645" max="5645" width="13.26953125" style="11" customWidth="1"/>
    <col min="5646" max="5888" width="9.1796875" style="11"/>
    <col min="5889" max="5889" width="24.7265625" style="11" bestFit="1" customWidth="1"/>
    <col min="5890" max="5890" width="18.7265625" style="11" bestFit="1" customWidth="1"/>
    <col min="5891" max="5891" width="8.1796875" style="11" bestFit="1" customWidth="1"/>
    <col min="5892" max="5893" width="8.26953125" style="11" bestFit="1" customWidth="1"/>
    <col min="5894" max="5894" width="7.26953125" style="11" bestFit="1" customWidth="1"/>
    <col min="5895" max="5895" width="23.26953125" style="11" customWidth="1"/>
    <col min="5896" max="5896" width="17.1796875" style="11" bestFit="1" customWidth="1"/>
    <col min="5897" max="5897" width="23.26953125" style="11" customWidth="1"/>
    <col min="5898" max="5898" width="39" style="11" customWidth="1"/>
    <col min="5899" max="5900" width="9.1796875" style="11"/>
    <col min="5901" max="5901" width="13.26953125" style="11" customWidth="1"/>
    <col min="5902" max="6144" width="9.1796875" style="11"/>
    <col min="6145" max="6145" width="24.7265625" style="11" bestFit="1" customWidth="1"/>
    <col min="6146" max="6146" width="18.7265625" style="11" bestFit="1" customWidth="1"/>
    <col min="6147" max="6147" width="8.1796875" style="11" bestFit="1" customWidth="1"/>
    <col min="6148" max="6149" width="8.26953125" style="11" bestFit="1" customWidth="1"/>
    <col min="6150" max="6150" width="7.26953125" style="11" bestFit="1" customWidth="1"/>
    <col min="6151" max="6151" width="23.26953125" style="11" customWidth="1"/>
    <col min="6152" max="6152" width="17.1796875" style="11" bestFit="1" customWidth="1"/>
    <col min="6153" max="6153" width="23.26953125" style="11" customWidth="1"/>
    <col min="6154" max="6154" width="39" style="11" customWidth="1"/>
    <col min="6155" max="6156" width="9.1796875" style="11"/>
    <col min="6157" max="6157" width="13.26953125" style="11" customWidth="1"/>
    <col min="6158" max="6400" width="9.1796875" style="11"/>
    <col min="6401" max="6401" width="24.7265625" style="11" bestFit="1" customWidth="1"/>
    <col min="6402" max="6402" width="18.7265625" style="11" bestFit="1" customWidth="1"/>
    <col min="6403" max="6403" width="8.1796875" style="11" bestFit="1" customWidth="1"/>
    <col min="6404" max="6405" width="8.26953125" style="11" bestFit="1" customWidth="1"/>
    <col min="6406" max="6406" width="7.26953125" style="11" bestFit="1" customWidth="1"/>
    <col min="6407" max="6407" width="23.26953125" style="11" customWidth="1"/>
    <col min="6408" max="6408" width="17.1796875" style="11" bestFit="1" customWidth="1"/>
    <col min="6409" max="6409" width="23.26953125" style="11" customWidth="1"/>
    <col min="6410" max="6410" width="39" style="11" customWidth="1"/>
    <col min="6411" max="6412" width="9.1796875" style="11"/>
    <col min="6413" max="6413" width="13.26953125" style="11" customWidth="1"/>
    <col min="6414" max="6656" width="9.1796875" style="11"/>
    <col min="6657" max="6657" width="24.7265625" style="11" bestFit="1" customWidth="1"/>
    <col min="6658" max="6658" width="18.7265625" style="11" bestFit="1" customWidth="1"/>
    <col min="6659" max="6659" width="8.1796875" style="11" bestFit="1" customWidth="1"/>
    <col min="6660" max="6661" width="8.26953125" style="11" bestFit="1" customWidth="1"/>
    <col min="6662" max="6662" width="7.26953125" style="11" bestFit="1" customWidth="1"/>
    <col min="6663" max="6663" width="23.26953125" style="11" customWidth="1"/>
    <col min="6664" max="6664" width="17.1796875" style="11" bestFit="1" customWidth="1"/>
    <col min="6665" max="6665" width="23.26953125" style="11" customWidth="1"/>
    <col min="6666" max="6666" width="39" style="11" customWidth="1"/>
    <col min="6667" max="6668" width="9.1796875" style="11"/>
    <col min="6669" max="6669" width="13.26953125" style="11" customWidth="1"/>
    <col min="6670" max="6912" width="9.1796875" style="11"/>
    <col min="6913" max="6913" width="24.7265625" style="11" bestFit="1" customWidth="1"/>
    <col min="6914" max="6914" width="18.7265625" style="11" bestFit="1" customWidth="1"/>
    <col min="6915" max="6915" width="8.1796875" style="11" bestFit="1" customWidth="1"/>
    <col min="6916" max="6917" width="8.26953125" style="11" bestFit="1" customWidth="1"/>
    <col min="6918" max="6918" width="7.26953125" style="11" bestFit="1" customWidth="1"/>
    <col min="6919" max="6919" width="23.26953125" style="11" customWidth="1"/>
    <col min="6920" max="6920" width="17.1796875" style="11" bestFit="1" customWidth="1"/>
    <col min="6921" max="6921" width="23.26953125" style="11" customWidth="1"/>
    <col min="6922" max="6922" width="39" style="11" customWidth="1"/>
    <col min="6923" max="6924" width="9.1796875" style="11"/>
    <col min="6925" max="6925" width="13.26953125" style="11" customWidth="1"/>
    <col min="6926" max="7168" width="9.1796875" style="11"/>
    <col min="7169" max="7169" width="24.7265625" style="11" bestFit="1" customWidth="1"/>
    <col min="7170" max="7170" width="18.7265625" style="11" bestFit="1" customWidth="1"/>
    <col min="7171" max="7171" width="8.1796875" style="11" bestFit="1" customWidth="1"/>
    <col min="7172" max="7173" width="8.26953125" style="11" bestFit="1" customWidth="1"/>
    <col min="7174" max="7174" width="7.26953125" style="11" bestFit="1" customWidth="1"/>
    <col min="7175" max="7175" width="23.26953125" style="11" customWidth="1"/>
    <col min="7176" max="7176" width="17.1796875" style="11" bestFit="1" customWidth="1"/>
    <col min="7177" max="7177" width="23.26953125" style="11" customWidth="1"/>
    <col min="7178" max="7178" width="39" style="11" customWidth="1"/>
    <col min="7179" max="7180" width="9.1796875" style="11"/>
    <col min="7181" max="7181" width="13.26953125" style="11" customWidth="1"/>
    <col min="7182" max="7424" width="9.1796875" style="11"/>
    <col min="7425" max="7425" width="24.7265625" style="11" bestFit="1" customWidth="1"/>
    <col min="7426" max="7426" width="18.7265625" style="11" bestFit="1" customWidth="1"/>
    <col min="7427" max="7427" width="8.1796875" style="11" bestFit="1" customWidth="1"/>
    <col min="7428" max="7429" width="8.26953125" style="11" bestFit="1" customWidth="1"/>
    <col min="7430" max="7430" width="7.26953125" style="11" bestFit="1" customWidth="1"/>
    <col min="7431" max="7431" width="23.26953125" style="11" customWidth="1"/>
    <col min="7432" max="7432" width="17.1796875" style="11" bestFit="1" customWidth="1"/>
    <col min="7433" max="7433" width="23.26953125" style="11" customWidth="1"/>
    <col min="7434" max="7434" width="39" style="11" customWidth="1"/>
    <col min="7435" max="7436" width="9.1796875" style="11"/>
    <col min="7437" max="7437" width="13.26953125" style="11" customWidth="1"/>
    <col min="7438" max="7680" width="9.1796875" style="11"/>
    <col min="7681" max="7681" width="24.7265625" style="11" bestFit="1" customWidth="1"/>
    <col min="7682" max="7682" width="18.7265625" style="11" bestFit="1" customWidth="1"/>
    <col min="7683" max="7683" width="8.1796875" style="11" bestFit="1" customWidth="1"/>
    <col min="7684" max="7685" width="8.26953125" style="11" bestFit="1" customWidth="1"/>
    <col min="7686" max="7686" width="7.26953125" style="11" bestFit="1" customWidth="1"/>
    <col min="7687" max="7687" width="23.26953125" style="11" customWidth="1"/>
    <col min="7688" max="7688" width="17.1796875" style="11" bestFit="1" customWidth="1"/>
    <col min="7689" max="7689" width="23.26953125" style="11" customWidth="1"/>
    <col min="7690" max="7690" width="39" style="11" customWidth="1"/>
    <col min="7691" max="7692" width="9.1796875" style="11"/>
    <col min="7693" max="7693" width="13.26953125" style="11" customWidth="1"/>
    <col min="7694" max="7936" width="9.1796875" style="11"/>
    <col min="7937" max="7937" width="24.7265625" style="11" bestFit="1" customWidth="1"/>
    <col min="7938" max="7938" width="18.7265625" style="11" bestFit="1" customWidth="1"/>
    <col min="7939" max="7939" width="8.1796875" style="11" bestFit="1" customWidth="1"/>
    <col min="7940" max="7941" width="8.26953125" style="11" bestFit="1" customWidth="1"/>
    <col min="7942" max="7942" width="7.26953125" style="11" bestFit="1" customWidth="1"/>
    <col min="7943" max="7943" width="23.26953125" style="11" customWidth="1"/>
    <col min="7944" max="7944" width="17.1796875" style="11" bestFit="1" customWidth="1"/>
    <col min="7945" max="7945" width="23.26953125" style="11" customWidth="1"/>
    <col min="7946" max="7946" width="39" style="11" customWidth="1"/>
    <col min="7947" max="7948" width="9.1796875" style="11"/>
    <col min="7949" max="7949" width="13.26953125" style="11" customWidth="1"/>
    <col min="7950" max="8192" width="9.1796875" style="11"/>
    <col min="8193" max="8193" width="24.7265625" style="11" bestFit="1" customWidth="1"/>
    <col min="8194" max="8194" width="18.7265625" style="11" bestFit="1" customWidth="1"/>
    <col min="8195" max="8195" width="8.1796875" style="11" bestFit="1" customWidth="1"/>
    <col min="8196" max="8197" width="8.26953125" style="11" bestFit="1" customWidth="1"/>
    <col min="8198" max="8198" width="7.26953125" style="11" bestFit="1" customWidth="1"/>
    <col min="8199" max="8199" width="23.26953125" style="11" customWidth="1"/>
    <col min="8200" max="8200" width="17.1796875" style="11" bestFit="1" customWidth="1"/>
    <col min="8201" max="8201" width="23.26953125" style="11" customWidth="1"/>
    <col min="8202" max="8202" width="39" style="11" customWidth="1"/>
    <col min="8203" max="8204" width="9.1796875" style="11"/>
    <col min="8205" max="8205" width="13.26953125" style="11" customWidth="1"/>
    <col min="8206" max="8448" width="9.1796875" style="11"/>
    <col min="8449" max="8449" width="24.7265625" style="11" bestFit="1" customWidth="1"/>
    <col min="8450" max="8450" width="18.7265625" style="11" bestFit="1" customWidth="1"/>
    <col min="8451" max="8451" width="8.1796875" style="11" bestFit="1" customWidth="1"/>
    <col min="8452" max="8453" width="8.26953125" style="11" bestFit="1" customWidth="1"/>
    <col min="8454" max="8454" width="7.26953125" style="11" bestFit="1" customWidth="1"/>
    <col min="8455" max="8455" width="23.26953125" style="11" customWidth="1"/>
    <col min="8456" max="8456" width="17.1796875" style="11" bestFit="1" customWidth="1"/>
    <col min="8457" max="8457" width="23.26953125" style="11" customWidth="1"/>
    <col min="8458" max="8458" width="39" style="11" customWidth="1"/>
    <col min="8459" max="8460" width="9.1796875" style="11"/>
    <col min="8461" max="8461" width="13.26953125" style="11" customWidth="1"/>
    <col min="8462" max="8704" width="9.1796875" style="11"/>
    <col min="8705" max="8705" width="24.7265625" style="11" bestFit="1" customWidth="1"/>
    <col min="8706" max="8706" width="18.7265625" style="11" bestFit="1" customWidth="1"/>
    <col min="8707" max="8707" width="8.1796875" style="11" bestFit="1" customWidth="1"/>
    <col min="8708" max="8709" width="8.26953125" style="11" bestFit="1" customWidth="1"/>
    <col min="8710" max="8710" width="7.26953125" style="11" bestFit="1" customWidth="1"/>
    <col min="8711" max="8711" width="23.26953125" style="11" customWidth="1"/>
    <col min="8712" max="8712" width="17.1796875" style="11" bestFit="1" customWidth="1"/>
    <col min="8713" max="8713" width="23.26953125" style="11" customWidth="1"/>
    <col min="8714" max="8714" width="39" style="11" customWidth="1"/>
    <col min="8715" max="8716" width="9.1796875" style="11"/>
    <col min="8717" max="8717" width="13.26953125" style="11" customWidth="1"/>
    <col min="8718" max="8960" width="9.1796875" style="11"/>
    <col min="8961" max="8961" width="24.7265625" style="11" bestFit="1" customWidth="1"/>
    <col min="8962" max="8962" width="18.7265625" style="11" bestFit="1" customWidth="1"/>
    <col min="8963" max="8963" width="8.1796875" style="11" bestFit="1" customWidth="1"/>
    <col min="8964" max="8965" width="8.26953125" style="11" bestFit="1" customWidth="1"/>
    <col min="8966" max="8966" width="7.26953125" style="11" bestFit="1" customWidth="1"/>
    <col min="8967" max="8967" width="23.26953125" style="11" customWidth="1"/>
    <col min="8968" max="8968" width="17.1796875" style="11" bestFit="1" customWidth="1"/>
    <col min="8969" max="8969" width="23.26953125" style="11" customWidth="1"/>
    <col min="8970" max="8970" width="39" style="11" customWidth="1"/>
    <col min="8971" max="8972" width="9.1796875" style="11"/>
    <col min="8973" max="8973" width="13.26953125" style="11" customWidth="1"/>
    <col min="8974" max="9216" width="9.1796875" style="11"/>
    <col min="9217" max="9217" width="24.7265625" style="11" bestFit="1" customWidth="1"/>
    <col min="9218" max="9218" width="18.7265625" style="11" bestFit="1" customWidth="1"/>
    <col min="9219" max="9219" width="8.1796875" style="11" bestFit="1" customWidth="1"/>
    <col min="9220" max="9221" width="8.26953125" style="11" bestFit="1" customWidth="1"/>
    <col min="9222" max="9222" width="7.26953125" style="11" bestFit="1" customWidth="1"/>
    <col min="9223" max="9223" width="23.26953125" style="11" customWidth="1"/>
    <col min="9224" max="9224" width="17.1796875" style="11" bestFit="1" customWidth="1"/>
    <col min="9225" max="9225" width="23.26953125" style="11" customWidth="1"/>
    <col min="9226" max="9226" width="39" style="11" customWidth="1"/>
    <col min="9227" max="9228" width="9.1796875" style="11"/>
    <col min="9229" max="9229" width="13.26953125" style="11" customWidth="1"/>
    <col min="9230" max="9472" width="9.1796875" style="11"/>
    <col min="9473" max="9473" width="24.7265625" style="11" bestFit="1" customWidth="1"/>
    <col min="9474" max="9474" width="18.7265625" style="11" bestFit="1" customWidth="1"/>
    <col min="9475" max="9475" width="8.1796875" style="11" bestFit="1" customWidth="1"/>
    <col min="9476" max="9477" width="8.26953125" style="11" bestFit="1" customWidth="1"/>
    <col min="9478" max="9478" width="7.26953125" style="11" bestFit="1" customWidth="1"/>
    <col min="9479" max="9479" width="23.26953125" style="11" customWidth="1"/>
    <col min="9480" max="9480" width="17.1796875" style="11" bestFit="1" customWidth="1"/>
    <col min="9481" max="9481" width="23.26953125" style="11" customWidth="1"/>
    <col min="9482" max="9482" width="39" style="11" customWidth="1"/>
    <col min="9483" max="9484" width="9.1796875" style="11"/>
    <col min="9485" max="9485" width="13.26953125" style="11" customWidth="1"/>
    <col min="9486" max="9728" width="9.1796875" style="11"/>
    <col min="9729" max="9729" width="24.7265625" style="11" bestFit="1" customWidth="1"/>
    <col min="9730" max="9730" width="18.7265625" style="11" bestFit="1" customWidth="1"/>
    <col min="9731" max="9731" width="8.1796875" style="11" bestFit="1" customWidth="1"/>
    <col min="9732" max="9733" width="8.26953125" style="11" bestFit="1" customWidth="1"/>
    <col min="9734" max="9734" width="7.26953125" style="11" bestFit="1" customWidth="1"/>
    <col min="9735" max="9735" width="23.26953125" style="11" customWidth="1"/>
    <col min="9736" max="9736" width="17.1796875" style="11" bestFit="1" customWidth="1"/>
    <col min="9737" max="9737" width="23.26953125" style="11" customWidth="1"/>
    <col min="9738" max="9738" width="39" style="11" customWidth="1"/>
    <col min="9739" max="9740" width="9.1796875" style="11"/>
    <col min="9741" max="9741" width="13.26953125" style="11" customWidth="1"/>
    <col min="9742" max="9984" width="9.1796875" style="11"/>
    <col min="9985" max="9985" width="24.7265625" style="11" bestFit="1" customWidth="1"/>
    <col min="9986" max="9986" width="18.7265625" style="11" bestFit="1" customWidth="1"/>
    <col min="9987" max="9987" width="8.1796875" style="11" bestFit="1" customWidth="1"/>
    <col min="9988" max="9989" width="8.26953125" style="11" bestFit="1" customWidth="1"/>
    <col min="9990" max="9990" width="7.26953125" style="11" bestFit="1" customWidth="1"/>
    <col min="9991" max="9991" width="23.26953125" style="11" customWidth="1"/>
    <col min="9992" max="9992" width="17.1796875" style="11" bestFit="1" customWidth="1"/>
    <col min="9993" max="9993" width="23.26953125" style="11" customWidth="1"/>
    <col min="9994" max="9994" width="39" style="11" customWidth="1"/>
    <col min="9995" max="9996" width="9.1796875" style="11"/>
    <col min="9997" max="9997" width="13.26953125" style="11" customWidth="1"/>
    <col min="9998" max="10240" width="9.1796875" style="11"/>
    <col min="10241" max="10241" width="24.7265625" style="11" bestFit="1" customWidth="1"/>
    <col min="10242" max="10242" width="18.7265625" style="11" bestFit="1" customWidth="1"/>
    <col min="10243" max="10243" width="8.1796875" style="11" bestFit="1" customWidth="1"/>
    <col min="10244" max="10245" width="8.26953125" style="11" bestFit="1" customWidth="1"/>
    <col min="10246" max="10246" width="7.26953125" style="11" bestFit="1" customWidth="1"/>
    <col min="10247" max="10247" width="23.26953125" style="11" customWidth="1"/>
    <col min="10248" max="10248" width="17.1796875" style="11" bestFit="1" customWidth="1"/>
    <col min="10249" max="10249" width="23.26953125" style="11" customWidth="1"/>
    <col min="10250" max="10250" width="39" style="11" customWidth="1"/>
    <col min="10251" max="10252" width="9.1796875" style="11"/>
    <col min="10253" max="10253" width="13.26953125" style="11" customWidth="1"/>
    <col min="10254" max="10496" width="9.1796875" style="11"/>
    <col min="10497" max="10497" width="24.7265625" style="11" bestFit="1" customWidth="1"/>
    <col min="10498" max="10498" width="18.7265625" style="11" bestFit="1" customWidth="1"/>
    <col min="10499" max="10499" width="8.1796875" style="11" bestFit="1" customWidth="1"/>
    <col min="10500" max="10501" width="8.26953125" style="11" bestFit="1" customWidth="1"/>
    <col min="10502" max="10502" width="7.26953125" style="11" bestFit="1" customWidth="1"/>
    <col min="10503" max="10503" width="23.26953125" style="11" customWidth="1"/>
    <col min="10504" max="10504" width="17.1796875" style="11" bestFit="1" customWidth="1"/>
    <col min="10505" max="10505" width="23.26953125" style="11" customWidth="1"/>
    <col min="10506" max="10506" width="39" style="11" customWidth="1"/>
    <col min="10507" max="10508" width="9.1796875" style="11"/>
    <col min="10509" max="10509" width="13.26953125" style="11" customWidth="1"/>
    <col min="10510" max="10752" width="9.1796875" style="11"/>
    <col min="10753" max="10753" width="24.7265625" style="11" bestFit="1" customWidth="1"/>
    <col min="10754" max="10754" width="18.7265625" style="11" bestFit="1" customWidth="1"/>
    <col min="10755" max="10755" width="8.1796875" style="11" bestFit="1" customWidth="1"/>
    <col min="10756" max="10757" width="8.26953125" style="11" bestFit="1" customWidth="1"/>
    <col min="10758" max="10758" width="7.26953125" style="11" bestFit="1" customWidth="1"/>
    <col min="10759" max="10759" width="23.26953125" style="11" customWidth="1"/>
    <col min="10760" max="10760" width="17.1796875" style="11" bestFit="1" customWidth="1"/>
    <col min="10761" max="10761" width="23.26953125" style="11" customWidth="1"/>
    <col min="10762" max="10762" width="39" style="11" customWidth="1"/>
    <col min="10763" max="10764" width="9.1796875" style="11"/>
    <col min="10765" max="10765" width="13.26953125" style="11" customWidth="1"/>
    <col min="10766" max="11008" width="9.1796875" style="11"/>
    <col min="11009" max="11009" width="24.7265625" style="11" bestFit="1" customWidth="1"/>
    <col min="11010" max="11010" width="18.7265625" style="11" bestFit="1" customWidth="1"/>
    <col min="11011" max="11011" width="8.1796875" style="11" bestFit="1" customWidth="1"/>
    <col min="11012" max="11013" width="8.26953125" style="11" bestFit="1" customWidth="1"/>
    <col min="11014" max="11014" width="7.26953125" style="11" bestFit="1" customWidth="1"/>
    <col min="11015" max="11015" width="23.26953125" style="11" customWidth="1"/>
    <col min="11016" max="11016" width="17.1796875" style="11" bestFit="1" customWidth="1"/>
    <col min="11017" max="11017" width="23.26953125" style="11" customWidth="1"/>
    <col min="11018" max="11018" width="39" style="11" customWidth="1"/>
    <col min="11019" max="11020" width="9.1796875" style="11"/>
    <col min="11021" max="11021" width="13.26953125" style="11" customWidth="1"/>
    <col min="11022" max="11264" width="9.1796875" style="11"/>
    <col min="11265" max="11265" width="24.7265625" style="11" bestFit="1" customWidth="1"/>
    <col min="11266" max="11266" width="18.7265625" style="11" bestFit="1" customWidth="1"/>
    <col min="11267" max="11267" width="8.1796875" style="11" bestFit="1" customWidth="1"/>
    <col min="11268" max="11269" width="8.26953125" style="11" bestFit="1" customWidth="1"/>
    <col min="11270" max="11270" width="7.26953125" style="11" bestFit="1" customWidth="1"/>
    <col min="11271" max="11271" width="23.26953125" style="11" customWidth="1"/>
    <col min="11272" max="11272" width="17.1796875" style="11" bestFit="1" customWidth="1"/>
    <col min="11273" max="11273" width="23.26953125" style="11" customWidth="1"/>
    <col min="11274" max="11274" width="39" style="11" customWidth="1"/>
    <col min="11275" max="11276" width="9.1796875" style="11"/>
    <col min="11277" max="11277" width="13.26953125" style="11" customWidth="1"/>
    <col min="11278" max="11520" width="9.1796875" style="11"/>
    <col min="11521" max="11521" width="24.7265625" style="11" bestFit="1" customWidth="1"/>
    <col min="11522" max="11522" width="18.7265625" style="11" bestFit="1" customWidth="1"/>
    <col min="11523" max="11523" width="8.1796875" style="11" bestFit="1" customWidth="1"/>
    <col min="11524" max="11525" width="8.26953125" style="11" bestFit="1" customWidth="1"/>
    <col min="11526" max="11526" width="7.26953125" style="11" bestFit="1" customWidth="1"/>
    <col min="11527" max="11527" width="23.26953125" style="11" customWidth="1"/>
    <col min="11528" max="11528" width="17.1796875" style="11" bestFit="1" customWidth="1"/>
    <col min="11529" max="11529" width="23.26953125" style="11" customWidth="1"/>
    <col min="11530" max="11530" width="39" style="11" customWidth="1"/>
    <col min="11531" max="11532" width="9.1796875" style="11"/>
    <col min="11533" max="11533" width="13.26953125" style="11" customWidth="1"/>
    <col min="11534" max="11776" width="9.1796875" style="11"/>
    <col min="11777" max="11777" width="24.7265625" style="11" bestFit="1" customWidth="1"/>
    <col min="11778" max="11778" width="18.7265625" style="11" bestFit="1" customWidth="1"/>
    <col min="11779" max="11779" width="8.1796875" style="11" bestFit="1" customWidth="1"/>
    <col min="11780" max="11781" width="8.26953125" style="11" bestFit="1" customWidth="1"/>
    <col min="11782" max="11782" width="7.26953125" style="11" bestFit="1" customWidth="1"/>
    <col min="11783" max="11783" width="23.26953125" style="11" customWidth="1"/>
    <col min="11784" max="11784" width="17.1796875" style="11" bestFit="1" customWidth="1"/>
    <col min="11785" max="11785" width="23.26953125" style="11" customWidth="1"/>
    <col min="11786" max="11786" width="39" style="11" customWidth="1"/>
    <col min="11787" max="11788" width="9.1796875" style="11"/>
    <col min="11789" max="11789" width="13.26953125" style="11" customWidth="1"/>
    <col min="11790" max="12032" width="9.1796875" style="11"/>
    <col min="12033" max="12033" width="24.7265625" style="11" bestFit="1" customWidth="1"/>
    <col min="12034" max="12034" width="18.7265625" style="11" bestFit="1" customWidth="1"/>
    <col min="12035" max="12035" width="8.1796875" style="11" bestFit="1" customWidth="1"/>
    <col min="12036" max="12037" width="8.26953125" style="11" bestFit="1" customWidth="1"/>
    <col min="12038" max="12038" width="7.26953125" style="11" bestFit="1" customWidth="1"/>
    <col min="12039" max="12039" width="23.26953125" style="11" customWidth="1"/>
    <col min="12040" max="12040" width="17.1796875" style="11" bestFit="1" customWidth="1"/>
    <col min="12041" max="12041" width="23.26953125" style="11" customWidth="1"/>
    <col min="12042" max="12042" width="39" style="11" customWidth="1"/>
    <col min="12043" max="12044" width="9.1796875" style="11"/>
    <col min="12045" max="12045" width="13.26953125" style="11" customWidth="1"/>
    <col min="12046" max="12288" width="9.1796875" style="11"/>
    <col min="12289" max="12289" width="24.7265625" style="11" bestFit="1" customWidth="1"/>
    <col min="12290" max="12290" width="18.7265625" style="11" bestFit="1" customWidth="1"/>
    <col min="12291" max="12291" width="8.1796875" style="11" bestFit="1" customWidth="1"/>
    <col min="12292" max="12293" width="8.26953125" style="11" bestFit="1" customWidth="1"/>
    <col min="12294" max="12294" width="7.26953125" style="11" bestFit="1" customWidth="1"/>
    <col min="12295" max="12295" width="23.26953125" style="11" customWidth="1"/>
    <col min="12296" max="12296" width="17.1796875" style="11" bestFit="1" customWidth="1"/>
    <col min="12297" max="12297" width="23.26953125" style="11" customWidth="1"/>
    <col min="12298" max="12298" width="39" style="11" customWidth="1"/>
    <col min="12299" max="12300" width="9.1796875" style="11"/>
    <col min="12301" max="12301" width="13.26953125" style="11" customWidth="1"/>
    <col min="12302" max="12544" width="9.1796875" style="11"/>
    <col min="12545" max="12545" width="24.7265625" style="11" bestFit="1" customWidth="1"/>
    <col min="12546" max="12546" width="18.7265625" style="11" bestFit="1" customWidth="1"/>
    <col min="12547" max="12547" width="8.1796875" style="11" bestFit="1" customWidth="1"/>
    <col min="12548" max="12549" width="8.26953125" style="11" bestFit="1" customWidth="1"/>
    <col min="12550" max="12550" width="7.26953125" style="11" bestFit="1" customWidth="1"/>
    <col min="12551" max="12551" width="23.26953125" style="11" customWidth="1"/>
    <col min="12552" max="12552" width="17.1796875" style="11" bestFit="1" customWidth="1"/>
    <col min="12553" max="12553" width="23.26953125" style="11" customWidth="1"/>
    <col min="12554" max="12554" width="39" style="11" customWidth="1"/>
    <col min="12555" max="12556" width="9.1796875" style="11"/>
    <col min="12557" max="12557" width="13.26953125" style="11" customWidth="1"/>
    <col min="12558" max="12800" width="9.1796875" style="11"/>
    <col min="12801" max="12801" width="24.7265625" style="11" bestFit="1" customWidth="1"/>
    <col min="12802" max="12802" width="18.7265625" style="11" bestFit="1" customWidth="1"/>
    <col min="12803" max="12803" width="8.1796875" style="11" bestFit="1" customWidth="1"/>
    <col min="12804" max="12805" width="8.26953125" style="11" bestFit="1" customWidth="1"/>
    <col min="12806" max="12806" width="7.26953125" style="11" bestFit="1" customWidth="1"/>
    <col min="12807" max="12807" width="23.26953125" style="11" customWidth="1"/>
    <col min="12808" max="12808" width="17.1796875" style="11" bestFit="1" customWidth="1"/>
    <col min="12809" max="12809" width="23.26953125" style="11" customWidth="1"/>
    <col min="12810" max="12810" width="39" style="11" customWidth="1"/>
    <col min="12811" max="12812" width="9.1796875" style="11"/>
    <col min="12813" max="12813" width="13.26953125" style="11" customWidth="1"/>
    <col min="12814" max="13056" width="9.1796875" style="11"/>
    <col min="13057" max="13057" width="24.7265625" style="11" bestFit="1" customWidth="1"/>
    <col min="13058" max="13058" width="18.7265625" style="11" bestFit="1" customWidth="1"/>
    <col min="13059" max="13059" width="8.1796875" style="11" bestFit="1" customWidth="1"/>
    <col min="13060" max="13061" width="8.26953125" style="11" bestFit="1" customWidth="1"/>
    <col min="13062" max="13062" width="7.26953125" style="11" bestFit="1" customWidth="1"/>
    <col min="13063" max="13063" width="23.26953125" style="11" customWidth="1"/>
    <col min="13064" max="13064" width="17.1796875" style="11" bestFit="1" customWidth="1"/>
    <col min="13065" max="13065" width="23.26953125" style="11" customWidth="1"/>
    <col min="13066" max="13066" width="39" style="11" customWidth="1"/>
    <col min="13067" max="13068" width="9.1796875" style="11"/>
    <col min="13069" max="13069" width="13.26953125" style="11" customWidth="1"/>
    <col min="13070" max="13312" width="9.1796875" style="11"/>
    <col min="13313" max="13313" width="24.7265625" style="11" bestFit="1" customWidth="1"/>
    <col min="13314" max="13314" width="18.7265625" style="11" bestFit="1" customWidth="1"/>
    <col min="13315" max="13315" width="8.1796875" style="11" bestFit="1" customWidth="1"/>
    <col min="13316" max="13317" width="8.26953125" style="11" bestFit="1" customWidth="1"/>
    <col min="13318" max="13318" width="7.26953125" style="11" bestFit="1" customWidth="1"/>
    <col min="13319" max="13319" width="23.26953125" style="11" customWidth="1"/>
    <col min="13320" max="13320" width="17.1796875" style="11" bestFit="1" customWidth="1"/>
    <col min="13321" max="13321" width="23.26953125" style="11" customWidth="1"/>
    <col min="13322" max="13322" width="39" style="11" customWidth="1"/>
    <col min="13323" max="13324" width="9.1796875" style="11"/>
    <col min="13325" max="13325" width="13.26953125" style="11" customWidth="1"/>
    <col min="13326" max="13568" width="9.1796875" style="11"/>
    <col min="13569" max="13569" width="24.7265625" style="11" bestFit="1" customWidth="1"/>
    <col min="13570" max="13570" width="18.7265625" style="11" bestFit="1" customWidth="1"/>
    <col min="13571" max="13571" width="8.1796875" style="11" bestFit="1" customWidth="1"/>
    <col min="13572" max="13573" width="8.26953125" style="11" bestFit="1" customWidth="1"/>
    <col min="13574" max="13574" width="7.26953125" style="11" bestFit="1" customWidth="1"/>
    <col min="13575" max="13575" width="23.26953125" style="11" customWidth="1"/>
    <col min="13576" max="13576" width="17.1796875" style="11" bestFit="1" customWidth="1"/>
    <col min="13577" max="13577" width="23.26953125" style="11" customWidth="1"/>
    <col min="13578" max="13578" width="39" style="11" customWidth="1"/>
    <col min="13579" max="13580" width="9.1796875" style="11"/>
    <col min="13581" max="13581" width="13.26953125" style="11" customWidth="1"/>
    <col min="13582" max="13824" width="9.1796875" style="11"/>
    <col min="13825" max="13825" width="24.7265625" style="11" bestFit="1" customWidth="1"/>
    <col min="13826" max="13826" width="18.7265625" style="11" bestFit="1" customWidth="1"/>
    <col min="13827" max="13827" width="8.1796875" style="11" bestFit="1" customWidth="1"/>
    <col min="13828" max="13829" width="8.26953125" style="11" bestFit="1" customWidth="1"/>
    <col min="13830" max="13830" width="7.26953125" style="11" bestFit="1" customWidth="1"/>
    <col min="13831" max="13831" width="23.26953125" style="11" customWidth="1"/>
    <col min="13832" max="13832" width="17.1796875" style="11" bestFit="1" customWidth="1"/>
    <col min="13833" max="13833" width="23.26953125" style="11" customWidth="1"/>
    <col min="13834" max="13834" width="39" style="11" customWidth="1"/>
    <col min="13835" max="13836" width="9.1796875" style="11"/>
    <col min="13837" max="13837" width="13.26953125" style="11" customWidth="1"/>
    <col min="13838" max="14080" width="9.1796875" style="11"/>
    <col min="14081" max="14081" width="24.7265625" style="11" bestFit="1" customWidth="1"/>
    <col min="14082" max="14082" width="18.7265625" style="11" bestFit="1" customWidth="1"/>
    <col min="14083" max="14083" width="8.1796875" style="11" bestFit="1" customWidth="1"/>
    <col min="14084" max="14085" width="8.26953125" style="11" bestFit="1" customWidth="1"/>
    <col min="14086" max="14086" width="7.26953125" style="11" bestFit="1" customWidth="1"/>
    <col min="14087" max="14087" width="23.26953125" style="11" customWidth="1"/>
    <col min="14088" max="14088" width="17.1796875" style="11" bestFit="1" customWidth="1"/>
    <col min="14089" max="14089" width="23.26953125" style="11" customWidth="1"/>
    <col min="14090" max="14090" width="39" style="11" customWidth="1"/>
    <col min="14091" max="14092" width="9.1796875" style="11"/>
    <col min="14093" max="14093" width="13.26953125" style="11" customWidth="1"/>
    <col min="14094" max="14336" width="9.1796875" style="11"/>
    <col min="14337" max="14337" width="24.7265625" style="11" bestFit="1" customWidth="1"/>
    <col min="14338" max="14338" width="18.7265625" style="11" bestFit="1" customWidth="1"/>
    <col min="14339" max="14339" width="8.1796875" style="11" bestFit="1" customWidth="1"/>
    <col min="14340" max="14341" width="8.26953125" style="11" bestFit="1" customWidth="1"/>
    <col min="14342" max="14342" width="7.26953125" style="11" bestFit="1" customWidth="1"/>
    <col min="14343" max="14343" width="23.26953125" style="11" customWidth="1"/>
    <col min="14344" max="14344" width="17.1796875" style="11" bestFit="1" customWidth="1"/>
    <col min="14345" max="14345" width="23.26953125" style="11" customWidth="1"/>
    <col min="14346" max="14346" width="39" style="11" customWidth="1"/>
    <col min="14347" max="14348" width="9.1796875" style="11"/>
    <col min="14349" max="14349" width="13.26953125" style="11" customWidth="1"/>
    <col min="14350" max="14592" width="9.1796875" style="11"/>
    <col min="14593" max="14593" width="24.7265625" style="11" bestFit="1" customWidth="1"/>
    <col min="14594" max="14594" width="18.7265625" style="11" bestFit="1" customWidth="1"/>
    <col min="14595" max="14595" width="8.1796875" style="11" bestFit="1" customWidth="1"/>
    <col min="14596" max="14597" width="8.26953125" style="11" bestFit="1" customWidth="1"/>
    <col min="14598" max="14598" width="7.26953125" style="11" bestFit="1" customWidth="1"/>
    <col min="14599" max="14599" width="23.26953125" style="11" customWidth="1"/>
    <col min="14600" max="14600" width="17.1796875" style="11" bestFit="1" customWidth="1"/>
    <col min="14601" max="14601" width="23.26953125" style="11" customWidth="1"/>
    <col min="14602" max="14602" width="39" style="11" customWidth="1"/>
    <col min="14603" max="14604" width="9.1796875" style="11"/>
    <col min="14605" max="14605" width="13.26953125" style="11" customWidth="1"/>
    <col min="14606" max="14848" width="9.1796875" style="11"/>
    <col min="14849" max="14849" width="24.7265625" style="11" bestFit="1" customWidth="1"/>
    <col min="14850" max="14850" width="18.7265625" style="11" bestFit="1" customWidth="1"/>
    <col min="14851" max="14851" width="8.1796875" style="11" bestFit="1" customWidth="1"/>
    <col min="14852" max="14853" width="8.26953125" style="11" bestFit="1" customWidth="1"/>
    <col min="14854" max="14854" width="7.26953125" style="11" bestFit="1" customWidth="1"/>
    <col min="14855" max="14855" width="23.26953125" style="11" customWidth="1"/>
    <col min="14856" max="14856" width="17.1796875" style="11" bestFit="1" customWidth="1"/>
    <col min="14857" max="14857" width="23.26953125" style="11" customWidth="1"/>
    <col min="14858" max="14858" width="39" style="11" customWidth="1"/>
    <col min="14859" max="14860" width="9.1796875" style="11"/>
    <col min="14861" max="14861" width="13.26953125" style="11" customWidth="1"/>
    <col min="14862" max="15104" width="9.1796875" style="11"/>
    <col min="15105" max="15105" width="24.7265625" style="11" bestFit="1" customWidth="1"/>
    <col min="15106" max="15106" width="18.7265625" style="11" bestFit="1" customWidth="1"/>
    <col min="15107" max="15107" width="8.1796875" style="11" bestFit="1" customWidth="1"/>
    <col min="15108" max="15109" width="8.26953125" style="11" bestFit="1" customWidth="1"/>
    <col min="15110" max="15110" width="7.26953125" style="11" bestFit="1" customWidth="1"/>
    <col min="15111" max="15111" width="23.26953125" style="11" customWidth="1"/>
    <col min="15112" max="15112" width="17.1796875" style="11" bestFit="1" customWidth="1"/>
    <col min="15113" max="15113" width="23.26953125" style="11" customWidth="1"/>
    <col min="15114" max="15114" width="39" style="11" customWidth="1"/>
    <col min="15115" max="15116" width="9.1796875" style="11"/>
    <col min="15117" max="15117" width="13.26953125" style="11" customWidth="1"/>
    <col min="15118" max="15360" width="9.1796875" style="11"/>
    <col min="15361" max="15361" width="24.7265625" style="11" bestFit="1" customWidth="1"/>
    <col min="15362" max="15362" width="18.7265625" style="11" bestFit="1" customWidth="1"/>
    <col min="15363" max="15363" width="8.1796875" style="11" bestFit="1" customWidth="1"/>
    <col min="15364" max="15365" width="8.26953125" style="11" bestFit="1" customWidth="1"/>
    <col min="15366" max="15366" width="7.26953125" style="11" bestFit="1" customWidth="1"/>
    <col min="15367" max="15367" width="23.26953125" style="11" customWidth="1"/>
    <col min="15368" max="15368" width="17.1796875" style="11" bestFit="1" customWidth="1"/>
    <col min="15369" max="15369" width="23.26953125" style="11" customWidth="1"/>
    <col min="15370" max="15370" width="39" style="11" customWidth="1"/>
    <col min="15371" max="15372" width="9.1796875" style="11"/>
    <col min="15373" max="15373" width="13.26953125" style="11" customWidth="1"/>
    <col min="15374" max="15616" width="9.1796875" style="11"/>
    <col min="15617" max="15617" width="24.7265625" style="11" bestFit="1" customWidth="1"/>
    <col min="15618" max="15618" width="18.7265625" style="11" bestFit="1" customWidth="1"/>
    <col min="15619" max="15619" width="8.1796875" style="11" bestFit="1" customWidth="1"/>
    <col min="15620" max="15621" width="8.26953125" style="11" bestFit="1" customWidth="1"/>
    <col min="15622" max="15622" width="7.26953125" style="11" bestFit="1" customWidth="1"/>
    <col min="15623" max="15623" width="23.26953125" style="11" customWidth="1"/>
    <col min="15624" max="15624" width="17.1796875" style="11" bestFit="1" customWidth="1"/>
    <col min="15625" max="15625" width="23.26953125" style="11" customWidth="1"/>
    <col min="15626" max="15626" width="39" style="11" customWidth="1"/>
    <col min="15627" max="15628" width="9.1796875" style="11"/>
    <col min="15629" max="15629" width="13.26953125" style="11" customWidth="1"/>
    <col min="15630" max="15872" width="9.1796875" style="11"/>
    <col min="15873" max="15873" width="24.7265625" style="11" bestFit="1" customWidth="1"/>
    <col min="15874" max="15874" width="18.7265625" style="11" bestFit="1" customWidth="1"/>
    <col min="15875" max="15875" width="8.1796875" style="11" bestFit="1" customWidth="1"/>
    <col min="15876" max="15877" width="8.26953125" style="11" bestFit="1" customWidth="1"/>
    <col min="15878" max="15878" width="7.26953125" style="11" bestFit="1" customWidth="1"/>
    <col min="15879" max="15879" width="23.26953125" style="11" customWidth="1"/>
    <col min="15880" max="15880" width="17.1796875" style="11" bestFit="1" customWidth="1"/>
    <col min="15881" max="15881" width="23.26953125" style="11" customWidth="1"/>
    <col min="15882" max="15882" width="39" style="11" customWidth="1"/>
    <col min="15883" max="15884" width="9.1796875" style="11"/>
    <col min="15885" max="15885" width="13.26953125" style="11" customWidth="1"/>
    <col min="15886" max="16128" width="9.1796875" style="11"/>
    <col min="16129" max="16129" width="24.7265625" style="11" bestFit="1" customWidth="1"/>
    <col min="16130" max="16130" width="18.7265625" style="11" bestFit="1" customWidth="1"/>
    <col min="16131" max="16131" width="8.1796875" style="11" bestFit="1" customWidth="1"/>
    <col min="16132" max="16133" width="8.26953125" style="11" bestFit="1" customWidth="1"/>
    <col min="16134" max="16134" width="7.26953125" style="11" bestFit="1" customWidth="1"/>
    <col min="16135" max="16135" width="23.26953125" style="11" customWidth="1"/>
    <col min="16136" max="16136" width="17.1796875" style="11" bestFit="1" customWidth="1"/>
    <col min="16137" max="16137" width="23.26953125" style="11" customWidth="1"/>
    <col min="16138" max="16138" width="39" style="11" customWidth="1"/>
    <col min="16139" max="16140" width="9.1796875" style="11"/>
    <col min="16141" max="16141" width="13.26953125" style="11" customWidth="1"/>
    <col min="16142" max="16384" width="9.1796875" style="11"/>
  </cols>
  <sheetData>
    <row r="1" spans="1:14" s="5" customFormat="1" ht="57.75" customHeight="1">
      <c r="A1" s="1" t="s">
        <v>0</v>
      </c>
      <c r="B1" s="2" t="s">
        <v>1</v>
      </c>
      <c r="C1" s="2" t="s">
        <v>2</v>
      </c>
      <c r="D1" s="2" t="s">
        <v>3</v>
      </c>
      <c r="E1" s="2" t="s">
        <v>4</v>
      </c>
      <c r="F1" s="2" t="s">
        <v>5</v>
      </c>
      <c r="G1" s="2" t="s">
        <v>6</v>
      </c>
      <c r="H1" s="2" t="s">
        <v>703</v>
      </c>
      <c r="I1" s="2" t="s">
        <v>704</v>
      </c>
      <c r="J1" s="2" t="s">
        <v>705</v>
      </c>
      <c r="K1" s="2" t="s">
        <v>10</v>
      </c>
      <c r="L1" s="2" t="s">
        <v>706</v>
      </c>
      <c r="M1" s="4" t="s">
        <v>12</v>
      </c>
      <c r="N1" s="461" t="s">
        <v>508</v>
      </c>
    </row>
    <row r="2" spans="1:14" ht="20">
      <c r="A2" s="6" t="s">
        <v>2175</v>
      </c>
      <c r="B2" s="7" t="s">
        <v>14</v>
      </c>
      <c r="C2" s="7" t="s">
        <v>879</v>
      </c>
      <c r="D2" s="7">
        <v>1</v>
      </c>
      <c r="E2" s="7" t="e">
        <f>#REF!</f>
        <v>#REF!</v>
      </c>
      <c r="F2" s="7">
        <f>SUM(F3:F7)</f>
        <v>49</v>
      </c>
      <c r="G2" s="95" t="s">
        <v>2176</v>
      </c>
      <c r="H2" s="9"/>
      <c r="I2" s="9"/>
      <c r="J2" s="7"/>
      <c r="K2" s="7"/>
      <c r="L2" s="7"/>
      <c r="M2" s="17" t="s">
        <v>290</v>
      </c>
      <c r="N2" s="61"/>
    </row>
    <row r="3" spans="1:14" ht="21">
      <c r="A3" s="12" t="s">
        <v>17</v>
      </c>
      <c r="B3" s="13" t="s">
        <v>18</v>
      </c>
      <c r="C3" s="14">
        <v>1</v>
      </c>
      <c r="D3" s="14">
        <v>1</v>
      </c>
      <c r="E3" s="14">
        <f>D3+F3-1</f>
        <v>1</v>
      </c>
      <c r="F3" s="14">
        <v>1</v>
      </c>
      <c r="G3" s="16" t="s">
        <v>19</v>
      </c>
      <c r="H3" s="16"/>
      <c r="I3" s="16"/>
      <c r="J3" s="14"/>
      <c r="K3" s="14"/>
      <c r="L3" s="14"/>
      <c r="M3" s="17" t="s">
        <v>290</v>
      </c>
      <c r="N3" s="61"/>
    </row>
    <row r="4" spans="1:14" s="497" customFormat="1" ht="12.5">
      <c r="A4" s="64" t="s">
        <v>710</v>
      </c>
      <c r="B4" s="264" t="s">
        <v>711</v>
      </c>
      <c r="C4" s="19">
        <v>2</v>
      </c>
      <c r="D4" s="19">
        <f>E3+1</f>
        <v>2</v>
      </c>
      <c r="E4" s="19">
        <f>D4+F4-1</f>
        <v>16</v>
      </c>
      <c r="F4" s="19">
        <v>15</v>
      </c>
      <c r="G4" s="180" t="s">
        <v>2177</v>
      </c>
      <c r="H4" s="180"/>
      <c r="I4" s="180"/>
      <c r="J4" s="494"/>
      <c r="K4" s="494"/>
      <c r="L4" s="494"/>
      <c r="M4" s="495"/>
      <c r="N4" s="496"/>
    </row>
    <row r="5" spans="1:14" s="497" customFormat="1" ht="12.5">
      <c r="A5" s="64" t="s">
        <v>713</v>
      </c>
      <c r="B5" s="264" t="s">
        <v>714</v>
      </c>
      <c r="C5" s="19">
        <v>3</v>
      </c>
      <c r="D5" s="19">
        <f>E4+1</f>
        <v>17</v>
      </c>
      <c r="E5" s="19">
        <f>D5+F5-1</f>
        <v>26</v>
      </c>
      <c r="F5" s="19">
        <v>10</v>
      </c>
      <c r="G5" s="180" t="s">
        <v>715</v>
      </c>
      <c r="H5" s="180"/>
      <c r="I5" s="180"/>
      <c r="J5" s="494"/>
      <c r="K5" s="494"/>
      <c r="L5" s="494"/>
      <c r="M5" s="495"/>
      <c r="N5" s="496"/>
    </row>
    <row r="6" spans="1:14" s="497" customFormat="1" ht="12.5">
      <c r="A6" s="64" t="s">
        <v>215</v>
      </c>
      <c r="B6" s="264" t="s">
        <v>216</v>
      </c>
      <c r="C6" s="14">
        <v>4</v>
      </c>
      <c r="D6" s="19">
        <f>E5+1</f>
        <v>27</v>
      </c>
      <c r="E6" s="19">
        <f>D6+F6-1</f>
        <v>34</v>
      </c>
      <c r="F6" s="19">
        <v>8</v>
      </c>
      <c r="G6" s="180" t="s">
        <v>716</v>
      </c>
      <c r="H6" s="498"/>
      <c r="I6" s="498"/>
      <c r="J6" s="494"/>
      <c r="K6" s="494"/>
      <c r="L6" s="494"/>
      <c r="M6" s="495"/>
      <c r="N6" s="496"/>
    </row>
    <row r="7" spans="1:14" ht="12.5">
      <c r="A7" s="12" t="s">
        <v>717</v>
      </c>
      <c r="B7" s="13" t="s">
        <v>711</v>
      </c>
      <c r="C7" s="19">
        <v>5</v>
      </c>
      <c r="D7" s="19">
        <f>E6+1</f>
        <v>35</v>
      </c>
      <c r="E7" s="14">
        <f>D7+F7-1</f>
        <v>49</v>
      </c>
      <c r="F7" s="14">
        <v>15</v>
      </c>
      <c r="G7" s="67" t="s">
        <v>2178</v>
      </c>
      <c r="H7" s="26"/>
      <c r="I7" s="26"/>
      <c r="J7" s="14"/>
      <c r="K7" s="14"/>
      <c r="L7" s="14"/>
      <c r="M7" s="17" t="s">
        <v>290</v>
      </c>
      <c r="N7" s="61"/>
    </row>
    <row r="8" spans="1:14" ht="10.5">
      <c r="A8" s="6" t="s">
        <v>2179</v>
      </c>
      <c r="B8" s="7" t="s">
        <v>14</v>
      </c>
      <c r="C8" s="27" t="s">
        <v>879</v>
      </c>
      <c r="D8" s="7">
        <v>1</v>
      </c>
      <c r="E8" s="7" t="e">
        <f>#REF!</f>
        <v>#REF!</v>
      </c>
      <c r="F8" s="7">
        <f>SUM(F9:F15)</f>
        <v>111</v>
      </c>
      <c r="G8" s="29"/>
      <c r="H8" s="29"/>
      <c r="I8" s="29"/>
      <c r="J8" s="7"/>
      <c r="K8" s="7"/>
      <c r="L8" s="7"/>
      <c r="M8" s="17" t="s">
        <v>290</v>
      </c>
      <c r="N8" s="61"/>
    </row>
    <row r="9" spans="1:14" ht="21">
      <c r="A9" s="30" t="s">
        <v>723</v>
      </c>
      <c r="B9" s="13" t="s">
        <v>18</v>
      </c>
      <c r="C9" s="14">
        <v>7</v>
      </c>
      <c r="D9" s="31">
        <v>1</v>
      </c>
      <c r="E9" s="14">
        <f>D9+F9-1</f>
        <v>1</v>
      </c>
      <c r="F9" s="31">
        <v>1</v>
      </c>
      <c r="G9" s="16" t="s">
        <v>38</v>
      </c>
      <c r="H9" s="16"/>
      <c r="I9" s="16"/>
      <c r="J9" s="31"/>
      <c r="K9" s="31"/>
      <c r="L9" s="31"/>
      <c r="M9" s="17" t="s">
        <v>724</v>
      </c>
      <c r="N9" s="61"/>
    </row>
    <row r="10" spans="1:14" ht="18" customHeight="1">
      <c r="A10" s="49" t="s">
        <v>2180</v>
      </c>
      <c r="B10" s="13" t="s">
        <v>1111</v>
      </c>
      <c r="C10" s="14">
        <v>8</v>
      </c>
      <c r="D10" s="14">
        <f t="shared" ref="D10:D15" si="0">E9+1</f>
        <v>2</v>
      </c>
      <c r="E10" s="14">
        <f t="shared" ref="E10:E15" si="1">D10+F10-1</f>
        <v>4</v>
      </c>
      <c r="F10" s="14">
        <v>3</v>
      </c>
      <c r="G10" s="15" t="s">
        <v>2181</v>
      </c>
      <c r="H10" s="16" t="s">
        <v>2182</v>
      </c>
      <c r="I10" s="16" t="s">
        <v>2183</v>
      </c>
      <c r="J10" s="33" t="s">
        <v>2184</v>
      </c>
      <c r="K10" s="14" t="s">
        <v>2185</v>
      </c>
      <c r="L10" s="36" t="s">
        <v>731</v>
      </c>
      <c r="M10" s="17" t="s">
        <v>290</v>
      </c>
      <c r="N10" s="61" t="s">
        <v>562</v>
      </c>
    </row>
    <row r="11" spans="1:14" ht="21">
      <c r="A11" s="12" t="s">
        <v>2186</v>
      </c>
      <c r="B11" s="13" t="s">
        <v>720</v>
      </c>
      <c r="C11" s="14">
        <v>10</v>
      </c>
      <c r="D11" s="14">
        <f t="shared" si="0"/>
        <v>5</v>
      </c>
      <c r="E11" s="14">
        <f t="shared" si="1"/>
        <v>5</v>
      </c>
      <c r="F11" s="14">
        <v>1</v>
      </c>
      <c r="G11" s="74" t="s">
        <v>2187</v>
      </c>
      <c r="H11" s="16" t="s">
        <v>2182</v>
      </c>
      <c r="I11" s="16" t="s">
        <v>2183</v>
      </c>
      <c r="J11" s="33" t="s">
        <v>2188</v>
      </c>
      <c r="K11" s="14" t="s">
        <v>2185</v>
      </c>
      <c r="L11" s="36" t="s">
        <v>736</v>
      </c>
      <c r="M11" s="17" t="s">
        <v>290</v>
      </c>
      <c r="N11" s="61" t="s">
        <v>562</v>
      </c>
    </row>
    <row r="12" spans="1:14" ht="12.5">
      <c r="A12" s="15" t="s">
        <v>2189</v>
      </c>
      <c r="B12" s="13" t="s">
        <v>2190</v>
      </c>
      <c r="C12" s="14">
        <v>12</v>
      </c>
      <c r="D12" s="14">
        <f t="shared" si="0"/>
        <v>6</v>
      </c>
      <c r="E12" s="14">
        <f t="shared" si="1"/>
        <v>40</v>
      </c>
      <c r="F12" s="14">
        <v>35</v>
      </c>
      <c r="G12" s="180" t="s">
        <v>738</v>
      </c>
      <c r="H12" s="16" t="s">
        <v>2182</v>
      </c>
      <c r="I12" s="16" t="s">
        <v>2183</v>
      </c>
      <c r="J12" s="33" t="s">
        <v>2191</v>
      </c>
      <c r="K12" s="14" t="s">
        <v>2185</v>
      </c>
      <c r="L12" s="36" t="s">
        <v>740</v>
      </c>
      <c r="M12" s="17" t="s">
        <v>290</v>
      </c>
      <c r="N12" s="61" t="s">
        <v>562</v>
      </c>
    </row>
    <row r="13" spans="1:14" ht="12.5">
      <c r="A13" s="15" t="s">
        <v>2192</v>
      </c>
      <c r="B13" s="13" t="s">
        <v>2190</v>
      </c>
      <c r="C13" s="14">
        <v>13</v>
      </c>
      <c r="D13" s="14">
        <f t="shared" si="0"/>
        <v>41</v>
      </c>
      <c r="E13" s="14">
        <f t="shared" si="1"/>
        <v>75</v>
      </c>
      <c r="F13" s="14">
        <v>35</v>
      </c>
      <c r="G13" s="16" t="s">
        <v>2193</v>
      </c>
      <c r="H13" s="16" t="s">
        <v>2182</v>
      </c>
      <c r="I13" s="16" t="s">
        <v>2183</v>
      </c>
      <c r="J13" s="33" t="s">
        <v>2194</v>
      </c>
      <c r="K13" s="14" t="s">
        <v>2185</v>
      </c>
      <c r="L13" s="32">
        <v>765</v>
      </c>
      <c r="M13" s="17" t="s">
        <v>290</v>
      </c>
      <c r="N13" s="61" t="s">
        <v>562</v>
      </c>
    </row>
    <row r="14" spans="1:14" ht="20.5">
      <c r="A14" s="15" t="s">
        <v>2195</v>
      </c>
      <c r="B14" s="13" t="s">
        <v>2196</v>
      </c>
      <c r="C14" s="14">
        <v>15</v>
      </c>
      <c r="D14" s="14">
        <f t="shared" si="0"/>
        <v>76</v>
      </c>
      <c r="E14" s="14">
        <f t="shared" si="1"/>
        <v>110</v>
      </c>
      <c r="F14" s="14">
        <v>35</v>
      </c>
      <c r="G14" s="499" t="s">
        <v>2197</v>
      </c>
      <c r="H14" s="16" t="s">
        <v>2182</v>
      </c>
      <c r="I14" s="16" t="s">
        <v>2183</v>
      </c>
      <c r="J14" s="33" t="s">
        <v>2198</v>
      </c>
      <c r="K14" s="14" t="s">
        <v>2185</v>
      </c>
      <c r="L14" s="32">
        <v>766</v>
      </c>
      <c r="M14" s="17" t="s">
        <v>290</v>
      </c>
      <c r="N14" s="61" t="s">
        <v>562</v>
      </c>
    </row>
    <row r="15" spans="1:14" ht="30.5">
      <c r="A15" s="12" t="s">
        <v>2199</v>
      </c>
      <c r="B15" s="13" t="s">
        <v>720</v>
      </c>
      <c r="C15" s="14">
        <v>18</v>
      </c>
      <c r="D15" s="14">
        <f t="shared" si="0"/>
        <v>111</v>
      </c>
      <c r="E15" s="14">
        <f t="shared" si="1"/>
        <v>111</v>
      </c>
      <c r="F15" s="14">
        <v>1</v>
      </c>
      <c r="G15" s="16" t="s">
        <v>2200</v>
      </c>
      <c r="H15" s="16" t="s">
        <v>2182</v>
      </c>
      <c r="I15" s="16" t="s">
        <v>2183</v>
      </c>
      <c r="J15" s="33" t="s">
        <v>2201</v>
      </c>
      <c r="K15" s="14" t="s">
        <v>2185</v>
      </c>
      <c r="L15" s="36" t="s">
        <v>749</v>
      </c>
      <c r="M15" s="17" t="s">
        <v>290</v>
      </c>
      <c r="N15" s="61" t="s">
        <v>562</v>
      </c>
    </row>
    <row r="16" spans="1:14" ht="10.5">
      <c r="A16" s="6" t="s">
        <v>2202</v>
      </c>
      <c r="B16" s="7" t="s">
        <v>14</v>
      </c>
      <c r="C16" s="27" t="s">
        <v>879</v>
      </c>
      <c r="D16" s="7">
        <v>1</v>
      </c>
      <c r="E16" s="7" t="e">
        <f>#REF!</f>
        <v>#REF!</v>
      </c>
      <c r="F16" s="7">
        <f>SUM(F17:F18)</f>
        <v>10</v>
      </c>
      <c r="G16" s="29"/>
      <c r="H16" s="29"/>
      <c r="I16" s="29"/>
      <c r="J16" s="7"/>
      <c r="K16" s="41" t="s">
        <v>204</v>
      </c>
      <c r="L16" s="41"/>
      <c r="M16" s="17" t="s">
        <v>290</v>
      </c>
      <c r="N16" s="61"/>
    </row>
    <row r="17" spans="1:14" ht="21">
      <c r="A17" s="30" t="s">
        <v>723</v>
      </c>
      <c r="B17" s="13" t="s">
        <v>18</v>
      </c>
      <c r="C17" s="14">
        <v>24</v>
      </c>
      <c r="D17" s="14">
        <v>1</v>
      </c>
      <c r="E17" s="14">
        <v>1</v>
      </c>
      <c r="F17" s="14">
        <v>1</v>
      </c>
      <c r="G17" s="16" t="s">
        <v>205</v>
      </c>
      <c r="H17" s="16"/>
      <c r="I17" s="16"/>
      <c r="J17" s="14"/>
      <c r="K17" s="14"/>
      <c r="L17" s="14"/>
      <c r="M17" s="17" t="s">
        <v>290</v>
      </c>
      <c r="N17" s="61"/>
    </row>
    <row r="18" spans="1:14" ht="12.5">
      <c r="A18" s="42" t="s">
        <v>206</v>
      </c>
      <c r="B18" s="13" t="s">
        <v>207</v>
      </c>
      <c r="C18" s="14">
        <v>25</v>
      </c>
      <c r="D18" s="14">
        <f>E17+1</f>
        <v>2</v>
      </c>
      <c r="E18" s="14">
        <f>D18+F18-1</f>
        <v>10</v>
      </c>
      <c r="F18" s="14">
        <v>9</v>
      </c>
      <c r="G18" s="16" t="s">
        <v>2203</v>
      </c>
      <c r="H18" s="16"/>
      <c r="I18" s="16"/>
      <c r="J18" s="14"/>
      <c r="K18" s="14"/>
      <c r="L18" s="14"/>
      <c r="M18" s="17" t="s">
        <v>290</v>
      </c>
      <c r="N18" s="61"/>
    </row>
    <row r="19" spans="1:14">
      <c r="M19" s="47"/>
    </row>
    <row r="20" spans="1:14">
      <c r="M20" s="47"/>
    </row>
    <row r="21" spans="1:14">
      <c r="M21" s="47"/>
    </row>
    <row r="22" spans="1:14">
      <c r="M22" s="47"/>
    </row>
    <row r="23" spans="1:14">
      <c r="M23" s="47"/>
    </row>
    <row r="24" spans="1:14">
      <c r="M24" s="47"/>
    </row>
    <row r="25" spans="1:14">
      <c r="M25" s="47"/>
    </row>
    <row r="26" spans="1:14">
      <c r="M26" s="47"/>
    </row>
    <row r="27" spans="1:14">
      <c r="M27" s="47"/>
    </row>
    <row r="28" spans="1:14">
      <c r="M28" s="47"/>
    </row>
    <row r="29" spans="1:14">
      <c r="M29" s="47"/>
    </row>
    <row r="30" spans="1:14">
      <c r="M30" s="47"/>
    </row>
    <row r="31" spans="1:14">
      <c r="M31" s="47"/>
    </row>
    <row r="32" spans="1:14">
      <c r="M32" s="47"/>
    </row>
    <row r="33" spans="13:13">
      <c r="M33" s="47"/>
    </row>
    <row r="34" spans="13:13">
      <c r="M34" s="47"/>
    </row>
    <row r="35" spans="13:13">
      <c r="M35" s="47"/>
    </row>
    <row r="36" spans="13:13">
      <c r="M36" s="47"/>
    </row>
    <row r="37" spans="13:13">
      <c r="M37" s="47"/>
    </row>
    <row r="38" spans="13:13">
      <c r="M38" s="47"/>
    </row>
    <row r="39" spans="13:13">
      <c r="M39" s="47"/>
    </row>
    <row r="40" spans="13:13">
      <c r="M40" s="47"/>
    </row>
    <row r="41" spans="13:13">
      <c r="M41" s="47"/>
    </row>
    <row r="42" spans="13:13">
      <c r="M42" s="47"/>
    </row>
    <row r="43" spans="13:13">
      <c r="M43" s="47"/>
    </row>
    <row r="44" spans="13:13">
      <c r="M44" s="47"/>
    </row>
    <row r="45" spans="13:13">
      <c r="M45" s="47"/>
    </row>
    <row r="46" spans="13:13">
      <c r="M46" s="47"/>
    </row>
    <row r="47" spans="13:13">
      <c r="M47" s="47"/>
    </row>
    <row r="48" spans="13:13">
      <c r="M48" s="47"/>
    </row>
    <row r="49" spans="13:13">
      <c r="M49" s="47"/>
    </row>
    <row r="50" spans="13:13">
      <c r="M50" s="47"/>
    </row>
    <row r="51" spans="13:13">
      <c r="M51" s="47"/>
    </row>
    <row r="52" spans="13:13">
      <c r="M52" s="47"/>
    </row>
    <row r="53" spans="13:13">
      <c r="M53" s="47"/>
    </row>
    <row r="54" spans="13:13">
      <c r="M54" s="47"/>
    </row>
    <row r="55" spans="13:13">
      <c r="M55" s="47"/>
    </row>
    <row r="56" spans="13:13">
      <c r="M56" s="47"/>
    </row>
    <row r="57" spans="13:13">
      <c r="M57" s="47"/>
    </row>
    <row r="58" spans="13:13">
      <c r="M58" s="47"/>
    </row>
    <row r="59" spans="13:13">
      <c r="M59" s="47"/>
    </row>
    <row r="60" spans="13:13">
      <c r="M60" s="47"/>
    </row>
    <row r="61" spans="13:13">
      <c r="M61" s="47"/>
    </row>
    <row r="62" spans="13:13">
      <c r="M62" s="47"/>
    </row>
    <row r="63" spans="13:13">
      <c r="M63" s="47"/>
    </row>
    <row r="64" spans="13:13">
      <c r="M64" s="47"/>
    </row>
    <row r="65" spans="13:13">
      <c r="M65" s="47"/>
    </row>
    <row r="66" spans="13:13">
      <c r="M66" s="47"/>
    </row>
    <row r="67" spans="13:13">
      <c r="M67" s="47"/>
    </row>
    <row r="68" spans="13:13">
      <c r="M68" s="47"/>
    </row>
    <row r="69" spans="13:13">
      <c r="M69" s="47"/>
    </row>
    <row r="70" spans="13:13">
      <c r="M70" s="47"/>
    </row>
    <row r="71" spans="13:13">
      <c r="M71" s="47"/>
    </row>
    <row r="72" spans="13:13">
      <c r="M72" s="47"/>
    </row>
    <row r="73" spans="13:13">
      <c r="M73" s="47"/>
    </row>
    <row r="74" spans="13:13">
      <c r="M74" s="47"/>
    </row>
    <row r="75" spans="13:13">
      <c r="M75" s="47"/>
    </row>
    <row r="76" spans="13:13">
      <c r="M76" s="47"/>
    </row>
    <row r="77" spans="13:13">
      <c r="M77" s="47"/>
    </row>
    <row r="78" spans="13:13">
      <c r="M78" s="47"/>
    </row>
    <row r="79" spans="13:13">
      <c r="M79" s="47"/>
    </row>
    <row r="80" spans="13:13">
      <c r="M80" s="47"/>
    </row>
    <row r="81" spans="13:13">
      <c r="M81" s="47"/>
    </row>
    <row r="82" spans="13:13">
      <c r="M82" s="47"/>
    </row>
    <row r="83" spans="13:13">
      <c r="M83" s="47"/>
    </row>
    <row r="84" spans="13:13">
      <c r="M84" s="47"/>
    </row>
    <row r="85" spans="13:13">
      <c r="M85" s="47"/>
    </row>
    <row r="86" spans="13:13">
      <c r="M86" s="47"/>
    </row>
    <row r="87" spans="13:13">
      <c r="M87" s="47"/>
    </row>
    <row r="88" spans="13:13">
      <c r="M88" s="47"/>
    </row>
    <row r="89" spans="13:13">
      <c r="M89" s="47"/>
    </row>
    <row r="90" spans="13:13">
      <c r="M90" s="47"/>
    </row>
    <row r="91" spans="13:13">
      <c r="M91" s="47"/>
    </row>
    <row r="92" spans="13:13">
      <c r="M92" s="47"/>
    </row>
    <row r="93" spans="13:13">
      <c r="M93" s="47"/>
    </row>
    <row r="94" spans="13:13">
      <c r="M94" s="47"/>
    </row>
    <row r="95" spans="13:13">
      <c r="M95" s="47"/>
    </row>
    <row r="96" spans="13:13">
      <c r="M96" s="47"/>
    </row>
    <row r="97" spans="13:13">
      <c r="M97" s="47"/>
    </row>
    <row r="98" spans="13:13">
      <c r="M98" s="47"/>
    </row>
    <row r="99" spans="13:13">
      <c r="M99" s="47"/>
    </row>
  </sheetData>
  <dataValidations count="1">
    <dataValidation type="list" allowBlank="1" showInputMessage="1" showErrorMessage="1" sqref="N10:N15 JJ10:JJ15 TF10:TF15 ADB10:ADB15 AMX10:AMX15 AWT10:AWT15 BGP10:BGP15 BQL10:BQL15 CAH10:CAH15 CKD10:CKD15 CTZ10:CTZ15 DDV10:DDV15 DNR10:DNR15 DXN10:DXN15 EHJ10:EHJ15 ERF10:ERF15 FBB10:FBB15 FKX10:FKX15 FUT10:FUT15 GEP10:GEP15 GOL10:GOL15 GYH10:GYH15 HID10:HID15 HRZ10:HRZ15 IBV10:IBV15 ILR10:ILR15 IVN10:IVN15 JFJ10:JFJ15 JPF10:JPF15 JZB10:JZB15 KIX10:KIX15 KST10:KST15 LCP10:LCP15 LML10:LML15 LWH10:LWH15 MGD10:MGD15 MPZ10:MPZ15 MZV10:MZV15 NJR10:NJR15 NTN10:NTN15 ODJ10:ODJ15 ONF10:ONF15 OXB10:OXB15 PGX10:PGX15 PQT10:PQT15 QAP10:QAP15 QKL10:QKL15 QUH10:QUH15 RED10:RED15 RNZ10:RNZ15 RXV10:RXV15 SHR10:SHR15 SRN10:SRN15 TBJ10:TBJ15 TLF10:TLF15 TVB10:TVB15 UEX10:UEX15 UOT10:UOT15 UYP10:UYP15 VIL10:VIL15 VSH10:VSH15 WCD10:WCD15 WLZ10:WLZ15 WVV10:WVV15 N65546:N65551 JJ65546:JJ65551 TF65546:TF65551 ADB65546:ADB65551 AMX65546:AMX65551 AWT65546:AWT65551 BGP65546:BGP65551 BQL65546:BQL65551 CAH65546:CAH65551 CKD65546:CKD65551 CTZ65546:CTZ65551 DDV65546:DDV65551 DNR65546:DNR65551 DXN65546:DXN65551 EHJ65546:EHJ65551 ERF65546:ERF65551 FBB65546:FBB65551 FKX65546:FKX65551 FUT65546:FUT65551 GEP65546:GEP65551 GOL65546:GOL65551 GYH65546:GYH65551 HID65546:HID65551 HRZ65546:HRZ65551 IBV65546:IBV65551 ILR65546:ILR65551 IVN65546:IVN65551 JFJ65546:JFJ65551 JPF65546:JPF65551 JZB65546:JZB65551 KIX65546:KIX65551 KST65546:KST65551 LCP65546:LCP65551 LML65546:LML65551 LWH65546:LWH65551 MGD65546:MGD65551 MPZ65546:MPZ65551 MZV65546:MZV65551 NJR65546:NJR65551 NTN65546:NTN65551 ODJ65546:ODJ65551 ONF65546:ONF65551 OXB65546:OXB65551 PGX65546:PGX65551 PQT65546:PQT65551 QAP65546:QAP65551 QKL65546:QKL65551 QUH65546:QUH65551 RED65546:RED65551 RNZ65546:RNZ65551 RXV65546:RXV65551 SHR65546:SHR65551 SRN65546:SRN65551 TBJ65546:TBJ65551 TLF65546:TLF65551 TVB65546:TVB65551 UEX65546:UEX65551 UOT65546:UOT65551 UYP65546:UYP65551 VIL65546:VIL65551 VSH65546:VSH65551 WCD65546:WCD65551 WLZ65546:WLZ65551 WVV65546:WVV65551 N131082:N131087 JJ131082:JJ131087 TF131082:TF131087 ADB131082:ADB131087 AMX131082:AMX131087 AWT131082:AWT131087 BGP131082:BGP131087 BQL131082:BQL131087 CAH131082:CAH131087 CKD131082:CKD131087 CTZ131082:CTZ131087 DDV131082:DDV131087 DNR131082:DNR131087 DXN131082:DXN131087 EHJ131082:EHJ131087 ERF131082:ERF131087 FBB131082:FBB131087 FKX131082:FKX131087 FUT131082:FUT131087 GEP131082:GEP131087 GOL131082:GOL131087 GYH131082:GYH131087 HID131082:HID131087 HRZ131082:HRZ131087 IBV131082:IBV131087 ILR131082:ILR131087 IVN131082:IVN131087 JFJ131082:JFJ131087 JPF131082:JPF131087 JZB131082:JZB131087 KIX131082:KIX131087 KST131082:KST131087 LCP131082:LCP131087 LML131082:LML131087 LWH131082:LWH131087 MGD131082:MGD131087 MPZ131082:MPZ131087 MZV131082:MZV131087 NJR131082:NJR131087 NTN131082:NTN131087 ODJ131082:ODJ131087 ONF131082:ONF131087 OXB131082:OXB131087 PGX131082:PGX131087 PQT131082:PQT131087 QAP131082:QAP131087 QKL131082:QKL131087 QUH131082:QUH131087 RED131082:RED131087 RNZ131082:RNZ131087 RXV131082:RXV131087 SHR131082:SHR131087 SRN131082:SRN131087 TBJ131082:TBJ131087 TLF131082:TLF131087 TVB131082:TVB131087 UEX131082:UEX131087 UOT131082:UOT131087 UYP131082:UYP131087 VIL131082:VIL131087 VSH131082:VSH131087 WCD131082:WCD131087 WLZ131082:WLZ131087 WVV131082:WVV131087 N196618:N196623 JJ196618:JJ196623 TF196618:TF196623 ADB196618:ADB196623 AMX196618:AMX196623 AWT196618:AWT196623 BGP196618:BGP196623 BQL196618:BQL196623 CAH196618:CAH196623 CKD196618:CKD196623 CTZ196618:CTZ196623 DDV196618:DDV196623 DNR196618:DNR196623 DXN196618:DXN196623 EHJ196618:EHJ196623 ERF196618:ERF196623 FBB196618:FBB196623 FKX196618:FKX196623 FUT196618:FUT196623 GEP196618:GEP196623 GOL196618:GOL196623 GYH196618:GYH196623 HID196618:HID196623 HRZ196618:HRZ196623 IBV196618:IBV196623 ILR196618:ILR196623 IVN196618:IVN196623 JFJ196618:JFJ196623 JPF196618:JPF196623 JZB196618:JZB196623 KIX196618:KIX196623 KST196618:KST196623 LCP196618:LCP196623 LML196618:LML196623 LWH196618:LWH196623 MGD196618:MGD196623 MPZ196618:MPZ196623 MZV196618:MZV196623 NJR196618:NJR196623 NTN196618:NTN196623 ODJ196618:ODJ196623 ONF196618:ONF196623 OXB196618:OXB196623 PGX196618:PGX196623 PQT196618:PQT196623 QAP196618:QAP196623 QKL196618:QKL196623 QUH196618:QUH196623 RED196618:RED196623 RNZ196618:RNZ196623 RXV196618:RXV196623 SHR196618:SHR196623 SRN196618:SRN196623 TBJ196618:TBJ196623 TLF196618:TLF196623 TVB196618:TVB196623 UEX196618:UEX196623 UOT196618:UOT196623 UYP196618:UYP196623 VIL196618:VIL196623 VSH196618:VSH196623 WCD196618:WCD196623 WLZ196618:WLZ196623 WVV196618:WVV196623 N262154:N262159 JJ262154:JJ262159 TF262154:TF262159 ADB262154:ADB262159 AMX262154:AMX262159 AWT262154:AWT262159 BGP262154:BGP262159 BQL262154:BQL262159 CAH262154:CAH262159 CKD262154:CKD262159 CTZ262154:CTZ262159 DDV262154:DDV262159 DNR262154:DNR262159 DXN262154:DXN262159 EHJ262154:EHJ262159 ERF262154:ERF262159 FBB262154:FBB262159 FKX262154:FKX262159 FUT262154:FUT262159 GEP262154:GEP262159 GOL262154:GOL262159 GYH262154:GYH262159 HID262154:HID262159 HRZ262154:HRZ262159 IBV262154:IBV262159 ILR262154:ILR262159 IVN262154:IVN262159 JFJ262154:JFJ262159 JPF262154:JPF262159 JZB262154:JZB262159 KIX262154:KIX262159 KST262154:KST262159 LCP262154:LCP262159 LML262154:LML262159 LWH262154:LWH262159 MGD262154:MGD262159 MPZ262154:MPZ262159 MZV262154:MZV262159 NJR262154:NJR262159 NTN262154:NTN262159 ODJ262154:ODJ262159 ONF262154:ONF262159 OXB262154:OXB262159 PGX262154:PGX262159 PQT262154:PQT262159 QAP262154:QAP262159 QKL262154:QKL262159 QUH262154:QUH262159 RED262154:RED262159 RNZ262154:RNZ262159 RXV262154:RXV262159 SHR262154:SHR262159 SRN262154:SRN262159 TBJ262154:TBJ262159 TLF262154:TLF262159 TVB262154:TVB262159 UEX262154:UEX262159 UOT262154:UOT262159 UYP262154:UYP262159 VIL262154:VIL262159 VSH262154:VSH262159 WCD262154:WCD262159 WLZ262154:WLZ262159 WVV262154:WVV262159 N327690:N327695 JJ327690:JJ327695 TF327690:TF327695 ADB327690:ADB327695 AMX327690:AMX327695 AWT327690:AWT327695 BGP327690:BGP327695 BQL327690:BQL327695 CAH327690:CAH327695 CKD327690:CKD327695 CTZ327690:CTZ327695 DDV327690:DDV327695 DNR327690:DNR327695 DXN327690:DXN327695 EHJ327690:EHJ327695 ERF327690:ERF327695 FBB327690:FBB327695 FKX327690:FKX327695 FUT327690:FUT327695 GEP327690:GEP327695 GOL327690:GOL327695 GYH327690:GYH327695 HID327690:HID327695 HRZ327690:HRZ327695 IBV327690:IBV327695 ILR327690:ILR327695 IVN327690:IVN327695 JFJ327690:JFJ327695 JPF327690:JPF327695 JZB327690:JZB327695 KIX327690:KIX327695 KST327690:KST327695 LCP327690:LCP327695 LML327690:LML327695 LWH327690:LWH327695 MGD327690:MGD327695 MPZ327690:MPZ327695 MZV327690:MZV327695 NJR327690:NJR327695 NTN327690:NTN327695 ODJ327690:ODJ327695 ONF327690:ONF327695 OXB327690:OXB327695 PGX327690:PGX327695 PQT327690:PQT327695 QAP327690:QAP327695 QKL327690:QKL327695 QUH327690:QUH327695 RED327690:RED327695 RNZ327690:RNZ327695 RXV327690:RXV327695 SHR327690:SHR327695 SRN327690:SRN327695 TBJ327690:TBJ327695 TLF327690:TLF327695 TVB327690:TVB327695 UEX327690:UEX327695 UOT327690:UOT327695 UYP327690:UYP327695 VIL327690:VIL327695 VSH327690:VSH327695 WCD327690:WCD327695 WLZ327690:WLZ327695 WVV327690:WVV327695 N393226:N393231 JJ393226:JJ393231 TF393226:TF393231 ADB393226:ADB393231 AMX393226:AMX393231 AWT393226:AWT393231 BGP393226:BGP393231 BQL393226:BQL393231 CAH393226:CAH393231 CKD393226:CKD393231 CTZ393226:CTZ393231 DDV393226:DDV393231 DNR393226:DNR393231 DXN393226:DXN393231 EHJ393226:EHJ393231 ERF393226:ERF393231 FBB393226:FBB393231 FKX393226:FKX393231 FUT393226:FUT393231 GEP393226:GEP393231 GOL393226:GOL393231 GYH393226:GYH393231 HID393226:HID393231 HRZ393226:HRZ393231 IBV393226:IBV393231 ILR393226:ILR393231 IVN393226:IVN393231 JFJ393226:JFJ393231 JPF393226:JPF393231 JZB393226:JZB393231 KIX393226:KIX393231 KST393226:KST393231 LCP393226:LCP393231 LML393226:LML393231 LWH393226:LWH393231 MGD393226:MGD393231 MPZ393226:MPZ393231 MZV393226:MZV393231 NJR393226:NJR393231 NTN393226:NTN393231 ODJ393226:ODJ393231 ONF393226:ONF393231 OXB393226:OXB393231 PGX393226:PGX393231 PQT393226:PQT393231 QAP393226:QAP393231 QKL393226:QKL393231 QUH393226:QUH393231 RED393226:RED393231 RNZ393226:RNZ393231 RXV393226:RXV393231 SHR393226:SHR393231 SRN393226:SRN393231 TBJ393226:TBJ393231 TLF393226:TLF393231 TVB393226:TVB393231 UEX393226:UEX393231 UOT393226:UOT393231 UYP393226:UYP393231 VIL393226:VIL393231 VSH393226:VSH393231 WCD393226:WCD393231 WLZ393226:WLZ393231 WVV393226:WVV393231 N458762:N458767 JJ458762:JJ458767 TF458762:TF458767 ADB458762:ADB458767 AMX458762:AMX458767 AWT458762:AWT458767 BGP458762:BGP458767 BQL458762:BQL458767 CAH458762:CAH458767 CKD458762:CKD458767 CTZ458762:CTZ458767 DDV458762:DDV458767 DNR458762:DNR458767 DXN458762:DXN458767 EHJ458762:EHJ458767 ERF458762:ERF458767 FBB458762:FBB458767 FKX458762:FKX458767 FUT458762:FUT458767 GEP458762:GEP458767 GOL458762:GOL458767 GYH458762:GYH458767 HID458762:HID458767 HRZ458762:HRZ458767 IBV458762:IBV458767 ILR458762:ILR458767 IVN458762:IVN458767 JFJ458762:JFJ458767 JPF458762:JPF458767 JZB458762:JZB458767 KIX458762:KIX458767 KST458762:KST458767 LCP458762:LCP458767 LML458762:LML458767 LWH458762:LWH458767 MGD458762:MGD458767 MPZ458762:MPZ458767 MZV458762:MZV458767 NJR458762:NJR458767 NTN458762:NTN458767 ODJ458762:ODJ458767 ONF458762:ONF458767 OXB458762:OXB458767 PGX458762:PGX458767 PQT458762:PQT458767 QAP458762:QAP458767 QKL458762:QKL458767 QUH458762:QUH458767 RED458762:RED458767 RNZ458762:RNZ458767 RXV458762:RXV458767 SHR458762:SHR458767 SRN458762:SRN458767 TBJ458762:TBJ458767 TLF458762:TLF458767 TVB458762:TVB458767 UEX458762:UEX458767 UOT458762:UOT458767 UYP458762:UYP458767 VIL458762:VIL458767 VSH458762:VSH458767 WCD458762:WCD458767 WLZ458762:WLZ458767 WVV458762:WVV458767 N524298:N524303 JJ524298:JJ524303 TF524298:TF524303 ADB524298:ADB524303 AMX524298:AMX524303 AWT524298:AWT524303 BGP524298:BGP524303 BQL524298:BQL524303 CAH524298:CAH524303 CKD524298:CKD524303 CTZ524298:CTZ524303 DDV524298:DDV524303 DNR524298:DNR524303 DXN524298:DXN524303 EHJ524298:EHJ524303 ERF524298:ERF524303 FBB524298:FBB524303 FKX524298:FKX524303 FUT524298:FUT524303 GEP524298:GEP524303 GOL524298:GOL524303 GYH524298:GYH524303 HID524298:HID524303 HRZ524298:HRZ524303 IBV524298:IBV524303 ILR524298:ILR524303 IVN524298:IVN524303 JFJ524298:JFJ524303 JPF524298:JPF524303 JZB524298:JZB524303 KIX524298:KIX524303 KST524298:KST524303 LCP524298:LCP524303 LML524298:LML524303 LWH524298:LWH524303 MGD524298:MGD524303 MPZ524298:MPZ524303 MZV524298:MZV524303 NJR524298:NJR524303 NTN524298:NTN524303 ODJ524298:ODJ524303 ONF524298:ONF524303 OXB524298:OXB524303 PGX524298:PGX524303 PQT524298:PQT524303 QAP524298:QAP524303 QKL524298:QKL524303 QUH524298:QUH524303 RED524298:RED524303 RNZ524298:RNZ524303 RXV524298:RXV524303 SHR524298:SHR524303 SRN524298:SRN524303 TBJ524298:TBJ524303 TLF524298:TLF524303 TVB524298:TVB524303 UEX524298:UEX524303 UOT524298:UOT524303 UYP524298:UYP524303 VIL524298:VIL524303 VSH524298:VSH524303 WCD524298:WCD524303 WLZ524298:WLZ524303 WVV524298:WVV524303 N589834:N589839 JJ589834:JJ589839 TF589834:TF589839 ADB589834:ADB589839 AMX589834:AMX589839 AWT589834:AWT589839 BGP589834:BGP589839 BQL589834:BQL589839 CAH589834:CAH589839 CKD589834:CKD589839 CTZ589834:CTZ589839 DDV589834:DDV589839 DNR589834:DNR589839 DXN589834:DXN589839 EHJ589834:EHJ589839 ERF589834:ERF589839 FBB589834:FBB589839 FKX589834:FKX589839 FUT589834:FUT589839 GEP589834:GEP589839 GOL589834:GOL589839 GYH589834:GYH589839 HID589834:HID589839 HRZ589834:HRZ589839 IBV589834:IBV589839 ILR589834:ILR589839 IVN589834:IVN589839 JFJ589834:JFJ589839 JPF589834:JPF589839 JZB589834:JZB589839 KIX589834:KIX589839 KST589834:KST589839 LCP589834:LCP589839 LML589834:LML589839 LWH589834:LWH589839 MGD589834:MGD589839 MPZ589834:MPZ589839 MZV589834:MZV589839 NJR589834:NJR589839 NTN589834:NTN589839 ODJ589834:ODJ589839 ONF589834:ONF589839 OXB589834:OXB589839 PGX589834:PGX589839 PQT589834:PQT589839 QAP589834:QAP589839 QKL589834:QKL589839 QUH589834:QUH589839 RED589834:RED589839 RNZ589834:RNZ589839 RXV589834:RXV589839 SHR589834:SHR589839 SRN589834:SRN589839 TBJ589834:TBJ589839 TLF589834:TLF589839 TVB589834:TVB589839 UEX589834:UEX589839 UOT589834:UOT589839 UYP589834:UYP589839 VIL589834:VIL589839 VSH589834:VSH589839 WCD589834:WCD589839 WLZ589834:WLZ589839 WVV589834:WVV589839 N655370:N655375 JJ655370:JJ655375 TF655370:TF655375 ADB655370:ADB655375 AMX655370:AMX655375 AWT655370:AWT655375 BGP655370:BGP655375 BQL655370:BQL655375 CAH655370:CAH655375 CKD655370:CKD655375 CTZ655370:CTZ655375 DDV655370:DDV655375 DNR655370:DNR655375 DXN655370:DXN655375 EHJ655370:EHJ655375 ERF655370:ERF655375 FBB655370:FBB655375 FKX655370:FKX655375 FUT655370:FUT655375 GEP655370:GEP655375 GOL655370:GOL655375 GYH655370:GYH655375 HID655370:HID655375 HRZ655370:HRZ655375 IBV655370:IBV655375 ILR655370:ILR655375 IVN655370:IVN655375 JFJ655370:JFJ655375 JPF655370:JPF655375 JZB655370:JZB655375 KIX655370:KIX655375 KST655370:KST655375 LCP655370:LCP655375 LML655370:LML655375 LWH655370:LWH655375 MGD655370:MGD655375 MPZ655370:MPZ655375 MZV655370:MZV655375 NJR655370:NJR655375 NTN655370:NTN655375 ODJ655370:ODJ655375 ONF655370:ONF655375 OXB655370:OXB655375 PGX655370:PGX655375 PQT655370:PQT655375 QAP655370:QAP655375 QKL655370:QKL655375 QUH655370:QUH655375 RED655370:RED655375 RNZ655370:RNZ655375 RXV655370:RXV655375 SHR655370:SHR655375 SRN655370:SRN655375 TBJ655370:TBJ655375 TLF655370:TLF655375 TVB655370:TVB655375 UEX655370:UEX655375 UOT655370:UOT655375 UYP655370:UYP655375 VIL655370:VIL655375 VSH655370:VSH655375 WCD655370:WCD655375 WLZ655370:WLZ655375 WVV655370:WVV655375 N720906:N720911 JJ720906:JJ720911 TF720906:TF720911 ADB720906:ADB720911 AMX720906:AMX720911 AWT720906:AWT720911 BGP720906:BGP720911 BQL720906:BQL720911 CAH720906:CAH720911 CKD720906:CKD720911 CTZ720906:CTZ720911 DDV720906:DDV720911 DNR720906:DNR720911 DXN720906:DXN720911 EHJ720906:EHJ720911 ERF720906:ERF720911 FBB720906:FBB720911 FKX720906:FKX720911 FUT720906:FUT720911 GEP720906:GEP720911 GOL720906:GOL720911 GYH720906:GYH720911 HID720906:HID720911 HRZ720906:HRZ720911 IBV720906:IBV720911 ILR720906:ILR720911 IVN720906:IVN720911 JFJ720906:JFJ720911 JPF720906:JPF720911 JZB720906:JZB720911 KIX720906:KIX720911 KST720906:KST720911 LCP720906:LCP720911 LML720906:LML720911 LWH720906:LWH720911 MGD720906:MGD720911 MPZ720906:MPZ720911 MZV720906:MZV720911 NJR720906:NJR720911 NTN720906:NTN720911 ODJ720906:ODJ720911 ONF720906:ONF720911 OXB720906:OXB720911 PGX720906:PGX720911 PQT720906:PQT720911 QAP720906:QAP720911 QKL720906:QKL720911 QUH720906:QUH720911 RED720906:RED720911 RNZ720906:RNZ720911 RXV720906:RXV720911 SHR720906:SHR720911 SRN720906:SRN720911 TBJ720906:TBJ720911 TLF720906:TLF720911 TVB720906:TVB720911 UEX720906:UEX720911 UOT720906:UOT720911 UYP720906:UYP720911 VIL720906:VIL720911 VSH720906:VSH720911 WCD720906:WCD720911 WLZ720906:WLZ720911 WVV720906:WVV720911 N786442:N786447 JJ786442:JJ786447 TF786442:TF786447 ADB786442:ADB786447 AMX786442:AMX786447 AWT786442:AWT786447 BGP786442:BGP786447 BQL786442:BQL786447 CAH786442:CAH786447 CKD786442:CKD786447 CTZ786442:CTZ786447 DDV786442:DDV786447 DNR786442:DNR786447 DXN786442:DXN786447 EHJ786442:EHJ786447 ERF786442:ERF786447 FBB786442:FBB786447 FKX786442:FKX786447 FUT786442:FUT786447 GEP786442:GEP786447 GOL786442:GOL786447 GYH786442:GYH786447 HID786442:HID786447 HRZ786442:HRZ786447 IBV786442:IBV786447 ILR786442:ILR786447 IVN786442:IVN786447 JFJ786442:JFJ786447 JPF786442:JPF786447 JZB786442:JZB786447 KIX786442:KIX786447 KST786442:KST786447 LCP786442:LCP786447 LML786442:LML786447 LWH786442:LWH786447 MGD786442:MGD786447 MPZ786442:MPZ786447 MZV786442:MZV786447 NJR786442:NJR786447 NTN786442:NTN786447 ODJ786442:ODJ786447 ONF786442:ONF786447 OXB786442:OXB786447 PGX786442:PGX786447 PQT786442:PQT786447 QAP786442:QAP786447 QKL786442:QKL786447 QUH786442:QUH786447 RED786442:RED786447 RNZ786442:RNZ786447 RXV786442:RXV786447 SHR786442:SHR786447 SRN786442:SRN786447 TBJ786442:TBJ786447 TLF786442:TLF786447 TVB786442:TVB786447 UEX786442:UEX786447 UOT786442:UOT786447 UYP786442:UYP786447 VIL786442:VIL786447 VSH786442:VSH786447 WCD786442:WCD786447 WLZ786442:WLZ786447 WVV786442:WVV786447 N851978:N851983 JJ851978:JJ851983 TF851978:TF851983 ADB851978:ADB851983 AMX851978:AMX851983 AWT851978:AWT851983 BGP851978:BGP851983 BQL851978:BQL851983 CAH851978:CAH851983 CKD851978:CKD851983 CTZ851978:CTZ851983 DDV851978:DDV851983 DNR851978:DNR851983 DXN851978:DXN851983 EHJ851978:EHJ851983 ERF851978:ERF851983 FBB851978:FBB851983 FKX851978:FKX851983 FUT851978:FUT851983 GEP851978:GEP851983 GOL851978:GOL851983 GYH851978:GYH851983 HID851978:HID851983 HRZ851978:HRZ851983 IBV851978:IBV851983 ILR851978:ILR851983 IVN851978:IVN851983 JFJ851978:JFJ851983 JPF851978:JPF851983 JZB851978:JZB851983 KIX851978:KIX851983 KST851978:KST851983 LCP851978:LCP851983 LML851978:LML851983 LWH851978:LWH851983 MGD851978:MGD851983 MPZ851978:MPZ851983 MZV851978:MZV851983 NJR851978:NJR851983 NTN851978:NTN851983 ODJ851978:ODJ851983 ONF851978:ONF851983 OXB851978:OXB851983 PGX851978:PGX851983 PQT851978:PQT851983 QAP851978:QAP851983 QKL851978:QKL851983 QUH851978:QUH851983 RED851978:RED851983 RNZ851978:RNZ851983 RXV851978:RXV851983 SHR851978:SHR851983 SRN851978:SRN851983 TBJ851978:TBJ851983 TLF851978:TLF851983 TVB851978:TVB851983 UEX851978:UEX851983 UOT851978:UOT851983 UYP851978:UYP851983 VIL851978:VIL851983 VSH851978:VSH851983 WCD851978:WCD851983 WLZ851978:WLZ851983 WVV851978:WVV851983 N917514:N917519 JJ917514:JJ917519 TF917514:TF917519 ADB917514:ADB917519 AMX917514:AMX917519 AWT917514:AWT917519 BGP917514:BGP917519 BQL917514:BQL917519 CAH917514:CAH917519 CKD917514:CKD917519 CTZ917514:CTZ917519 DDV917514:DDV917519 DNR917514:DNR917519 DXN917514:DXN917519 EHJ917514:EHJ917519 ERF917514:ERF917519 FBB917514:FBB917519 FKX917514:FKX917519 FUT917514:FUT917519 GEP917514:GEP917519 GOL917514:GOL917519 GYH917514:GYH917519 HID917514:HID917519 HRZ917514:HRZ917519 IBV917514:IBV917519 ILR917514:ILR917519 IVN917514:IVN917519 JFJ917514:JFJ917519 JPF917514:JPF917519 JZB917514:JZB917519 KIX917514:KIX917519 KST917514:KST917519 LCP917514:LCP917519 LML917514:LML917519 LWH917514:LWH917519 MGD917514:MGD917519 MPZ917514:MPZ917519 MZV917514:MZV917519 NJR917514:NJR917519 NTN917514:NTN917519 ODJ917514:ODJ917519 ONF917514:ONF917519 OXB917514:OXB917519 PGX917514:PGX917519 PQT917514:PQT917519 QAP917514:QAP917519 QKL917514:QKL917519 QUH917514:QUH917519 RED917514:RED917519 RNZ917514:RNZ917519 RXV917514:RXV917519 SHR917514:SHR917519 SRN917514:SRN917519 TBJ917514:TBJ917519 TLF917514:TLF917519 TVB917514:TVB917519 UEX917514:UEX917519 UOT917514:UOT917519 UYP917514:UYP917519 VIL917514:VIL917519 VSH917514:VSH917519 WCD917514:WCD917519 WLZ917514:WLZ917519 WVV917514:WVV917519 N983050:N983055 JJ983050:JJ983055 TF983050:TF983055 ADB983050:ADB983055 AMX983050:AMX983055 AWT983050:AWT983055 BGP983050:BGP983055 BQL983050:BQL983055 CAH983050:CAH983055 CKD983050:CKD983055 CTZ983050:CTZ983055 DDV983050:DDV983055 DNR983050:DNR983055 DXN983050:DXN983055 EHJ983050:EHJ983055 ERF983050:ERF983055 FBB983050:FBB983055 FKX983050:FKX983055 FUT983050:FUT983055 GEP983050:GEP983055 GOL983050:GOL983055 GYH983050:GYH983055 HID983050:HID983055 HRZ983050:HRZ983055 IBV983050:IBV983055 ILR983050:ILR983055 IVN983050:IVN983055 JFJ983050:JFJ983055 JPF983050:JPF983055 JZB983050:JZB983055 KIX983050:KIX983055 KST983050:KST983055 LCP983050:LCP983055 LML983050:LML983055 LWH983050:LWH983055 MGD983050:MGD983055 MPZ983050:MPZ983055 MZV983050:MZV983055 NJR983050:NJR983055 NTN983050:NTN983055 ODJ983050:ODJ983055 ONF983050:ONF983055 OXB983050:OXB983055 PGX983050:PGX983055 PQT983050:PQT983055 QAP983050:QAP983055 QKL983050:QKL983055 QUH983050:QUH983055 RED983050:RED983055 RNZ983050:RNZ983055 RXV983050:RXV983055 SHR983050:SHR983055 SRN983050:SRN983055 TBJ983050:TBJ983055 TLF983050:TLF983055 TVB983050:TVB983055 UEX983050:UEX983055 UOT983050:UOT983055 UYP983050:UYP983055 VIL983050:VIL983055 VSH983050:VSH983055 WCD983050:WCD983055 WLZ983050:WLZ983055 WVV983050:WVV983055" xr:uid="{E16251A3-1C8E-4F20-8BE0-BDCFC7283735}">
      <formula1>"Y,N"</formula1>
    </dataValidation>
  </dataValidations>
  <pageMargins left="0.75" right="0.75" top="1" bottom="1" header="0.5" footer="0.5"/>
  <pageSetup paperSize="9" orientation="portrait" r:id="rId1"/>
  <headerFooter alignWithMargins="0">
    <oddHeader>&amp;L&amp;"Arial"&amp;9&amp;K0078D7 INTERNAL&amp;1#_x000D_</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1D7AB-E431-4024-ABD8-EAFA964058D4}">
  <sheetPr codeName="Sheet20"/>
  <dimension ref="A1:E38"/>
  <sheetViews>
    <sheetView zoomScale="130" zoomScaleNormal="130" workbookViewId="0">
      <selection activeCell="B18" sqref="B18"/>
    </sheetView>
  </sheetViews>
  <sheetFormatPr defaultColWidth="9.1796875" defaultRowHeight="12.5"/>
  <cols>
    <col min="1" max="1" width="25" style="421" customWidth="1"/>
    <col min="2" max="2" width="37" style="422" customWidth="1"/>
    <col min="3" max="3" width="31.81640625" style="422" customWidth="1"/>
    <col min="4" max="4" width="54.54296875" style="422" customWidth="1"/>
    <col min="5" max="5" width="55.54296875" style="422" customWidth="1"/>
    <col min="6" max="16384" width="9.1796875" style="402"/>
  </cols>
  <sheetData>
    <row r="1" spans="1:5">
      <c r="A1" s="401" t="s">
        <v>1746</v>
      </c>
      <c r="B1" s="763" t="s">
        <v>1747</v>
      </c>
      <c r="C1" s="763"/>
      <c r="D1" s="763"/>
      <c r="E1" s="763"/>
    </row>
    <row r="2" spans="1:5">
      <c r="A2" s="403" t="s">
        <v>1748</v>
      </c>
      <c r="B2" s="764" t="s">
        <v>1749</v>
      </c>
      <c r="C2" s="764"/>
      <c r="D2" s="764"/>
      <c r="E2" s="764"/>
    </row>
    <row r="4" spans="1:5">
      <c r="A4" s="765" t="s">
        <v>1750</v>
      </c>
      <c r="B4" s="766" t="s">
        <v>1751</v>
      </c>
      <c r="C4" s="766" t="s">
        <v>1752</v>
      </c>
      <c r="D4" s="404" t="s">
        <v>1753</v>
      </c>
      <c r="E4" s="766" t="s">
        <v>1754</v>
      </c>
    </row>
    <row r="5" spans="1:5">
      <c r="A5" s="765"/>
      <c r="B5" s="766"/>
      <c r="C5" s="766"/>
      <c r="D5" s="405" t="s">
        <v>1755</v>
      </c>
      <c r="E5" s="766"/>
    </row>
    <row r="6" spans="1:5" ht="12.75" customHeight="1">
      <c r="A6" s="758" t="s">
        <v>1756</v>
      </c>
      <c r="B6" s="758"/>
      <c r="C6" s="758"/>
      <c r="D6" s="759" t="s">
        <v>1757</v>
      </c>
      <c r="E6" s="761" t="s">
        <v>1758</v>
      </c>
    </row>
    <row r="7" spans="1:5" ht="20">
      <c r="A7" s="406" t="s">
        <v>1759</v>
      </c>
      <c r="B7" s="407" t="s">
        <v>1760</v>
      </c>
      <c r="C7" s="408"/>
      <c r="D7" s="759"/>
      <c r="E7" s="761"/>
    </row>
    <row r="8" spans="1:5">
      <c r="A8" s="406" t="s">
        <v>1761</v>
      </c>
      <c r="B8" s="407" t="s">
        <v>1762</v>
      </c>
      <c r="C8" s="408"/>
      <c r="D8" s="759"/>
      <c r="E8" s="761"/>
    </row>
    <row r="9" spans="1:5">
      <c r="A9" s="406" t="s">
        <v>1763</v>
      </c>
      <c r="B9" s="409" t="s">
        <v>1764</v>
      </c>
      <c r="C9" s="408"/>
      <c r="D9" s="759"/>
      <c r="E9" s="761"/>
    </row>
    <row r="10" spans="1:5">
      <c r="A10" s="762"/>
      <c r="B10" s="762"/>
      <c r="C10" s="762"/>
      <c r="D10" s="759"/>
      <c r="E10" s="761"/>
    </row>
    <row r="11" spans="1:5">
      <c r="A11" s="758" t="s">
        <v>1765</v>
      </c>
      <c r="B11" s="758"/>
      <c r="C11" s="758"/>
      <c r="D11" s="759"/>
      <c r="E11" s="761"/>
    </row>
    <row r="12" spans="1:5" ht="40">
      <c r="A12" s="410" t="s">
        <v>1766</v>
      </c>
      <c r="B12" s="411" t="s">
        <v>1767</v>
      </c>
      <c r="C12" s="410"/>
      <c r="D12" s="759"/>
      <c r="E12" s="761"/>
    </row>
    <row r="13" spans="1:5">
      <c r="A13" s="410" t="s">
        <v>1768</v>
      </c>
      <c r="B13" s="412" t="s">
        <v>1769</v>
      </c>
      <c r="C13" s="410"/>
      <c r="D13" s="759"/>
      <c r="E13" s="761"/>
    </row>
    <row r="14" spans="1:5">
      <c r="A14" s="410" t="s">
        <v>1770</v>
      </c>
      <c r="B14" s="413" t="s">
        <v>347</v>
      </c>
      <c r="C14" s="410"/>
      <c r="D14" s="759"/>
      <c r="E14" s="761"/>
    </row>
    <row r="15" spans="1:5">
      <c r="A15" s="410" t="s">
        <v>1771</v>
      </c>
      <c r="B15" s="413" t="s">
        <v>1772</v>
      </c>
      <c r="C15" s="410"/>
      <c r="D15" s="759"/>
      <c r="E15" s="761"/>
    </row>
    <row r="16" spans="1:5">
      <c r="A16" s="410" t="s">
        <v>1773</v>
      </c>
      <c r="B16" s="413" t="s">
        <v>1774</v>
      </c>
      <c r="C16" s="410"/>
      <c r="D16" s="759"/>
      <c r="E16" s="761"/>
    </row>
    <row r="17" spans="1:5">
      <c r="A17" s="410" t="s">
        <v>1775</v>
      </c>
      <c r="B17" s="413" t="s">
        <v>1776</v>
      </c>
      <c r="C17" s="410"/>
      <c r="D17" s="759"/>
      <c r="E17" s="761"/>
    </row>
    <row r="18" spans="1:5">
      <c r="A18" s="410" t="s">
        <v>1777</v>
      </c>
      <c r="B18" s="413" t="s">
        <v>1778</v>
      </c>
      <c r="C18" s="410"/>
      <c r="D18" s="759"/>
      <c r="E18" s="761"/>
    </row>
    <row r="19" spans="1:5">
      <c r="A19" s="410" t="s">
        <v>1779</v>
      </c>
      <c r="B19" s="414" t="s">
        <v>1780</v>
      </c>
      <c r="C19" s="410"/>
      <c r="D19" s="759"/>
      <c r="E19" s="761"/>
    </row>
    <row r="20" spans="1:5">
      <c r="A20" s="410" t="s">
        <v>1781</v>
      </c>
      <c r="B20" s="414" t="s">
        <v>1782</v>
      </c>
      <c r="C20" s="410"/>
      <c r="D20" s="759"/>
      <c r="E20" s="761"/>
    </row>
    <row r="21" spans="1:5">
      <c r="A21" s="410" t="s">
        <v>1783</v>
      </c>
      <c r="B21" s="414" t="s">
        <v>1784</v>
      </c>
      <c r="C21" s="410"/>
      <c r="D21" s="759"/>
      <c r="E21" s="761"/>
    </row>
    <row r="22" spans="1:5">
      <c r="A22" s="410" t="s">
        <v>1785</v>
      </c>
      <c r="B22" s="414" t="s">
        <v>1647</v>
      </c>
      <c r="C22" s="410"/>
      <c r="D22" s="759"/>
      <c r="E22" s="761"/>
    </row>
    <row r="23" spans="1:5">
      <c r="A23" s="410" t="s">
        <v>1786</v>
      </c>
      <c r="B23" s="414" t="s">
        <v>1787</v>
      </c>
      <c r="C23" s="410"/>
      <c r="D23" s="759"/>
      <c r="E23" s="761"/>
    </row>
    <row r="24" spans="1:5">
      <c r="A24" s="410" t="s">
        <v>1788</v>
      </c>
      <c r="B24" s="414" t="s">
        <v>1789</v>
      </c>
      <c r="C24" s="415"/>
      <c r="D24" s="759"/>
      <c r="E24" s="761"/>
    </row>
    <row r="25" spans="1:5">
      <c r="A25" s="416" t="s">
        <v>1790</v>
      </c>
      <c r="B25" s="417" t="s">
        <v>1791</v>
      </c>
      <c r="C25" s="418"/>
      <c r="D25" s="759"/>
      <c r="E25" s="761"/>
    </row>
    <row r="26" spans="1:5">
      <c r="A26" s="416" t="s">
        <v>1792</v>
      </c>
      <c r="B26" s="417" t="s">
        <v>1793</v>
      </c>
      <c r="C26" s="418"/>
      <c r="D26" s="759"/>
      <c r="E26" s="761"/>
    </row>
    <row r="27" spans="1:5">
      <c r="A27" s="416" t="s">
        <v>1794</v>
      </c>
      <c r="B27" s="417" t="s">
        <v>1795</v>
      </c>
      <c r="C27" s="418"/>
      <c r="D27" s="759"/>
      <c r="E27" s="761"/>
    </row>
    <row r="28" spans="1:5">
      <c r="A28" s="416" t="s">
        <v>1796</v>
      </c>
      <c r="B28" s="417" t="s">
        <v>1797</v>
      </c>
      <c r="C28" s="418"/>
      <c r="D28" s="759"/>
      <c r="E28" s="761"/>
    </row>
    <row r="29" spans="1:5">
      <c r="A29" s="416" t="s">
        <v>1798</v>
      </c>
      <c r="B29" s="417" t="s">
        <v>1799</v>
      </c>
      <c r="C29" s="418"/>
      <c r="D29" s="759"/>
      <c r="E29" s="761"/>
    </row>
    <row r="30" spans="1:5">
      <c r="A30" s="416" t="s">
        <v>1800</v>
      </c>
      <c r="B30" s="417" t="s">
        <v>1801</v>
      </c>
      <c r="C30" s="418"/>
      <c r="D30" s="759"/>
      <c r="E30" s="761"/>
    </row>
    <row r="31" spans="1:5">
      <c r="A31" s="416" t="s">
        <v>1802</v>
      </c>
      <c r="B31" s="417" t="s">
        <v>1803</v>
      </c>
      <c r="C31" s="418"/>
      <c r="D31" s="759"/>
      <c r="E31" s="761"/>
    </row>
    <row r="32" spans="1:5">
      <c r="A32" s="416" t="s">
        <v>1804</v>
      </c>
      <c r="B32" s="417" t="s">
        <v>1805</v>
      </c>
      <c r="C32" s="418"/>
      <c r="D32" s="759"/>
      <c r="E32" s="761"/>
    </row>
    <row r="33" spans="1:5">
      <c r="A33" s="416" t="s">
        <v>1806</v>
      </c>
      <c r="B33" s="417" t="s">
        <v>1807</v>
      </c>
      <c r="C33" s="418"/>
      <c r="D33" s="759"/>
      <c r="E33" s="761"/>
    </row>
    <row r="34" spans="1:5">
      <c r="A34" s="410" t="s">
        <v>1808</v>
      </c>
      <c r="B34" s="414" t="s">
        <v>1809</v>
      </c>
      <c r="C34" s="419"/>
      <c r="D34" s="759"/>
      <c r="E34" s="761"/>
    </row>
    <row r="35" spans="1:5">
      <c r="A35" s="410" t="s">
        <v>1810</v>
      </c>
      <c r="B35" s="414" t="s">
        <v>1811</v>
      </c>
      <c r="C35" s="419"/>
      <c r="D35" s="759"/>
      <c r="E35" s="761"/>
    </row>
    <row r="36" spans="1:5">
      <c r="A36" s="410" t="s">
        <v>1812</v>
      </c>
      <c r="B36" s="414" t="s">
        <v>1813</v>
      </c>
      <c r="C36" s="419"/>
      <c r="D36" s="759"/>
      <c r="E36" s="761"/>
    </row>
    <row r="37" spans="1:5">
      <c r="A37" s="420" t="s">
        <v>1814</v>
      </c>
      <c r="B37" s="420" t="s">
        <v>1815</v>
      </c>
      <c r="C37" s="419"/>
      <c r="D37" s="760"/>
      <c r="E37" s="419"/>
    </row>
    <row r="38" spans="1:5">
      <c r="A38" s="420" t="s">
        <v>1816</v>
      </c>
      <c r="B38" s="420" t="s">
        <v>1817</v>
      </c>
      <c r="C38" s="419"/>
      <c r="D38" s="760"/>
      <c r="E38" s="419"/>
    </row>
  </sheetData>
  <mergeCells count="11">
    <mergeCell ref="B1:E1"/>
    <mergeCell ref="B2:E2"/>
    <mergeCell ref="A4:A5"/>
    <mergeCell ref="B4:B5"/>
    <mergeCell ref="C4:C5"/>
    <mergeCell ref="E4:E5"/>
    <mergeCell ref="A6:C6"/>
    <mergeCell ref="D6:D38"/>
    <mergeCell ref="E6:E36"/>
    <mergeCell ref="A10:C10"/>
    <mergeCell ref="A11:C11"/>
  </mergeCells>
  <pageMargins left="0.75" right="0.75" top="1" bottom="1" header="0.5" footer="0.5"/>
  <pageSetup paperSize="9" orientation="portrait" r:id="rId1"/>
  <headerFooter alignWithMargins="0">
    <oddHeader>&amp;L&amp;"Arial"&amp;9&amp;K0078D7 INTERNAL&amp;1#_x000D_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4DB24-11EB-46AA-AE68-E2BF12078A35}">
  <sheetPr codeName="Sheet28"/>
  <dimension ref="A1:L30"/>
  <sheetViews>
    <sheetView zoomScale="130" zoomScaleNormal="130" workbookViewId="0">
      <selection activeCell="G4" sqref="G4"/>
    </sheetView>
  </sheetViews>
  <sheetFormatPr defaultRowHeight="12.5"/>
  <cols>
    <col min="1" max="1" width="16.81640625" style="503" bestFit="1" customWidth="1"/>
    <col min="2" max="2" width="14.26953125" style="503" bestFit="1" customWidth="1"/>
    <col min="3" max="3" width="9.7265625" style="503" bestFit="1" customWidth="1"/>
    <col min="4" max="4" width="20.453125" style="503" bestFit="1" customWidth="1"/>
    <col min="5" max="5" width="10.54296875" style="503" bestFit="1" customWidth="1"/>
    <col min="6" max="6" width="7.54296875" style="503" bestFit="1" customWidth="1"/>
    <col min="7" max="7" width="34.54296875" style="503" customWidth="1"/>
    <col min="8" max="10" width="20" style="503" customWidth="1"/>
    <col min="11" max="11" width="27.1796875" style="503" customWidth="1"/>
    <col min="12" max="12" width="19.453125" style="503" bestFit="1" customWidth="1"/>
    <col min="13" max="16384" width="8.7265625" style="503"/>
  </cols>
  <sheetData>
    <row r="1" spans="1:12">
      <c r="A1" s="500" t="s">
        <v>2206</v>
      </c>
      <c r="B1" s="500" t="s">
        <v>2207</v>
      </c>
      <c r="C1" s="501" t="s">
        <v>2208</v>
      </c>
      <c r="D1" s="500" t="s">
        <v>2209</v>
      </c>
      <c r="E1" s="500" t="s">
        <v>2210</v>
      </c>
      <c r="F1" s="500" t="s">
        <v>2211</v>
      </c>
      <c r="G1" s="500" t="s">
        <v>2212</v>
      </c>
      <c r="H1" s="502" t="s">
        <v>2213</v>
      </c>
      <c r="I1" s="502" t="s">
        <v>2214</v>
      </c>
      <c r="J1" s="502" t="s">
        <v>2215</v>
      </c>
      <c r="K1" s="500" t="s">
        <v>2216</v>
      </c>
    </row>
    <row r="2" spans="1:12" ht="33.75" customHeight="1">
      <c r="A2" s="504" t="s">
        <v>2217</v>
      </c>
      <c r="B2" s="504" t="s">
        <v>2218</v>
      </c>
      <c r="C2" s="504">
        <v>1</v>
      </c>
      <c r="D2" s="505" t="s">
        <v>2219</v>
      </c>
      <c r="E2" s="505" t="s">
        <v>2220</v>
      </c>
      <c r="F2" s="504">
        <v>2</v>
      </c>
      <c r="G2" s="505" t="s">
        <v>2221</v>
      </c>
      <c r="H2" s="506" t="s">
        <v>2222</v>
      </c>
      <c r="I2" s="506"/>
      <c r="J2" s="506"/>
      <c r="K2" s="507" t="s">
        <v>2223</v>
      </c>
      <c r="L2" s="508" t="s">
        <v>2224</v>
      </c>
    </row>
    <row r="3" spans="1:12" ht="21" customHeight="1">
      <c r="A3" s="504" t="s">
        <v>2217</v>
      </c>
      <c r="B3" s="504" t="s">
        <v>2218</v>
      </c>
      <c r="C3" s="504">
        <v>2</v>
      </c>
      <c r="D3" s="505" t="s">
        <v>2225</v>
      </c>
      <c r="E3" s="505" t="s">
        <v>2226</v>
      </c>
      <c r="F3" s="504">
        <v>80</v>
      </c>
      <c r="G3" s="505" t="s">
        <v>2227</v>
      </c>
      <c r="H3" s="509" t="s">
        <v>2228</v>
      </c>
      <c r="I3" s="509"/>
      <c r="J3" s="509"/>
      <c r="K3" s="506" t="s">
        <v>204</v>
      </c>
    </row>
    <row r="4" spans="1:12" ht="73.5" customHeight="1">
      <c r="A4" s="504" t="s">
        <v>2217</v>
      </c>
      <c r="B4" s="504" t="s">
        <v>2229</v>
      </c>
      <c r="C4" s="504">
        <v>3</v>
      </c>
      <c r="D4" s="505" t="s">
        <v>2230</v>
      </c>
      <c r="E4" s="505" t="s">
        <v>2226</v>
      </c>
      <c r="F4" s="504">
        <v>1</v>
      </c>
      <c r="G4" s="504" t="s">
        <v>2231</v>
      </c>
      <c r="H4" s="506" t="s">
        <v>2232</v>
      </c>
      <c r="I4" s="506"/>
      <c r="J4" s="506"/>
      <c r="K4" s="507" t="s">
        <v>204</v>
      </c>
    </row>
    <row r="5" spans="1:12" ht="73.5" customHeight="1">
      <c r="A5" s="504" t="s">
        <v>2217</v>
      </c>
      <c r="B5" s="504" t="s">
        <v>2218</v>
      </c>
      <c r="C5" s="504">
        <v>4</v>
      </c>
      <c r="D5" s="505" t="s">
        <v>2233</v>
      </c>
      <c r="E5" s="505" t="s">
        <v>2226</v>
      </c>
      <c r="F5" s="504">
        <v>1</v>
      </c>
      <c r="G5" s="504" t="s">
        <v>2234</v>
      </c>
      <c r="H5" s="506" t="s">
        <v>562</v>
      </c>
      <c r="I5" s="506"/>
      <c r="J5" s="506"/>
      <c r="K5" s="507" t="s">
        <v>2235</v>
      </c>
    </row>
    <row r="6" spans="1:12" ht="21" customHeight="1">
      <c r="A6" s="504" t="s">
        <v>2217</v>
      </c>
      <c r="B6" s="504" t="s">
        <v>2229</v>
      </c>
      <c r="C6" s="504">
        <v>5</v>
      </c>
      <c r="D6" s="505" t="s">
        <v>2236</v>
      </c>
      <c r="E6" s="505" t="s">
        <v>2220</v>
      </c>
      <c r="F6" s="504">
        <v>16</v>
      </c>
      <c r="G6" s="504" t="s">
        <v>2237</v>
      </c>
      <c r="H6" s="506" t="s">
        <v>2238</v>
      </c>
      <c r="I6" s="506"/>
      <c r="J6" s="506"/>
      <c r="K6" s="507" t="s">
        <v>2239</v>
      </c>
    </row>
    <row r="7" spans="1:12" ht="21" customHeight="1">
      <c r="A7" s="504" t="s">
        <v>2217</v>
      </c>
      <c r="B7" s="504" t="s">
        <v>2229</v>
      </c>
      <c r="C7" s="504">
        <v>6</v>
      </c>
      <c r="D7" s="505" t="s">
        <v>2240</v>
      </c>
      <c r="E7" s="505" t="s">
        <v>2226</v>
      </c>
      <c r="F7" s="504">
        <v>11</v>
      </c>
      <c r="G7" s="504" t="s">
        <v>2241</v>
      </c>
      <c r="H7" s="506" t="s">
        <v>2242</v>
      </c>
      <c r="I7" s="506"/>
      <c r="J7" s="506"/>
      <c r="K7" s="507" t="s">
        <v>2235</v>
      </c>
    </row>
    <row r="8" spans="1:12">
      <c r="A8" s="504" t="s">
        <v>2217</v>
      </c>
      <c r="B8" s="504" t="s">
        <v>2218</v>
      </c>
      <c r="C8" s="504">
        <v>7</v>
      </c>
      <c r="D8" s="505" t="s">
        <v>2243</v>
      </c>
      <c r="E8" s="505" t="s">
        <v>2220</v>
      </c>
      <c r="F8" s="504">
        <v>16</v>
      </c>
      <c r="G8" s="504" t="s">
        <v>2244</v>
      </c>
      <c r="H8" s="506" t="s">
        <v>2238</v>
      </c>
      <c r="I8" s="506" t="s">
        <v>2245</v>
      </c>
      <c r="J8" s="506" t="s">
        <v>2246</v>
      </c>
      <c r="K8" s="506" t="s">
        <v>2247</v>
      </c>
    </row>
    <row r="9" spans="1:12" ht="31.5" customHeight="1">
      <c r="A9" s="504" t="s">
        <v>2217</v>
      </c>
      <c r="B9" s="504" t="s">
        <v>2218</v>
      </c>
      <c r="C9" s="504">
        <v>8</v>
      </c>
      <c r="D9" s="510" t="s">
        <v>2248</v>
      </c>
      <c r="E9" s="505" t="s">
        <v>2220</v>
      </c>
      <c r="F9" s="504">
        <v>7</v>
      </c>
      <c r="G9" s="504" t="s">
        <v>2249</v>
      </c>
      <c r="H9" s="506" t="s">
        <v>2250</v>
      </c>
      <c r="I9" s="506" t="s">
        <v>2245</v>
      </c>
      <c r="J9" s="506" t="s">
        <v>1195</v>
      </c>
      <c r="K9" s="506" t="s">
        <v>2247</v>
      </c>
      <c r="L9" s="503" t="s">
        <v>204</v>
      </c>
    </row>
    <row r="10" spans="1:12" ht="42" customHeight="1">
      <c r="A10" s="504" t="s">
        <v>2217</v>
      </c>
      <c r="B10" s="504" t="s">
        <v>2218</v>
      </c>
      <c r="C10" s="504">
        <v>9</v>
      </c>
      <c r="D10" s="510" t="s">
        <v>2251</v>
      </c>
      <c r="E10" s="505" t="s">
        <v>2220</v>
      </c>
      <c r="F10" s="504">
        <v>2</v>
      </c>
      <c r="G10" s="504" t="s">
        <v>2252</v>
      </c>
      <c r="H10" s="506" t="s">
        <v>2253</v>
      </c>
      <c r="I10" s="506" t="s">
        <v>2245</v>
      </c>
      <c r="J10" s="506" t="s">
        <v>2254</v>
      </c>
      <c r="K10" s="506" t="s">
        <v>2247</v>
      </c>
      <c r="L10" s="503" t="s">
        <v>204</v>
      </c>
    </row>
    <row r="11" spans="1:12">
      <c r="A11" s="504" t="s">
        <v>2217</v>
      </c>
      <c r="B11" s="504" t="s">
        <v>2218</v>
      </c>
      <c r="C11" s="504">
        <v>10</v>
      </c>
      <c r="D11" s="510" t="s">
        <v>2255</v>
      </c>
      <c r="E11" s="505" t="s">
        <v>2226</v>
      </c>
      <c r="F11" s="504">
        <v>1</v>
      </c>
      <c r="G11" s="504" t="s">
        <v>2256</v>
      </c>
      <c r="H11" s="506" t="s">
        <v>2257</v>
      </c>
      <c r="I11" s="506" t="s">
        <v>2245</v>
      </c>
      <c r="J11" s="506" t="s">
        <v>2258</v>
      </c>
      <c r="K11" s="506" t="s">
        <v>2247</v>
      </c>
      <c r="L11" s="503" t="s">
        <v>204</v>
      </c>
    </row>
    <row r="12" spans="1:12">
      <c r="A12" s="504" t="s">
        <v>2217</v>
      </c>
      <c r="B12" s="504" t="s">
        <v>2218</v>
      </c>
      <c r="C12" s="504">
        <v>11</v>
      </c>
      <c r="D12" s="505" t="s">
        <v>2259</v>
      </c>
      <c r="E12" s="505" t="s">
        <v>2226</v>
      </c>
      <c r="F12" s="504">
        <v>1</v>
      </c>
      <c r="G12" s="504" t="s">
        <v>2260</v>
      </c>
      <c r="H12" s="506" t="s">
        <v>2257</v>
      </c>
      <c r="I12" s="506" t="s">
        <v>2245</v>
      </c>
      <c r="J12" s="506" t="s">
        <v>2261</v>
      </c>
      <c r="K12" s="506" t="s">
        <v>2247</v>
      </c>
    </row>
    <row r="13" spans="1:12" ht="21" customHeight="1">
      <c r="A13" s="504" t="s">
        <v>2217</v>
      </c>
      <c r="B13" s="504" t="s">
        <v>2218</v>
      </c>
      <c r="C13" s="504">
        <v>12</v>
      </c>
      <c r="D13" s="505" t="s">
        <v>2262</v>
      </c>
      <c r="E13" s="505" t="s">
        <v>2226</v>
      </c>
      <c r="F13" s="504">
        <v>1</v>
      </c>
      <c r="G13" s="504" t="s">
        <v>2263</v>
      </c>
      <c r="H13" s="506" t="s">
        <v>2264</v>
      </c>
      <c r="I13" s="506" t="s">
        <v>2245</v>
      </c>
      <c r="J13" s="506" t="s">
        <v>1173</v>
      </c>
      <c r="K13" s="506" t="s">
        <v>2247</v>
      </c>
    </row>
    <row r="14" spans="1:12">
      <c r="A14" s="504" t="s">
        <v>2217</v>
      </c>
      <c r="B14" s="504" t="s">
        <v>2218</v>
      </c>
      <c r="C14" s="504">
        <v>13</v>
      </c>
      <c r="D14" s="510" t="s">
        <v>2265</v>
      </c>
      <c r="E14" s="505" t="s">
        <v>2226</v>
      </c>
      <c r="F14" s="504">
        <v>1</v>
      </c>
      <c r="G14" s="504" t="s">
        <v>2266</v>
      </c>
      <c r="H14" s="506" t="s">
        <v>534</v>
      </c>
      <c r="I14" s="506" t="s">
        <v>2245</v>
      </c>
      <c r="J14" s="506" t="s">
        <v>2267</v>
      </c>
      <c r="K14" s="506" t="s">
        <v>2247</v>
      </c>
    </row>
    <row r="15" spans="1:12">
      <c r="A15" s="504" t="s">
        <v>2217</v>
      </c>
      <c r="B15" s="504" t="s">
        <v>2218</v>
      </c>
      <c r="C15" s="504">
        <v>14</v>
      </c>
      <c r="D15" s="510" t="s">
        <v>2268</v>
      </c>
      <c r="E15" s="505" t="s">
        <v>2226</v>
      </c>
      <c r="F15" s="511"/>
      <c r="G15" s="504" t="s">
        <v>2269</v>
      </c>
      <c r="H15" s="506" t="s">
        <v>2270</v>
      </c>
      <c r="I15" s="506" t="s">
        <v>2245</v>
      </c>
      <c r="J15" s="506" t="s">
        <v>2271</v>
      </c>
      <c r="K15" s="506" t="s">
        <v>2247</v>
      </c>
    </row>
    <row r="16" spans="1:12">
      <c r="A16" s="504" t="s">
        <v>2217</v>
      </c>
      <c r="B16" s="504" t="s">
        <v>2218</v>
      </c>
      <c r="C16" s="504">
        <v>15</v>
      </c>
      <c r="D16" s="510" t="s">
        <v>2272</v>
      </c>
      <c r="E16" s="505" t="s">
        <v>2226</v>
      </c>
      <c r="F16" s="511"/>
      <c r="G16" s="504" t="s">
        <v>1190</v>
      </c>
      <c r="H16" s="506" t="s">
        <v>2273</v>
      </c>
      <c r="I16" s="506" t="s">
        <v>2245</v>
      </c>
      <c r="J16" s="506" t="s">
        <v>2274</v>
      </c>
      <c r="K16" s="506" t="s">
        <v>2247</v>
      </c>
    </row>
    <row r="17" spans="1:11">
      <c r="A17" s="504" t="s">
        <v>2217</v>
      </c>
      <c r="B17" s="504" t="s">
        <v>2218</v>
      </c>
      <c r="C17" s="504">
        <v>16</v>
      </c>
      <c r="D17" s="505" t="s">
        <v>2275</v>
      </c>
      <c r="E17" s="505" t="s">
        <v>2220</v>
      </c>
      <c r="F17" s="504">
        <v>9</v>
      </c>
      <c r="G17" s="504" t="s">
        <v>2276</v>
      </c>
      <c r="H17" s="506" t="s">
        <v>2277</v>
      </c>
      <c r="I17" s="506" t="s">
        <v>2245</v>
      </c>
      <c r="J17" s="505" t="s">
        <v>2278</v>
      </c>
      <c r="K17" s="506" t="s">
        <v>2247</v>
      </c>
    </row>
    <row r="18" spans="1:11">
      <c r="A18" s="504" t="s">
        <v>2217</v>
      </c>
      <c r="B18" s="504" t="s">
        <v>2218</v>
      </c>
      <c r="C18" s="504">
        <v>17</v>
      </c>
      <c r="D18" s="510" t="s">
        <v>2279</v>
      </c>
      <c r="E18" s="505" t="s">
        <v>2226</v>
      </c>
      <c r="F18" s="511"/>
      <c r="G18" s="504" t="s">
        <v>2280</v>
      </c>
      <c r="H18" s="506" t="s">
        <v>2277</v>
      </c>
      <c r="I18" s="506" t="s">
        <v>2245</v>
      </c>
      <c r="J18" s="505" t="s">
        <v>2281</v>
      </c>
      <c r="K18" s="506" t="s">
        <v>2247</v>
      </c>
    </row>
    <row r="19" spans="1:11">
      <c r="A19" s="504" t="s">
        <v>2217</v>
      </c>
      <c r="B19" s="504" t="s">
        <v>2218</v>
      </c>
      <c r="C19" s="504">
        <v>18</v>
      </c>
      <c r="D19" s="510" t="s">
        <v>2282</v>
      </c>
      <c r="E19" s="505" t="s">
        <v>2220</v>
      </c>
      <c r="F19" s="511">
        <v>7</v>
      </c>
      <c r="G19" s="504" t="s">
        <v>2283</v>
      </c>
      <c r="H19" s="506" t="s">
        <v>2277</v>
      </c>
      <c r="I19" s="506" t="s">
        <v>2245</v>
      </c>
      <c r="J19" s="505" t="s">
        <v>2284</v>
      </c>
      <c r="K19" s="506" t="s">
        <v>2247</v>
      </c>
    </row>
    <row r="20" spans="1:11">
      <c r="A20" s="504" t="s">
        <v>2217</v>
      </c>
      <c r="B20" s="504" t="s">
        <v>2218</v>
      </c>
      <c r="C20" s="504">
        <v>19</v>
      </c>
      <c r="D20" s="510" t="s">
        <v>2285</v>
      </c>
      <c r="E20" s="505" t="s">
        <v>2226</v>
      </c>
      <c r="F20" s="511">
        <v>6</v>
      </c>
      <c r="G20" s="504" t="s">
        <v>2286</v>
      </c>
      <c r="H20" s="506" t="s">
        <v>2287</v>
      </c>
      <c r="I20" s="506" t="s">
        <v>2288</v>
      </c>
      <c r="J20" s="505" t="s">
        <v>2289</v>
      </c>
      <c r="K20" s="506" t="s">
        <v>2247</v>
      </c>
    </row>
    <row r="21" spans="1:11">
      <c r="A21" s="504" t="s">
        <v>2217</v>
      </c>
      <c r="B21" s="504" t="s">
        <v>2218</v>
      </c>
      <c r="C21" s="504">
        <v>20</v>
      </c>
      <c r="D21" s="510" t="s">
        <v>2290</v>
      </c>
      <c r="E21" s="505" t="s">
        <v>2220</v>
      </c>
      <c r="F21" s="511">
        <v>7</v>
      </c>
      <c r="G21" s="504" t="s">
        <v>2291</v>
      </c>
      <c r="H21" s="506" t="s">
        <v>2292</v>
      </c>
      <c r="I21" s="506" t="s">
        <v>2288</v>
      </c>
      <c r="J21" s="505" t="s">
        <v>2293</v>
      </c>
      <c r="K21" s="506" t="s">
        <v>2247</v>
      </c>
    </row>
    <row r="22" spans="1:11">
      <c r="A22" s="504" t="s">
        <v>2217</v>
      </c>
      <c r="B22" s="504" t="s">
        <v>2218</v>
      </c>
      <c r="C22" s="504">
        <v>21</v>
      </c>
      <c r="D22" s="510" t="s">
        <v>2294</v>
      </c>
      <c r="E22" s="505" t="s">
        <v>2226</v>
      </c>
      <c r="F22" s="511">
        <v>1</v>
      </c>
      <c r="G22" s="504" t="s">
        <v>2295</v>
      </c>
      <c r="H22" s="506"/>
      <c r="I22" s="506" t="s">
        <v>2288</v>
      </c>
      <c r="J22" s="505" t="s">
        <v>2296</v>
      </c>
      <c r="K22" s="506" t="s">
        <v>2247</v>
      </c>
    </row>
    <row r="23" spans="1:11" ht="63" customHeight="1">
      <c r="A23" s="504" t="s">
        <v>2217</v>
      </c>
      <c r="B23" s="504" t="s">
        <v>2218</v>
      </c>
      <c r="C23" s="504">
        <v>22</v>
      </c>
      <c r="D23" s="505" t="s">
        <v>2297</v>
      </c>
      <c r="E23" s="505" t="s">
        <v>2226</v>
      </c>
      <c r="F23" s="511">
        <v>1</v>
      </c>
      <c r="G23" s="504" t="s">
        <v>2298</v>
      </c>
      <c r="H23" s="506" t="s">
        <v>562</v>
      </c>
      <c r="I23" s="506"/>
      <c r="J23" s="505"/>
      <c r="K23" s="506" t="s">
        <v>2247</v>
      </c>
    </row>
    <row r="24" spans="1:11">
      <c r="A24" s="504" t="s">
        <v>2217</v>
      </c>
      <c r="B24" s="504" t="s">
        <v>2218</v>
      </c>
      <c r="C24" s="504">
        <v>23</v>
      </c>
      <c r="D24" s="510" t="s">
        <v>2299</v>
      </c>
      <c r="E24" s="505" t="s">
        <v>2226</v>
      </c>
      <c r="F24" s="511">
        <v>1</v>
      </c>
      <c r="G24" s="504" t="s">
        <v>2300</v>
      </c>
      <c r="H24" s="506" t="s">
        <v>2232</v>
      </c>
      <c r="I24" s="506" t="s">
        <v>2288</v>
      </c>
      <c r="J24" s="505" t="s">
        <v>2301</v>
      </c>
      <c r="K24" s="506" t="s">
        <v>2247</v>
      </c>
    </row>
    <row r="25" spans="1:11">
      <c r="A25" s="504" t="s">
        <v>2217</v>
      </c>
      <c r="B25" s="504" t="s">
        <v>2218</v>
      </c>
      <c r="C25" s="504">
        <v>24</v>
      </c>
      <c r="D25" s="510" t="s">
        <v>2302</v>
      </c>
      <c r="E25" s="505" t="s">
        <v>2226</v>
      </c>
      <c r="F25" s="511">
        <v>5</v>
      </c>
      <c r="G25" s="504" t="s">
        <v>2303</v>
      </c>
      <c r="H25" s="506" t="s">
        <v>2304</v>
      </c>
      <c r="I25" s="506" t="s">
        <v>2305</v>
      </c>
      <c r="J25" s="505" t="s">
        <v>1283</v>
      </c>
      <c r="K25" s="506" t="s">
        <v>2247</v>
      </c>
    </row>
    <row r="26" spans="1:11" ht="21" customHeight="1">
      <c r="A26" s="504" t="s">
        <v>2217</v>
      </c>
      <c r="B26" s="504" t="s">
        <v>2218</v>
      </c>
      <c r="C26" s="504">
        <v>25</v>
      </c>
      <c r="D26" s="505" t="s">
        <v>2306</v>
      </c>
      <c r="E26" s="505" t="s">
        <v>2226</v>
      </c>
      <c r="F26" s="511">
        <v>1</v>
      </c>
      <c r="G26" s="504" t="s">
        <v>2307</v>
      </c>
      <c r="H26" s="506" t="s">
        <v>2232</v>
      </c>
      <c r="I26" s="506" t="s">
        <v>2288</v>
      </c>
      <c r="J26" s="505" t="s">
        <v>1206</v>
      </c>
      <c r="K26" s="506" t="s">
        <v>2247</v>
      </c>
    </row>
    <row r="27" spans="1:11" ht="31.5" customHeight="1">
      <c r="A27" s="504" t="s">
        <v>2217</v>
      </c>
      <c r="B27" s="504" t="s">
        <v>2218</v>
      </c>
      <c r="C27" s="504">
        <v>26</v>
      </c>
      <c r="D27" s="505" t="s">
        <v>2308</v>
      </c>
      <c r="E27" s="505" t="s">
        <v>2226</v>
      </c>
      <c r="F27" s="511">
        <v>1</v>
      </c>
      <c r="G27" s="504" t="s">
        <v>2309</v>
      </c>
      <c r="H27" s="506" t="s">
        <v>2310</v>
      </c>
      <c r="I27" s="506" t="s">
        <v>2288</v>
      </c>
      <c r="J27" s="505" t="s">
        <v>2311</v>
      </c>
      <c r="K27" s="506" t="s">
        <v>2312</v>
      </c>
    </row>
    <row r="28" spans="1:11" ht="21" customHeight="1">
      <c r="A28" s="504" t="s">
        <v>2217</v>
      </c>
      <c r="B28" s="504" t="s">
        <v>2218</v>
      </c>
      <c r="C28" s="504">
        <v>27</v>
      </c>
      <c r="D28" s="505" t="s">
        <v>2313</v>
      </c>
      <c r="E28" s="505" t="s">
        <v>2226</v>
      </c>
      <c r="F28" s="511">
        <v>1</v>
      </c>
      <c r="G28" s="504" t="s">
        <v>2314</v>
      </c>
      <c r="H28" s="506" t="s">
        <v>2315</v>
      </c>
      <c r="I28" s="506" t="s">
        <v>2288</v>
      </c>
      <c r="J28" s="505" t="s">
        <v>2316</v>
      </c>
      <c r="K28" s="506" t="s">
        <v>2247</v>
      </c>
    </row>
    <row r="29" spans="1:11" ht="42" customHeight="1">
      <c r="A29" s="504" t="s">
        <v>2217</v>
      </c>
      <c r="B29" s="504" t="s">
        <v>2218</v>
      </c>
      <c r="C29" s="504">
        <v>28</v>
      </c>
      <c r="D29" s="505" t="s">
        <v>2317</v>
      </c>
      <c r="E29" s="505" t="s">
        <v>2226</v>
      </c>
      <c r="F29" s="511">
        <v>1</v>
      </c>
      <c r="G29" s="504" t="s">
        <v>2318</v>
      </c>
      <c r="H29" s="506" t="s">
        <v>2319</v>
      </c>
      <c r="I29" s="506" t="s">
        <v>2245</v>
      </c>
      <c r="J29" s="504" t="s">
        <v>2320</v>
      </c>
      <c r="K29" s="506" t="s">
        <v>2247</v>
      </c>
    </row>
    <row r="30" spans="1:11">
      <c r="D30" s="505"/>
    </row>
  </sheetData>
  <hyperlinks>
    <hyperlink ref="L2" location="'interface list'!A1" display="back to interface list" xr:uid="{D74AB419-2F19-492E-86F8-706BC93B831D}"/>
  </hyperlinks>
  <pageMargins left="0.7" right="0.7" top="0.75" bottom="0.75" header="0.3" footer="0.3"/>
  <pageSetup paperSize="9" orientation="portrait" horizontalDpi="300" verticalDpi="300" r:id="rId1"/>
  <headerFooter>
    <oddHeader>&amp;L&amp;"Arial"&amp;9&amp;K0078D7 INTERNAL&amp;1#_x000D_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45BA-1D87-4110-9086-94B644EC5921}">
  <sheetPr codeName="Sheet29"/>
  <dimension ref="A1:K17"/>
  <sheetViews>
    <sheetView topLeftCell="A8" workbookViewId="0">
      <selection activeCell="G5" sqref="G5"/>
    </sheetView>
  </sheetViews>
  <sheetFormatPr defaultColWidth="22.81640625" defaultRowHeight="14.5"/>
  <cols>
    <col min="1" max="1" width="22.54296875" style="522" customWidth="1"/>
    <col min="2" max="2" width="12.54296875" style="522" customWidth="1"/>
    <col min="3" max="3" width="10.54296875" style="522" customWidth="1"/>
    <col min="4" max="4" width="27.453125" style="503" customWidth="1"/>
    <col min="5" max="5" width="12.453125" style="522" customWidth="1"/>
    <col min="6" max="6" width="11.1796875" style="522" customWidth="1"/>
    <col min="7" max="7" width="49.1796875" style="532" customWidth="1"/>
    <col min="8" max="8" width="19.81640625" style="533" customWidth="1"/>
    <col min="9" max="10" width="18.54296875" style="533" customWidth="1"/>
    <col min="11" max="11" width="19.1796875" style="522" customWidth="1"/>
    <col min="12" max="12" width="22.81640625" style="522" customWidth="1"/>
    <col min="13" max="16384" width="22.81640625" style="522"/>
  </cols>
  <sheetData>
    <row r="1" spans="1:11" s="516" customFormat="1" ht="23.5" customHeight="1">
      <c r="A1" s="512" t="s">
        <v>2321</v>
      </c>
      <c r="B1" s="512" t="s">
        <v>2322</v>
      </c>
      <c r="C1" s="512" t="s">
        <v>2323</v>
      </c>
      <c r="D1" s="513" t="s">
        <v>2324</v>
      </c>
      <c r="E1" s="513" t="s">
        <v>2325</v>
      </c>
      <c r="F1" s="512" t="s">
        <v>2326</v>
      </c>
      <c r="G1" s="514" t="s">
        <v>2327</v>
      </c>
      <c r="H1" s="515" t="s">
        <v>2213</v>
      </c>
      <c r="I1" s="502" t="s">
        <v>2214</v>
      </c>
      <c r="J1" s="502" t="s">
        <v>2215</v>
      </c>
      <c r="K1" s="512" t="s">
        <v>2328</v>
      </c>
    </row>
    <row r="2" spans="1:11">
      <c r="A2" s="517" t="s">
        <v>2329</v>
      </c>
      <c r="B2" s="518" t="s">
        <v>2330</v>
      </c>
      <c r="C2" s="518">
        <v>1</v>
      </c>
      <c r="D2" s="519" t="s">
        <v>2331</v>
      </c>
      <c r="E2" s="518" t="s">
        <v>2332</v>
      </c>
      <c r="F2" s="520">
        <v>13</v>
      </c>
      <c r="G2" s="521" t="s">
        <v>2333</v>
      </c>
      <c r="H2" s="521">
        <v>0</v>
      </c>
      <c r="I2" s="521"/>
      <c r="J2" s="521"/>
      <c r="K2" s="518"/>
    </row>
    <row r="3" spans="1:11">
      <c r="A3" s="517" t="s">
        <v>2329</v>
      </c>
      <c r="B3" s="518" t="s">
        <v>2330</v>
      </c>
      <c r="C3" s="518">
        <v>2</v>
      </c>
      <c r="D3" s="519" t="s">
        <v>2334</v>
      </c>
      <c r="E3" s="518" t="s">
        <v>2332</v>
      </c>
      <c r="F3" s="520">
        <v>13</v>
      </c>
      <c r="G3" s="521" t="s">
        <v>2333</v>
      </c>
      <c r="H3" s="521"/>
      <c r="I3" s="521"/>
      <c r="J3" s="521"/>
      <c r="K3" s="518"/>
    </row>
    <row r="4" spans="1:11">
      <c r="A4" s="517" t="s">
        <v>2329</v>
      </c>
      <c r="B4" s="518" t="s">
        <v>2330</v>
      </c>
      <c r="C4" s="518">
        <v>3</v>
      </c>
      <c r="D4" s="519" t="s">
        <v>2335</v>
      </c>
      <c r="E4" s="518" t="s">
        <v>2332</v>
      </c>
      <c r="F4" s="520">
        <v>13</v>
      </c>
      <c r="G4" s="521" t="s">
        <v>2333</v>
      </c>
      <c r="H4" s="521"/>
      <c r="I4" s="521"/>
      <c r="J4" s="521"/>
      <c r="K4" s="518"/>
    </row>
    <row r="5" spans="1:11" s="503" customFormat="1" ht="29.15" customHeight="1">
      <c r="A5" s="517" t="s">
        <v>2329</v>
      </c>
      <c r="B5" s="518" t="s">
        <v>2330</v>
      </c>
      <c r="C5" s="518">
        <v>4</v>
      </c>
      <c r="D5" s="519" t="s">
        <v>2336</v>
      </c>
      <c r="E5" s="518" t="s">
        <v>2332</v>
      </c>
      <c r="F5" s="520">
        <v>13</v>
      </c>
      <c r="G5" s="521" t="s">
        <v>2333</v>
      </c>
      <c r="H5" s="521" t="s">
        <v>1385</v>
      </c>
      <c r="I5" s="521"/>
      <c r="J5" s="521"/>
      <c r="K5" s="518"/>
    </row>
    <row r="6" spans="1:11">
      <c r="A6" s="517" t="s">
        <v>2329</v>
      </c>
      <c r="B6" s="518" t="s">
        <v>2218</v>
      </c>
      <c r="C6" s="518">
        <v>5</v>
      </c>
      <c r="D6" s="519" t="s">
        <v>2337</v>
      </c>
      <c r="E6" s="518" t="s">
        <v>2338</v>
      </c>
      <c r="F6" s="520">
        <v>2</v>
      </c>
      <c r="G6" s="523" t="s">
        <v>2339</v>
      </c>
      <c r="H6" s="521"/>
      <c r="I6" s="521"/>
      <c r="J6" s="521"/>
      <c r="K6" s="518"/>
    </row>
    <row r="7" spans="1:11" s="503" customFormat="1" ht="23.5" customHeight="1">
      <c r="A7" s="517" t="s">
        <v>2329</v>
      </c>
      <c r="B7" s="518" t="s">
        <v>2218</v>
      </c>
      <c r="C7" s="518">
        <v>6</v>
      </c>
      <c r="D7" s="519" t="s">
        <v>2340</v>
      </c>
      <c r="E7" s="518" t="s">
        <v>2332</v>
      </c>
      <c r="F7" s="520">
        <v>80</v>
      </c>
      <c r="G7" s="524" t="s">
        <v>2341</v>
      </c>
      <c r="H7" s="525"/>
      <c r="I7" s="521"/>
      <c r="J7" s="521"/>
      <c r="K7" s="518"/>
    </row>
    <row r="8" spans="1:11" s="503" customFormat="1" ht="43.5" customHeight="1">
      <c r="A8" s="517" t="s">
        <v>2329</v>
      </c>
      <c r="B8" s="518" t="s">
        <v>2218</v>
      </c>
      <c r="C8" s="518">
        <v>7</v>
      </c>
      <c r="D8" s="519" t="s">
        <v>2342</v>
      </c>
      <c r="E8" s="518" t="s">
        <v>2332</v>
      </c>
      <c r="F8" s="520">
        <v>16</v>
      </c>
      <c r="G8" s="524" t="s">
        <v>2343</v>
      </c>
      <c r="H8" s="525" t="s">
        <v>2344</v>
      </c>
      <c r="I8" s="521"/>
      <c r="J8" s="521"/>
      <c r="K8" s="518"/>
    </row>
    <row r="9" spans="1:11">
      <c r="A9" s="517" t="s">
        <v>2329</v>
      </c>
      <c r="B9" s="518" t="s">
        <v>2345</v>
      </c>
      <c r="C9" s="518">
        <v>8</v>
      </c>
      <c r="D9" s="526" t="s">
        <v>2346</v>
      </c>
      <c r="E9" s="527" t="s">
        <v>2338</v>
      </c>
      <c r="F9" s="527" t="s">
        <v>2347</v>
      </c>
      <c r="G9" s="528" t="s">
        <v>2348</v>
      </c>
      <c r="H9" s="529"/>
      <c r="I9" s="530"/>
      <c r="J9" s="530"/>
      <c r="K9" s="518"/>
    </row>
    <row r="10" spans="1:11">
      <c r="A10" s="517" t="s">
        <v>2329</v>
      </c>
      <c r="B10" s="518" t="s">
        <v>2345</v>
      </c>
      <c r="C10" s="518">
        <v>9</v>
      </c>
      <c r="D10" s="526" t="s">
        <v>2349</v>
      </c>
      <c r="E10" s="527" t="s">
        <v>2338</v>
      </c>
      <c r="F10" s="527">
        <v>10</v>
      </c>
      <c r="G10" s="528" t="s">
        <v>2350</v>
      </c>
      <c r="H10" s="529"/>
      <c r="I10" s="529"/>
      <c r="J10" s="529"/>
      <c r="K10" s="518"/>
    </row>
    <row r="11" spans="1:11">
      <c r="A11" s="517" t="s">
        <v>2329</v>
      </c>
      <c r="B11" s="518" t="s">
        <v>2345</v>
      </c>
      <c r="C11" s="518">
        <v>10</v>
      </c>
      <c r="D11" s="526" t="s">
        <v>2351</v>
      </c>
      <c r="E11" s="527" t="s">
        <v>2338</v>
      </c>
      <c r="F11" s="527" t="s">
        <v>2257</v>
      </c>
      <c r="G11" s="528" t="s">
        <v>2352</v>
      </c>
      <c r="H11" s="529"/>
      <c r="I11" s="521"/>
      <c r="J11" s="521"/>
      <c r="K11" s="518"/>
    </row>
    <row r="12" spans="1:11">
      <c r="A12" s="517" t="s">
        <v>2329</v>
      </c>
      <c r="B12" s="518" t="s">
        <v>2345</v>
      </c>
      <c r="C12" s="518">
        <v>11</v>
      </c>
      <c r="D12" s="526" t="s">
        <v>2353</v>
      </c>
      <c r="E12" s="527" t="s">
        <v>2338</v>
      </c>
      <c r="F12" s="527">
        <v>3</v>
      </c>
      <c r="G12" s="528" t="s">
        <v>2354</v>
      </c>
      <c r="H12" s="529"/>
      <c r="I12" s="521"/>
      <c r="J12" s="521"/>
      <c r="K12" s="518"/>
    </row>
    <row r="13" spans="1:11">
      <c r="A13" s="517" t="s">
        <v>2329</v>
      </c>
      <c r="B13" s="518" t="s">
        <v>2345</v>
      </c>
      <c r="C13" s="518">
        <v>12</v>
      </c>
      <c r="D13" s="526" t="s">
        <v>2355</v>
      </c>
      <c r="E13" s="527" t="s">
        <v>2332</v>
      </c>
      <c r="F13" s="527">
        <v>13</v>
      </c>
      <c r="G13" s="531" t="s">
        <v>2356</v>
      </c>
      <c r="H13" s="529"/>
      <c r="I13" s="521"/>
      <c r="J13" s="521"/>
      <c r="K13" s="518"/>
    </row>
    <row r="14" spans="1:11">
      <c r="A14" s="517" t="s">
        <v>2329</v>
      </c>
      <c r="B14" s="518" t="s">
        <v>2345</v>
      </c>
      <c r="C14" s="518">
        <v>13</v>
      </c>
      <c r="D14" s="526" t="s">
        <v>2357</v>
      </c>
      <c r="E14" s="527" t="s">
        <v>2332</v>
      </c>
      <c r="F14" s="527">
        <v>13</v>
      </c>
      <c r="G14" s="531" t="s">
        <v>2358</v>
      </c>
      <c r="H14" s="529"/>
      <c r="I14" s="529"/>
      <c r="J14" s="529"/>
      <c r="K14" s="518"/>
    </row>
    <row r="15" spans="1:11">
      <c r="A15" s="517" t="s">
        <v>2329</v>
      </c>
      <c r="B15" s="518" t="s">
        <v>2345</v>
      </c>
      <c r="C15" s="518">
        <v>14</v>
      </c>
      <c r="D15" s="526" t="s">
        <v>2359</v>
      </c>
      <c r="E15" s="527" t="s">
        <v>2338</v>
      </c>
      <c r="F15" s="527">
        <v>13</v>
      </c>
      <c r="G15" s="531" t="s">
        <v>2360</v>
      </c>
      <c r="H15" s="529"/>
      <c r="I15" s="529"/>
      <c r="J15" s="529"/>
      <c r="K15" s="518"/>
    </row>
    <row r="16" spans="1:11">
      <c r="A16" s="517" t="s">
        <v>2329</v>
      </c>
      <c r="B16" s="518" t="s">
        <v>2345</v>
      </c>
      <c r="C16" s="518">
        <v>15</v>
      </c>
      <c r="D16" s="526" t="s">
        <v>2361</v>
      </c>
      <c r="E16" s="527" t="s">
        <v>2338</v>
      </c>
      <c r="F16" s="527">
        <v>13</v>
      </c>
      <c r="G16" s="531" t="s">
        <v>2362</v>
      </c>
      <c r="H16" s="529"/>
      <c r="I16" s="529"/>
      <c r="J16" s="529"/>
      <c r="K16" s="518"/>
    </row>
    <row r="17" spans="9:10">
      <c r="I17" s="529"/>
      <c r="J17" s="529"/>
    </row>
  </sheetData>
  <pageMargins left="0.7" right="0.7" top="0.75" bottom="0.75" header="0.3" footer="0.3"/>
  <pageSetup paperSize="9" orientation="portrait" horizontalDpi="300" verticalDpi="300" r:id="rId1"/>
  <headerFooter>
    <oddHeader>&amp;L&amp;"Arial"&amp;9&amp;K0078D7 INTERNAL&amp;1#_x000D_</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25F62-64F5-47AF-B341-E686C32361B4}">
  <sheetPr codeName="Sheet34"/>
  <dimension ref="A1:L58"/>
  <sheetViews>
    <sheetView topLeftCell="A11" zoomScale="130" zoomScaleNormal="130" workbookViewId="0">
      <selection activeCell="D47" sqref="D47"/>
    </sheetView>
  </sheetViews>
  <sheetFormatPr defaultColWidth="22.81640625" defaultRowHeight="23.15" customHeight="1"/>
  <cols>
    <col min="1" max="1" width="13.81640625" style="579" customWidth="1"/>
    <col min="2" max="2" width="14.453125" style="579" customWidth="1"/>
    <col min="3" max="3" width="10.54296875" style="579" customWidth="1"/>
    <col min="4" max="4" width="20.453125" style="579" customWidth="1"/>
    <col min="5" max="5" width="13.1796875" style="579" customWidth="1"/>
    <col min="6" max="6" width="9.453125" style="579" customWidth="1"/>
    <col min="7" max="7" width="39.453125" style="579" bestFit="1" customWidth="1"/>
    <col min="8" max="8" width="15.26953125" style="580" customWidth="1"/>
    <col min="9" max="9" width="16" style="580" customWidth="1"/>
    <col min="10" max="10" width="22.453125" style="580" customWidth="1"/>
    <col min="11" max="11" width="14.453125" style="579" customWidth="1"/>
    <col min="12" max="12" width="22.81640625" style="579" customWidth="1"/>
    <col min="13" max="16384" width="22.81640625" style="579"/>
  </cols>
  <sheetData>
    <row r="1" spans="1:12" s="503" customFormat="1" ht="23.15" customHeight="1">
      <c r="A1" s="571" t="s">
        <v>2563</v>
      </c>
      <c r="B1" s="571" t="s">
        <v>2564</v>
      </c>
      <c r="C1" s="571" t="s">
        <v>2565</v>
      </c>
      <c r="D1" s="571" t="s">
        <v>2566</v>
      </c>
      <c r="E1" s="571" t="s">
        <v>2567</v>
      </c>
      <c r="F1" s="571" t="s">
        <v>2568</v>
      </c>
      <c r="G1" s="571" t="s">
        <v>2569</v>
      </c>
      <c r="H1" s="572" t="s">
        <v>2213</v>
      </c>
      <c r="I1" s="502" t="s">
        <v>2214</v>
      </c>
      <c r="J1" s="502" t="s">
        <v>2215</v>
      </c>
      <c r="K1" s="571" t="s">
        <v>2570</v>
      </c>
    </row>
    <row r="2" spans="1:12" s="503" customFormat="1" ht="40.75" customHeight="1">
      <c r="A2" s="573" t="s">
        <v>2571</v>
      </c>
      <c r="B2" s="573" t="s">
        <v>2229</v>
      </c>
      <c r="C2" s="573">
        <v>1</v>
      </c>
      <c r="D2" s="573" t="s">
        <v>2572</v>
      </c>
      <c r="E2" s="574" t="s">
        <v>2573</v>
      </c>
      <c r="F2" s="574">
        <v>5</v>
      </c>
      <c r="G2" s="573" t="s">
        <v>2574</v>
      </c>
      <c r="H2" s="575" t="s">
        <v>2492</v>
      </c>
      <c r="I2" s="575"/>
      <c r="J2" s="575"/>
      <c r="K2" s="573" t="s">
        <v>2575</v>
      </c>
      <c r="L2" s="576" t="s">
        <v>2224</v>
      </c>
    </row>
    <row r="3" spans="1:12" s="503" customFormat="1" ht="30.65" customHeight="1">
      <c r="A3" s="573" t="s">
        <v>2571</v>
      </c>
      <c r="B3" s="573" t="s">
        <v>2229</v>
      </c>
      <c r="C3" s="573">
        <v>2</v>
      </c>
      <c r="D3" s="573" t="s">
        <v>2576</v>
      </c>
      <c r="E3" s="574" t="s">
        <v>2573</v>
      </c>
      <c r="F3" s="574">
        <v>9</v>
      </c>
      <c r="G3" s="577" t="s">
        <v>2577</v>
      </c>
      <c r="H3" s="578" t="s">
        <v>2578</v>
      </c>
      <c r="I3" s="578"/>
      <c r="J3" s="578"/>
      <c r="K3" s="573" t="s">
        <v>2575</v>
      </c>
    </row>
    <row r="4" spans="1:12" s="503" customFormat="1" ht="30.65" customHeight="1">
      <c r="A4" s="573" t="s">
        <v>2571</v>
      </c>
      <c r="B4" s="573" t="s">
        <v>2218</v>
      </c>
      <c r="C4" s="573">
        <v>1</v>
      </c>
      <c r="D4" s="573" t="s">
        <v>2337</v>
      </c>
      <c r="E4" s="574" t="s">
        <v>2226</v>
      </c>
      <c r="F4" s="574">
        <v>2</v>
      </c>
      <c r="G4" s="573" t="s">
        <v>2579</v>
      </c>
      <c r="H4" s="573" t="s">
        <v>2222</v>
      </c>
      <c r="I4" s="573"/>
      <c r="J4" s="573"/>
      <c r="K4" s="574"/>
    </row>
    <row r="5" spans="1:12" s="503" customFormat="1" ht="30.65" customHeight="1">
      <c r="A5" s="573" t="s">
        <v>2571</v>
      </c>
      <c r="B5" s="573" t="s">
        <v>2218</v>
      </c>
      <c r="C5" s="573">
        <v>2</v>
      </c>
      <c r="D5" s="573" t="s">
        <v>2340</v>
      </c>
      <c r="E5" s="574" t="s">
        <v>2226</v>
      </c>
      <c r="F5" s="574">
        <v>80</v>
      </c>
      <c r="G5" s="573" t="s">
        <v>2488</v>
      </c>
      <c r="H5" s="573" t="s">
        <v>2580</v>
      </c>
      <c r="I5" s="573"/>
      <c r="J5" s="573"/>
      <c r="K5" s="574"/>
    </row>
    <row r="6" spans="1:12" s="503" customFormat="1" ht="10.4" customHeight="1">
      <c r="A6" s="573" t="s">
        <v>2571</v>
      </c>
      <c r="B6" s="573" t="s">
        <v>2218</v>
      </c>
      <c r="C6" s="573">
        <v>3</v>
      </c>
      <c r="D6" s="753" t="s">
        <v>2581</v>
      </c>
      <c r="E6" s="574" t="s">
        <v>2503</v>
      </c>
      <c r="F6" s="574" t="s">
        <v>2504</v>
      </c>
      <c r="G6" s="574" t="s">
        <v>2582</v>
      </c>
      <c r="H6" s="578" t="s">
        <v>2583</v>
      </c>
      <c r="I6" s="578" t="s">
        <v>2245</v>
      </c>
      <c r="J6" s="578" t="s">
        <v>1184</v>
      </c>
      <c r="K6" s="574"/>
    </row>
    <row r="7" spans="1:12" s="503" customFormat="1" ht="10.4" customHeight="1">
      <c r="A7" s="573" t="s">
        <v>2571</v>
      </c>
      <c r="B7" s="573" t="s">
        <v>2218</v>
      </c>
      <c r="C7" s="573">
        <v>3.1</v>
      </c>
      <c r="D7" s="753" t="s">
        <v>2581</v>
      </c>
      <c r="E7" s="574" t="s">
        <v>2503</v>
      </c>
      <c r="F7" s="574" t="s">
        <v>2504</v>
      </c>
      <c r="G7" s="574" t="s">
        <v>2582</v>
      </c>
      <c r="H7" s="578" t="s">
        <v>2583</v>
      </c>
      <c r="I7" s="578" t="s">
        <v>2245</v>
      </c>
      <c r="J7" s="578" t="s">
        <v>1191</v>
      </c>
      <c r="K7" s="574"/>
    </row>
    <row r="8" spans="1:12" s="503" customFormat="1" ht="10.4" customHeight="1">
      <c r="A8" s="573" t="s">
        <v>2571</v>
      </c>
      <c r="B8" s="573" t="s">
        <v>2218</v>
      </c>
      <c r="C8" s="573">
        <v>3.2</v>
      </c>
      <c r="D8" s="573" t="s">
        <v>2581</v>
      </c>
      <c r="E8" s="574" t="s">
        <v>2503</v>
      </c>
      <c r="F8" s="574" t="s">
        <v>2504</v>
      </c>
      <c r="G8" s="574" t="s">
        <v>2582</v>
      </c>
      <c r="H8" s="578" t="s">
        <v>2583</v>
      </c>
      <c r="I8" s="578" t="s">
        <v>2245</v>
      </c>
      <c r="J8" s="578" t="s">
        <v>2278</v>
      </c>
      <c r="K8" s="574"/>
    </row>
    <row r="9" spans="1:12" s="503" customFormat="1" ht="10.4" customHeight="1">
      <c r="A9" s="573" t="s">
        <v>2571</v>
      </c>
      <c r="B9" s="573" t="s">
        <v>2218</v>
      </c>
      <c r="C9" s="573">
        <v>3.3</v>
      </c>
      <c r="D9" s="573" t="s">
        <v>2581</v>
      </c>
      <c r="E9" s="574" t="s">
        <v>2503</v>
      </c>
      <c r="F9" s="574" t="s">
        <v>2504</v>
      </c>
      <c r="G9" s="574" t="s">
        <v>2582</v>
      </c>
      <c r="H9" s="578" t="s">
        <v>2583</v>
      </c>
      <c r="I9" s="578" t="s">
        <v>2584</v>
      </c>
      <c r="J9" s="578" t="s">
        <v>1184</v>
      </c>
      <c r="K9" s="574"/>
    </row>
    <row r="10" spans="1:12" s="503" customFormat="1" ht="10.4" customHeight="1">
      <c r="A10" s="573" t="s">
        <v>2571</v>
      </c>
      <c r="B10" s="573" t="s">
        <v>2218</v>
      </c>
      <c r="C10" s="573">
        <v>3.4</v>
      </c>
      <c r="D10" s="573" t="s">
        <v>2581</v>
      </c>
      <c r="E10" s="574" t="s">
        <v>2503</v>
      </c>
      <c r="F10" s="574" t="s">
        <v>2504</v>
      </c>
      <c r="G10" s="574" t="s">
        <v>2582</v>
      </c>
      <c r="H10" s="578" t="s">
        <v>2583</v>
      </c>
      <c r="I10" s="578" t="s">
        <v>2584</v>
      </c>
      <c r="J10" s="578" t="s">
        <v>1191</v>
      </c>
      <c r="K10" s="574"/>
    </row>
    <row r="11" spans="1:12" s="503" customFormat="1" ht="10.4" customHeight="1">
      <c r="A11" s="573" t="s">
        <v>2571</v>
      </c>
      <c r="B11" s="573" t="s">
        <v>2218</v>
      </c>
      <c r="C11" s="573">
        <v>4</v>
      </c>
      <c r="D11" s="753" t="s">
        <v>2585</v>
      </c>
      <c r="E11" s="574" t="s">
        <v>2503</v>
      </c>
      <c r="F11" s="574" t="s">
        <v>2504</v>
      </c>
      <c r="G11" s="574" t="s">
        <v>2586</v>
      </c>
      <c r="H11" s="578" t="s">
        <v>2587</v>
      </c>
      <c r="I11" s="578" t="s">
        <v>2245</v>
      </c>
      <c r="J11" s="578" t="s">
        <v>1184</v>
      </c>
      <c r="K11" s="574"/>
    </row>
    <row r="12" spans="1:12" s="503" customFormat="1" ht="10.4" customHeight="1">
      <c r="A12" s="573" t="s">
        <v>2571</v>
      </c>
      <c r="B12" s="573" t="s">
        <v>2218</v>
      </c>
      <c r="C12" s="573">
        <v>4.0999999999999996</v>
      </c>
      <c r="D12" s="753" t="s">
        <v>2585</v>
      </c>
      <c r="E12" s="574" t="s">
        <v>2503</v>
      </c>
      <c r="F12" s="574" t="s">
        <v>2504</v>
      </c>
      <c r="G12" s="574" t="s">
        <v>2586</v>
      </c>
      <c r="H12" s="578" t="s">
        <v>2587</v>
      </c>
      <c r="I12" s="578" t="s">
        <v>2584</v>
      </c>
      <c r="J12" s="578" t="s">
        <v>1184</v>
      </c>
      <c r="K12" s="574"/>
    </row>
    <row r="13" spans="1:12" s="503" customFormat="1" ht="10.4" customHeight="1">
      <c r="A13" s="573" t="s">
        <v>2571</v>
      </c>
      <c r="B13" s="573" t="s">
        <v>2218</v>
      </c>
      <c r="C13" s="573">
        <v>5</v>
      </c>
      <c r="D13" s="753" t="s">
        <v>2588</v>
      </c>
      <c r="E13" s="574" t="s">
        <v>2573</v>
      </c>
      <c r="F13" s="574">
        <v>11</v>
      </c>
      <c r="G13" s="574" t="s">
        <v>2280</v>
      </c>
      <c r="H13" s="578" t="s">
        <v>2589</v>
      </c>
      <c r="I13" s="578" t="s">
        <v>2245</v>
      </c>
      <c r="J13" s="578" t="s">
        <v>1322</v>
      </c>
      <c r="K13" s="574"/>
    </row>
    <row r="14" spans="1:12" s="503" customFormat="1" ht="10.4" customHeight="1">
      <c r="A14" s="573" t="s">
        <v>2571</v>
      </c>
      <c r="B14" s="573" t="s">
        <v>2218</v>
      </c>
      <c r="C14" s="573">
        <v>5.0999999999999996</v>
      </c>
      <c r="D14" s="573" t="s">
        <v>2588</v>
      </c>
      <c r="E14" s="574" t="s">
        <v>2573</v>
      </c>
      <c r="F14" s="574">
        <v>11</v>
      </c>
      <c r="G14" s="574" t="s">
        <v>2280</v>
      </c>
      <c r="H14" s="578" t="s">
        <v>2589</v>
      </c>
      <c r="I14" s="578" t="s">
        <v>2584</v>
      </c>
      <c r="J14" s="578" t="s">
        <v>1322</v>
      </c>
      <c r="K14" s="574"/>
    </row>
    <row r="15" spans="1:12" s="503" customFormat="1" ht="10.4" customHeight="1">
      <c r="A15" s="573" t="s">
        <v>2571</v>
      </c>
      <c r="B15" s="573" t="s">
        <v>2218</v>
      </c>
      <c r="C15" s="573">
        <v>6</v>
      </c>
      <c r="D15" s="753" t="s">
        <v>2590</v>
      </c>
      <c r="E15" s="574" t="s">
        <v>2573</v>
      </c>
      <c r="F15" s="574">
        <v>8</v>
      </c>
      <c r="G15" s="574" t="s">
        <v>2591</v>
      </c>
      <c r="H15" s="578" t="s">
        <v>2592</v>
      </c>
      <c r="I15" s="578" t="s">
        <v>2245</v>
      </c>
      <c r="J15" s="578" t="s">
        <v>1420</v>
      </c>
      <c r="K15" s="574"/>
    </row>
    <row r="16" spans="1:12" s="503" customFormat="1" ht="10.4" customHeight="1">
      <c r="A16" s="573" t="s">
        <v>2571</v>
      </c>
      <c r="B16" s="573" t="s">
        <v>2218</v>
      </c>
      <c r="C16" s="573">
        <v>6.1</v>
      </c>
      <c r="D16" s="573" t="s">
        <v>2590</v>
      </c>
      <c r="E16" s="574" t="s">
        <v>2573</v>
      </c>
      <c r="F16" s="574">
        <v>8</v>
      </c>
      <c r="G16" s="574" t="s">
        <v>2591</v>
      </c>
      <c r="H16" s="578" t="s">
        <v>2592</v>
      </c>
      <c r="I16" s="578" t="s">
        <v>2584</v>
      </c>
      <c r="J16" s="578" t="s">
        <v>1420</v>
      </c>
      <c r="K16" s="574"/>
    </row>
    <row r="17" spans="1:11" s="503" customFormat="1" ht="10.4" customHeight="1">
      <c r="A17" s="573" t="s">
        <v>2571</v>
      </c>
      <c r="B17" s="573" t="s">
        <v>2218</v>
      </c>
      <c r="C17" s="573">
        <v>7</v>
      </c>
      <c r="D17" s="753" t="s">
        <v>2593</v>
      </c>
      <c r="E17" s="574" t="s">
        <v>2503</v>
      </c>
      <c r="F17" s="574" t="s">
        <v>2504</v>
      </c>
      <c r="G17" s="574" t="s">
        <v>1190</v>
      </c>
      <c r="H17" s="578" t="s">
        <v>2594</v>
      </c>
      <c r="I17" s="578" t="s">
        <v>2245</v>
      </c>
      <c r="J17" s="578" t="s">
        <v>1191</v>
      </c>
      <c r="K17" s="574"/>
    </row>
    <row r="18" spans="1:11" s="503" customFormat="1" ht="10.4" customHeight="1">
      <c r="A18" s="573" t="s">
        <v>2571</v>
      </c>
      <c r="B18" s="573" t="s">
        <v>2218</v>
      </c>
      <c r="C18" s="573">
        <v>7.1</v>
      </c>
      <c r="D18" s="573" t="s">
        <v>2593</v>
      </c>
      <c r="E18" s="574" t="s">
        <v>2503</v>
      </c>
      <c r="F18" s="574" t="s">
        <v>2504</v>
      </c>
      <c r="G18" s="574" t="s">
        <v>1190</v>
      </c>
      <c r="H18" s="578" t="s">
        <v>2594</v>
      </c>
      <c r="I18" s="578" t="s">
        <v>2584</v>
      </c>
      <c r="J18" s="578" t="s">
        <v>1191</v>
      </c>
      <c r="K18" s="574"/>
    </row>
    <row r="19" spans="1:11" s="503" customFormat="1" ht="10.4" customHeight="1">
      <c r="A19" s="573" t="s">
        <v>2571</v>
      </c>
      <c r="B19" s="573" t="s">
        <v>2218</v>
      </c>
      <c r="C19" s="573">
        <v>8</v>
      </c>
      <c r="D19" s="753" t="s">
        <v>2595</v>
      </c>
      <c r="E19" s="574" t="s">
        <v>2226</v>
      </c>
      <c r="F19" s="574">
        <v>4</v>
      </c>
      <c r="G19" s="574" t="s">
        <v>2596</v>
      </c>
      <c r="H19" s="578" t="s">
        <v>2597</v>
      </c>
      <c r="I19" s="578" t="s">
        <v>2598</v>
      </c>
      <c r="J19" s="578" t="s">
        <v>1312</v>
      </c>
      <c r="K19" s="574"/>
    </row>
    <row r="20" spans="1:11" s="503" customFormat="1" ht="10.4" customHeight="1">
      <c r="A20" s="573" t="s">
        <v>2571</v>
      </c>
      <c r="B20" s="573" t="s">
        <v>2218</v>
      </c>
      <c r="C20" s="573">
        <v>9</v>
      </c>
      <c r="D20" s="753" t="s">
        <v>2599</v>
      </c>
      <c r="E20" s="574" t="s">
        <v>2573</v>
      </c>
      <c r="F20" s="574">
        <v>9</v>
      </c>
      <c r="G20" s="574" t="s">
        <v>2600</v>
      </c>
      <c r="H20" s="578" t="s">
        <v>2601</v>
      </c>
      <c r="I20" s="578" t="s">
        <v>2598</v>
      </c>
      <c r="J20" s="578" t="s">
        <v>1319</v>
      </c>
      <c r="K20" s="574"/>
    </row>
    <row r="21" spans="1:11" s="503" customFormat="1" ht="10.4" customHeight="1">
      <c r="A21" s="573" t="s">
        <v>2571</v>
      </c>
      <c r="B21" s="573" t="s">
        <v>2218</v>
      </c>
      <c r="C21" s="573">
        <v>10</v>
      </c>
      <c r="D21" s="573" t="s">
        <v>2602</v>
      </c>
      <c r="E21" s="574" t="s">
        <v>2573</v>
      </c>
      <c r="F21" s="574">
        <v>13</v>
      </c>
      <c r="G21" s="574" t="s">
        <v>2603</v>
      </c>
      <c r="H21" s="578" t="s">
        <v>2604</v>
      </c>
      <c r="I21" s="578" t="s">
        <v>2598</v>
      </c>
      <c r="J21" s="578" t="s">
        <v>1426</v>
      </c>
      <c r="K21" s="574"/>
    </row>
    <row r="22" spans="1:11" s="503" customFormat="1" ht="10.4" customHeight="1">
      <c r="A22" s="573" t="s">
        <v>2571</v>
      </c>
      <c r="B22" s="573" t="s">
        <v>2218</v>
      </c>
      <c r="C22" s="573">
        <v>11</v>
      </c>
      <c r="D22" s="573" t="s">
        <v>2605</v>
      </c>
      <c r="E22" s="574" t="s">
        <v>2573</v>
      </c>
      <c r="F22" s="574">
        <v>11</v>
      </c>
      <c r="G22" s="574" t="s">
        <v>2606</v>
      </c>
      <c r="H22" s="578" t="s">
        <v>2607</v>
      </c>
      <c r="I22" s="578" t="s">
        <v>2288</v>
      </c>
      <c r="J22" s="578" t="s">
        <v>2608</v>
      </c>
      <c r="K22" s="574"/>
    </row>
    <row r="23" spans="1:11" s="503" customFormat="1" ht="10.4" customHeight="1">
      <c r="A23" s="573" t="s">
        <v>2571</v>
      </c>
      <c r="B23" s="573" t="s">
        <v>2218</v>
      </c>
      <c r="C23" s="573">
        <v>11.1</v>
      </c>
      <c r="D23" s="573" t="s">
        <v>2605</v>
      </c>
      <c r="E23" s="574" t="s">
        <v>2573</v>
      </c>
      <c r="F23" s="574">
        <v>11</v>
      </c>
      <c r="G23" s="574" t="s">
        <v>2606</v>
      </c>
      <c r="H23" s="578" t="s">
        <v>2607</v>
      </c>
      <c r="I23" s="578" t="s">
        <v>2609</v>
      </c>
      <c r="J23" s="578" t="s">
        <v>2608</v>
      </c>
      <c r="K23" s="574"/>
    </row>
    <row r="24" spans="1:11" s="503" customFormat="1" ht="10.4" customHeight="1">
      <c r="A24" s="573" t="s">
        <v>2571</v>
      </c>
      <c r="B24" s="573" t="s">
        <v>2218</v>
      </c>
      <c r="C24" s="573">
        <v>12</v>
      </c>
      <c r="D24" s="573" t="s">
        <v>2610</v>
      </c>
      <c r="E24" s="574" t="s">
        <v>2573</v>
      </c>
      <c r="F24" s="574">
        <v>11</v>
      </c>
      <c r="G24" s="574" t="s">
        <v>2276</v>
      </c>
      <c r="H24" s="578" t="s">
        <v>2611</v>
      </c>
      <c r="I24" s="578" t="s">
        <v>2245</v>
      </c>
      <c r="J24" s="578" t="s">
        <v>2278</v>
      </c>
      <c r="K24" s="574"/>
    </row>
    <row r="25" spans="1:11" s="503" customFormat="1" ht="10.4" customHeight="1">
      <c r="A25" s="573" t="s">
        <v>2571</v>
      </c>
      <c r="B25" s="573" t="s">
        <v>2218</v>
      </c>
      <c r="C25" s="573">
        <v>13</v>
      </c>
      <c r="D25" s="573" t="s">
        <v>2612</v>
      </c>
      <c r="E25" s="574" t="s">
        <v>2503</v>
      </c>
      <c r="F25" s="574" t="s">
        <v>2504</v>
      </c>
      <c r="G25" s="574" t="s">
        <v>2613</v>
      </c>
      <c r="H25" s="578"/>
      <c r="I25" s="578" t="s">
        <v>2288</v>
      </c>
      <c r="J25" s="578" t="s">
        <v>1186</v>
      </c>
      <c r="K25" s="574"/>
    </row>
    <row r="26" spans="1:11" s="503" customFormat="1" ht="10.4" customHeight="1">
      <c r="A26" s="573" t="s">
        <v>2571</v>
      </c>
      <c r="B26" s="573" t="s">
        <v>2218</v>
      </c>
      <c r="C26" s="573">
        <v>13.1</v>
      </c>
      <c r="D26" s="573" t="s">
        <v>2612</v>
      </c>
      <c r="E26" s="574" t="s">
        <v>2503</v>
      </c>
      <c r="F26" s="574" t="s">
        <v>2504</v>
      </c>
      <c r="G26" s="574" t="s">
        <v>2613</v>
      </c>
      <c r="H26" s="578"/>
      <c r="I26" s="578" t="s">
        <v>2288</v>
      </c>
      <c r="J26" s="578" t="s">
        <v>1186</v>
      </c>
      <c r="K26" s="574"/>
    </row>
    <row r="27" spans="1:11" s="503" customFormat="1" ht="10.4" customHeight="1">
      <c r="A27" s="573" t="s">
        <v>2571</v>
      </c>
      <c r="B27" s="573" t="s">
        <v>2218</v>
      </c>
      <c r="C27" s="573">
        <v>14</v>
      </c>
      <c r="D27" s="574" t="s">
        <v>2614</v>
      </c>
      <c r="E27" s="574" t="s">
        <v>2573</v>
      </c>
      <c r="F27" s="574">
        <v>8</v>
      </c>
      <c r="G27" s="574" t="s">
        <v>2615</v>
      </c>
      <c r="H27" s="578" t="s">
        <v>2616</v>
      </c>
      <c r="I27" s="578" t="s">
        <v>2609</v>
      </c>
      <c r="J27" s="578" t="s">
        <v>1186</v>
      </c>
      <c r="K27" s="574"/>
    </row>
    <row r="28" spans="1:11" s="503" customFormat="1" ht="10.4" customHeight="1">
      <c r="A28" s="573" t="s">
        <v>2571</v>
      </c>
      <c r="B28" s="573" t="s">
        <v>2218</v>
      </c>
      <c r="C28" s="573">
        <v>15</v>
      </c>
      <c r="D28" s="574" t="s">
        <v>2617</v>
      </c>
      <c r="E28" s="574" t="s">
        <v>2573</v>
      </c>
      <c r="F28" s="574">
        <v>11</v>
      </c>
      <c r="G28" s="574" t="s">
        <v>2618</v>
      </c>
      <c r="H28" s="578" t="s">
        <v>2619</v>
      </c>
      <c r="I28" s="578" t="s">
        <v>2288</v>
      </c>
      <c r="J28" s="578" t="s">
        <v>2608</v>
      </c>
      <c r="K28" s="574"/>
    </row>
    <row r="29" spans="1:11" s="503" customFormat="1" ht="10.4" customHeight="1">
      <c r="A29" s="573" t="s">
        <v>2571</v>
      </c>
      <c r="B29" s="573" t="s">
        <v>2218</v>
      </c>
      <c r="C29" s="573">
        <v>15.1</v>
      </c>
      <c r="D29" s="574" t="s">
        <v>2617</v>
      </c>
      <c r="E29" s="574" t="s">
        <v>2573</v>
      </c>
      <c r="F29" s="574">
        <v>11</v>
      </c>
      <c r="G29" s="574" t="s">
        <v>2618</v>
      </c>
      <c r="H29" s="578" t="s">
        <v>2619</v>
      </c>
      <c r="I29" s="578" t="s">
        <v>2288</v>
      </c>
      <c r="J29" s="578" t="s">
        <v>1297</v>
      </c>
      <c r="K29" s="574"/>
    </row>
    <row r="30" spans="1:11" s="503" customFormat="1" ht="10.4" customHeight="1">
      <c r="A30" s="573" t="s">
        <v>2571</v>
      </c>
      <c r="B30" s="573" t="s">
        <v>2218</v>
      </c>
      <c r="C30" s="573">
        <v>15.2</v>
      </c>
      <c r="D30" s="574" t="s">
        <v>2617</v>
      </c>
      <c r="E30" s="574" t="s">
        <v>2573</v>
      </c>
      <c r="F30" s="574">
        <v>11</v>
      </c>
      <c r="G30" s="574" t="s">
        <v>2618</v>
      </c>
      <c r="H30" s="578" t="s">
        <v>2619</v>
      </c>
      <c r="I30" s="578" t="s">
        <v>2288</v>
      </c>
      <c r="J30" s="578" t="s">
        <v>2620</v>
      </c>
      <c r="K30" s="574"/>
    </row>
    <row r="31" spans="1:11" s="503" customFormat="1" ht="10.4" customHeight="1">
      <c r="A31" s="573" t="s">
        <v>2571</v>
      </c>
      <c r="B31" s="573" t="s">
        <v>2218</v>
      </c>
      <c r="C31" s="573">
        <v>15.3</v>
      </c>
      <c r="D31" s="574" t="s">
        <v>2617</v>
      </c>
      <c r="E31" s="574" t="s">
        <v>2573</v>
      </c>
      <c r="F31" s="574">
        <v>11</v>
      </c>
      <c r="G31" s="574" t="s">
        <v>2618</v>
      </c>
      <c r="H31" s="578" t="s">
        <v>2619</v>
      </c>
      <c r="I31" s="578" t="s">
        <v>2609</v>
      </c>
      <c r="J31" s="578" t="s">
        <v>2608</v>
      </c>
      <c r="K31" s="574"/>
    </row>
    <row r="32" spans="1:11" s="503" customFormat="1" ht="10.4" customHeight="1">
      <c r="A32" s="573" t="s">
        <v>2571</v>
      </c>
      <c r="B32" s="573" t="s">
        <v>2218</v>
      </c>
      <c r="C32" s="573">
        <v>15.4</v>
      </c>
      <c r="D32" s="574" t="s">
        <v>2617</v>
      </c>
      <c r="E32" s="574" t="s">
        <v>2573</v>
      </c>
      <c r="F32" s="574">
        <v>11</v>
      </c>
      <c r="G32" s="574" t="s">
        <v>2618</v>
      </c>
      <c r="H32" s="578" t="s">
        <v>2619</v>
      </c>
      <c r="I32" s="578" t="s">
        <v>2609</v>
      </c>
      <c r="J32" s="578" t="s">
        <v>2621</v>
      </c>
      <c r="K32" s="574"/>
    </row>
    <row r="33" spans="1:11" s="503" customFormat="1" ht="10.4" customHeight="1">
      <c r="A33" s="573" t="s">
        <v>2571</v>
      </c>
      <c r="B33" s="573" t="s">
        <v>2218</v>
      </c>
      <c r="C33" s="573">
        <v>16</v>
      </c>
      <c r="D33" s="574" t="s">
        <v>2622</v>
      </c>
      <c r="E33" s="574" t="s">
        <v>2573</v>
      </c>
      <c r="F33" s="574">
        <v>4</v>
      </c>
      <c r="G33" s="574" t="s">
        <v>2623</v>
      </c>
      <c r="H33" s="578" t="s">
        <v>2624</v>
      </c>
      <c r="I33" s="578" t="s">
        <v>2245</v>
      </c>
      <c r="J33" s="578" t="s">
        <v>1230</v>
      </c>
      <c r="K33" s="574"/>
    </row>
    <row r="34" spans="1:11" s="503" customFormat="1" ht="10.4" customHeight="1">
      <c r="A34" s="573" t="s">
        <v>2571</v>
      </c>
      <c r="B34" s="573" t="s">
        <v>2218</v>
      </c>
      <c r="C34" s="573">
        <v>16.100000000000001</v>
      </c>
      <c r="D34" s="574" t="s">
        <v>2622</v>
      </c>
      <c r="E34" s="574" t="s">
        <v>2573</v>
      </c>
      <c r="F34" s="574">
        <v>4</v>
      </c>
      <c r="G34" s="574" t="s">
        <v>2623</v>
      </c>
      <c r="H34" s="578" t="s">
        <v>2624</v>
      </c>
      <c r="I34" s="578" t="s">
        <v>2584</v>
      </c>
      <c r="J34" s="578" t="s">
        <v>1230</v>
      </c>
      <c r="K34" s="574"/>
    </row>
    <row r="35" spans="1:11" s="503" customFormat="1" ht="10.4" customHeight="1">
      <c r="A35" s="573" t="s">
        <v>2571</v>
      </c>
      <c r="B35" s="573" t="s">
        <v>2218</v>
      </c>
      <c r="C35" s="573">
        <v>17</v>
      </c>
      <c r="D35" s="574" t="s">
        <v>2625</v>
      </c>
      <c r="E35" s="574" t="s">
        <v>2573</v>
      </c>
      <c r="F35" s="574">
        <v>9</v>
      </c>
      <c r="G35" s="574" t="s">
        <v>2626</v>
      </c>
      <c r="H35" s="578" t="s">
        <v>2627</v>
      </c>
      <c r="I35" s="578" t="s">
        <v>2245</v>
      </c>
      <c r="J35" s="578" t="s">
        <v>1253</v>
      </c>
      <c r="K35" s="574"/>
    </row>
    <row r="36" spans="1:11" s="503" customFormat="1" ht="10.4" customHeight="1">
      <c r="A36" s="573" t="s">
        <v>2571</v>
      </c>
      <c r="B36" s="573" t="s">
        <v>2218</v>
      </c>
      <c r="C36" s="573">
        <v>17.100000000000001</v>
      </c>
      <c r="D36" s="574" t="s">
        <v>2625</v>
      </c>
      <c r="E36" s="574" t="s">
        <v>2573</v>
      </c>
      <c r="F36" s="574">
        <v>9</v>
      </c>
      <c r="G36" s="574" t="s">
        <v>2626</v>
      </c>
      <c r="H36" s="578" t="s">
        <v>2627</v>
      </c>
      <c r="I36" s="578" t="s">
        <v>2584</v>
      </c>
      <c r="J36" s="578" t="s">
        <v>1253</v>
      </c>
      <c r="K36" s="574"/>
    </row>
    <row r="37" spans="1:11" s="503" customFormat="1" ht="10.4" customHeight="1">
      <c r="A37" s="573" t="s">
        <v>2571</v>
      </c>
      <c r="B37" s="573" t="s">
        <v>2218</v>
      </c>
      <c r="C37" s="573">
        <v>18</v>
      </c>
      <c r="D37" s="574" t="s">
        <v>2628</v>
      </c>
      <c r="E37" s="574" t="s">
        <v>2573</v>
      </c>
      <c r="F37" s="574">
        <v>11</v>
      </c>
      <c r="G37" s="574" t="s">
        <v>2629</v>
      </c>
      <c r="H37" s="578" t="s">
        <v>2630</v>
      </c>
      <c r="I37" s="578" t="s">
        <v>2288</v>
      </c>
      <c r="J37" s="578" t="s">
        <v>2620</v>
      </c>
      <c r="K37" s="574"/>
    </row>
    <row r="38" spans="1:11" s="503" customFormat="1" ht="10.4" customHeight="1">
      <c r="A38" s="573" t="s">
        <v>2571</v>
      </c>
      <c r="B38" s="573" t="s">
        <v>2218</v>
      </c>
      <c r="C38" s="573">
        <v>19</v>
      </c>
      <c r="D38" s="574" t="s">
        <v>2631</v>
      </c>
      <c r="E38" s="574" t="s">
        <v>2573</v>
      </c>
      <c r="F38" s="574">
        <v>9</v>
      </c>
      <c r="G38" s="574" t="s">
        <v>2632</v>
      </c>
      <c r="H38" s="578" t="s">
        <v>2633</v>
      </c>
      <c r="I38" s="578" t="s">
        <v>2288</v>
      </c>
      <c r="J38" s="578" t="s">
        <v>1299</v>
      </c>
      <c r="K38" s="574"/>
    </row>
    <row r="39" spans="1:11" s="503" customFormat="1" ht="10.4" customHeight="1">
      <c r="A39" s="573" t="s">
        <v>2571</v>
      </c>
      <c r="B39" s="573" t="s">
        <v>2218</v>
      </c>
      <c r="C39" s="573">
        <v>20</v>
      </c>
      <c r="D39" s="574" t="s">
        <v>2634</v>
      </c>
      <c r="E39" s="574" t="s">
        <v>2573</v>
      </c>
      <c r="F39" s="574">
        <v>11</v>
      </c>
      <c r="G39" s="574" t="s">
        <v>2635</v>
      </c>
      <c r="H39" s="578" t="s">
        <v>2589</v>
      </c>
      <c r="I39" s="578" t="s">
        <v>2288</v>
      </c>
      <c r="J39" s="578" t="s">
        <v>2636</v>
      </c>
      <c r="K39" s="574"/>
    </row>
    <row r="40" spans="1:11" s="503" customFormat="1" ht="10.4" customHeight="1">
      <c r="A40" s="573" t="s">
        <v>2571</v>
      </c>
      <c r="B40" s="573" t="s">
        <v>2218</v>
      </c>
      <c r="C40" s="573">
        <v>21</v>
      </c>
      <c r="D40" s="574" t="s">
        <v>2637</v>
      </c>
      <c r="E40" s="574" t="s">
        <v>2573</v>
      </c>
      <c r="F40" s="574">
        <v>9</v>
      </c>
      <c r="G40" s="574" t="s">
        <v>2638</v>
      </c>
      <c r="H40" s="578" t="s">
        <v>2639</v>
      </c>
      <c r="I40" s="578" t="s">
        <v>2288</v>
      </c>
      <c r="J40" s="578" t="s">
        <v>1302</v>
      </c>
      <c r="K40" s="574"/>
    </row>
    <row r="41" spans="1:11" s="503" customFormat="1" ht="10.4" customHeight="1">
      <c r="A41" s="573" t="s">
        <v>2571</v>
      </c>
      <c r="B41" s="573" t="s">
        <v>2218</v>
      </c>
      <c r="C41" s="573">
        <v>22</v>
      </c>
      <c r="D41" s="574" t="s">
        <v>2640</v>
      </c>
      <c r="E41" s="574" t="s">
        <v>2573</v>
      </c>
      <c r="F41" s="574">
        <v>9</v>
      </c>
      <c r="G41" s="574" t="s">
        <v>2641</v>
      </c>
      <c r="H41" s="578" t="s">
        <v>2277</v>
      </c>
      <c r="I41" s="578" t="s">
        <v>2288</v>
      </c>
      <c r="J41" s="578" t="s">
        <v>1304</v>
      </c>
      <c r="K41" s="574"/>
    </row>
    <row r="42" spans="1:11" s="503" customFormat="1" ht="10.4" customHeight="1">
      <c r="A42" s="573" t="s">
        <v>2571</v>
      </c>
      <c r="B42" s="573" t="s">
        <v>2218</v>
      </c>
      <c r="C42" s="573">
        <v>23</v>
      </c>
      <c r="D42" s="574" t="s">
        <v>2642</v>
      </c>
      <c r="E42" s="574" t="s">
        <v>2573</v>
      </c>
      <c r="F42" s="574">
        <v>9</v>
      </c>
      <c r="G42" s="574" t="s">
        <v>2643</v>
      </c>
      <c r="H42" s="578" t="s">
        <v>2277</v>
      </c>
      <c r="I42" s="578" t="s">
        <v>2288</v>
      </c>
      <c r="J42" s="578" t="s">
        <v>1306</v>
      </c>
      <c r="K42" s="574"/>
    </row>
    <row r="43" spans="1:11" s="503" customFormat="1" ht="10.4" customHeight="1">
      <c r="A43" s="573" t="s">
        <v>2571</v>
      </c>
      <c r="B43" s="573" t="s">
        <v>2218</v>
      </c>
      <c r="C43" s="573">
        <v>24</v>
      </c>
      <c r="D43" s="574" t="s">
        <v>2644</v>
      </c>
      <c r="E43" s="574" t="s">
        <v>2573</v>
      </c>
      <c r="F43" s="574">
        <v>8</v>
      </c>
      <c r="G43" s="574" t="s">
        <v>2645</v>
      </c>
      <c r="H43" s="578" t="s">
        <v>2616</v>
      </c>
      <c r="I43" s="578" t="s">
        <v>2288</v>
      </c>
      <c r="J43" s="578" t="s">
        <v>1195</v>
      </c>
      <c r="K43" s="574" t="s">
        <v>2646</v>
      </c>
    </row>
    <row r="44" spans="1:11" s="503" customFormat="1" ht="10.4" customHeight="1">
      <c r="A44" s="573" t="s">
        <v>2571</v>
      </c>
      <c r="B44" s="573" t="s">
        <v>2218</v>
      </c>
      <c r="C44" s="573">
        <v>24.1</v>
      </c>
      <c r="D44" s="754" t="s">
        <v>2644</v>
      </c>
      <c r="E44" s="574" t="s">
        <v>2573</v>
      </c>
      <c r="F44" s="574">
        <v>8</v>
      </c>
      <c r="G44" s="574" t="s">
        <v>2645</v>
      </c>
      <c r="H44" s="578" t="s">
        <v>2616</v>
      </c>
      <c r="I44" s="578" t="s">
        <v>2609</v>
      </c>
      <c r="J44" s="578" t="s">
        <v>1195</v>
      </c>
      <c r="K44" s="574" t="s">
        <v>2646</v>
      </c>
    </row>
    <row r="45" spans="1:11" s="503" customFormat="1" ht="30.65" customHeight="1">
      <c r="A45" s="573" t="s">
        <v>2571</v>
      </c>
      <c r="B45" s="573" t="s">
        <v>2218</v>
      </c>
      <c r="C45" s="573">
        <v>25</v>
      </c>
      <c r="D45" s="574" t="s">
        <v>2647</v>
      </c>
      <c r="E45" s="574" t="s">
        <v>2503</v>
      </c>
      <c r="F45" s="574" t="s">
        <v>2504</v>
      </c>
      <c r="G45" s="573" t="s">
        <v>2648</v>
      </c>
      <c r="H45" s="578" t="s">
        <v>2649</v>
      </c>
      <c r="I45" s="578" t="s">
        <v>2245</v>
      </c>
      <c r="J45" s="578" t="s">
        <v>1184</v>
      </c>
      <c r="K45" s="574"/>
    </row>
    <row r="46" spans="1:11" s="503" customFormat="1" ht="30.65" customHeight="1">
      <c r="A46" s="573" t="s">
        <v>2571</v>
      </c>
      <c r="B46" s="573" t="s">
        <v>2218</v>
      </c>
      <c r="C46" s="573">
        <v>26</v>
      </c>
      <c r="D46" s="574" t="s">
        <v>2650</v>
      </c>
      <c r="E46" s="574" t="s">
        <v>2573</v>
      </c>
      <c r="F46" s="574">
        <v>11</v>
      </c>
      <c r="G46" s="573" t="s">
        <v>2651</v>
      </c>
      <c r="H46" s="578" t="s">
        <v>2619</v>
      </c>
      <c r="I46" s="578" t="s">
        <v>2288</v>
      </c>
      <c r="J46" s="578" t="s">
        <v>2608</v>
      </c>
      <c r="K46" s="574" t="s">
        <v>2646</v>
      </c>
    </row>
    <row r="47" spans="1:11" s="503" customFormat="1" ht="30.65" customHeight="1">
      <c r="A47" s="573" t="s">
        <v>2571</v>
      </c>
      <c r="B47" s="573" t="s">
        <v>2218</v>
      </c>
      <c r="C47" s="573">
        <v>26.1</v>
      </c>
      <c r="D47" s="574" t="s">
        <v>2650</v>
      </c>
      <c r="E47" s="574" t="s">
        <v>2573</v>
      </c>
      <c r="F47" s="574">
        <v>11</v>
      </c>
      <c r="G47" s="573" t="s">
        <v>2651</v>
      </c>
      <c r="H47" s="578" t="s">
        <v>2619</v>
      </c>
      <c r="I47" s="578" t="s">
        <v>2288</v>
      </c>
      <c r="J47" s="578" t="s">
        <v>1297</v>
      </c>
      <c r="K47" s="574" t="s">
        <v>2646</v>
      </c>
    </row>
    <row r="48" spans="1:11" s="503" customFormat="1" ht="30.65" customHeight="1">
      <c r="A48" s="573" t="s">
        <v>2571</v>
      </c>
      <c r="B48" s="573" t="s">
        <v>2218</v>
      </c>
      <c r="C48" s="573">
        <v>26.2</v>
      </c>
      <c r="D48" s="574" t="s">
        <v>2650</v>
      </c>
      <c r="E48" s="574" t="s">
        <v>2573</v>
      </c>
      <c r="F48" s="574">
        <v>11</v>
      </c>
      <c r="G48" s="573" t="s">
        <v>2651</v>
      </c>
      <c r="H48" s="578" t="s">
        <v>2619</v>
      </c>
      <c r="I48" s="578" t="s">
        <v>2288</v>
      </c>
      <c r="J48" s="578" t="s">
        <v>2620</v>
      </c>
      <c r="K48" s="574" t="s">
        <v>2646</v>
      </c>
    </row>
    <row r="49" spans="1:11" s="503" customFormat="1" ht="10.4" customHeight="1">
      <c r="A49" s="573" t="s">
        <v>2571</v>
      </c>
      <c r="B49" s="573" t="s">
        <v>2218</v>
      </c>
      <c r="C49" s="573">
        <v>27</v>
      </c>
      <c r="D49" s="754" t="s">
        <v>2652</v>
      </c>
      <c r="E49" s="574" t="s">
        <v>2573</v>
      </c>
      <c r="F49" s="574">
        <v>4</v>
      </c>
      <c r="G49" s="574" t="s">
        <v>2653</v>
      </c>
      <c r="H49" s="578" t="s">
        <v>2654</v>
      </c>
      <c r="I49" s="578" t="s">
        <v>2655</v>
      </c>
      <c r="J49" s="578" t="s">
        <v>1272</v>
      </c>
      <c r="K49" s="574"/>
    </row>
    <row r="50" spans="1:11" s="503" customFormat="1" ht="10.4" customHeight="1">
      <c r="A50" s="573" t="s">
        <v>2571</v>
      </c>
      <c r="B50" s="573" t="s">
        <v>2218</v>
      </c>
      <c r="C50" s="573">
        <v>28</v>
      </c>
      <c r="D50" s="754" t="s">
        <v>2656</v>
      </c>
      <c r="E50" s="574" t="s">
        <v>2573</v>
      </c>
      <c r="F50" s="574">
        <v>4</v>
      </c>
      <c r="G50" s="574" t="s">
        <v>2657</v>
      </c>
      <c r="H50" s="578" t="s">
        <v>2561</v>
      </c>
      <c r="I50" s="578" t="s">
        <v>2655</v>
      </c>
      <c r="J50" s="578" t="s">
        <v>1275</v>
      </c>
      <c r="K50" s="574"/>
    </row>
    <row r="51" spans="1:11" s="503" customFormat="1" ht="10.4" customHeight="1">
      <c r="A51" s="573" t="s">
        <v>2571</v>
      </c>
      <c r="B51" s="573" t="s">
        <v>2218</v>
      </c>
      <c r="C51" s="573">
        <v>29</v>
      </c>
      <c r="D51" s="574" t="s">
        <v>2658</v>
      </c>
      <c r="E51" s="574" t="s">
        <v>2573</v>
      </c>
      <c r="F51" s="574">
        <v>11</v>
      </c>
      <c r="G51" s="574" t="s">
        <v>2659</v>
      </c>
      <c r="H51" s="578" t="s">
        <v>2660</v>
      </c>
      <c r="I51" s="578" t="s">
        <v>2245</v>
      </c>
      <c r="J51" s="578" t="s">
        <v>1322</v>
      </c>
      <c r="K51" s="574" t="s">
        <v>2646</v>
      </c>
    </row>
    <row r="52" spans="1:11" s="503" customFormat="1" ht="10.4" customHeight="1">
      <c r="A52" s="573" t="s">
        <v>2571</v>
      </c>
      <c r="B52" s="573" t="s">
        <v>2218</v>
      </c>
      <c r="C52" s="573">
        <v>29.1</v>
      </c>
      <c r="D52" s="574" t="s">
        <v>2658</v>
      </c>
      <c r="E52" s="574" t="s">
        <v>2573</v>
      </c>
      <c r="F52" s="574">
        <v>11</v>
      </c>
      <c r="G52" s="574" t="s">
        <v>2659</v>
      </c>
      <c r="H52" s="578" t="s">
        <v>2660</v>
      </c>
      <c r="I52" s="578" t="s">
        <v>2245</v>
      </c>
      <c r="J52" s="578" t="s">
        <v>1184</v>
      </c>
      <c r="K52" s="574" t="s">
        <v>2646</v>
      </c>
    </row>
    <row r="53" spans="1:11" s="503" customFormat="1" ht="10.4" customHeight="1">
      <c r="A53" s="573" t="s">
        <v>2571</v>
      </c>
      <c r="B53" s="573" t="s">
        <v>2218</v>
      </c>
      <c r="C53" s="573">
        <v>29.2</v>
      </c>
      <c r="D53" s="574" t="s">
        <v>2658</v>
      </c>
      <c r="E53" s="574" t="s">
        <v>2573</v>
      </c>
      <c r="F53" s="574">
        <v>11</v>
      </c>
      <c r="G53" s="574" t="s">
        <v>2659</v>
      </c>
      <c r="H53" s="578" t="s">
        <v>2660</v>
      </c>
      <c r="I53" s="578" t="s">
        <v>2584</v>
      </c>
      <c r="J53" s="578" t="s">
        <v>1322</v>
      </c>
      <c r="K53" s="574" t="s">
        <v>2646</v>
      </c>
    </row>
    <row r="54" spans="1:11" s="503" customFormat="1" ht="10.4" customHeight="1">
      <c r="A54" s="573" t="s">
        <v>2571</v>
      </c>
      <c r="B54" s="573" t="s">
        <v>2218</v>
      </c>
      <c r="C54" s="573">
        <v>29.3</v>
      </c>
      <c r="D54" s="574" t="s">
        <v>2658</v>
      </c>
      <c r="E54" s="574" t="s">
        <v>2573</v>
      </c>
      <c r="F54" s="574">
        <v>11</v>
      </c>
      <c r="G54" s="574" t="s">
        <v>2659</v>
      </c>
      <c r="H54" s="578" t="s">
        <v>2660</v>
      </c>
      <c r="I54" s="578" t="s">
        <v>2584</v>
      </c>
      <c r="J54" s="578" t="s">
        <v>1184</v>
      </c>
      <c r="K54" s="574" t="s">
        <v>2646</v>
      </c>
    </row>
    <row r="55" spans="1:11" s="503" customFormat="1" ht="10.4" customHeight="1">
      <c r="A55" s="573" t="s">
        <v>2571</v>
      </c>
      <c r="B55" s="573" t="s">
        <v>2218</v>
      </c>
      <c r="C55" s="573">
        <v>30</v>
      </c>
      <c r="D55" s="574" t="s">
        <v>2661</v>
      </c>
      <c r="E55" s="574" t="s">
        <v>2573</v>
      </c>
      <c r="F55" s="574">
        <v>9</v>
      </c>
      <c r="G55" s="574" t="s">
        <v>2662</v>
      </c>
      <c r="H55" s="578" t="s">
        <v>2663</v>
      </c>
      <c r="I55" s="578" t="s">
        <v>2598</v>
      </c>
      <c r="J55" s="578" t="s">
        <v>2664</v>
      </c>
      <c r="K55" s="574" t="s">
        <v>2646</v>
      </c>
    </row>
    <row r="56" spans="1:11" s="503" customFormat="1" ht="10.4" customHeight="1">
      <c r="A56" s="573" t="s">
        <v>2571</v>
      </c>
      <c r="B56" s="573" t="s">
        <v>2218</v>
      </c>
      <c r="C56" s="573">
        <v>30.1</v>
      </c>
      <c r="D56" s="574" t="s">
        <v>2661</v>
      </c>
      <c r="E56" s="574" t="s">
        <v>2573</v>
      </c>
      <c r="F56" s="574">
        <v>9</v>
      </c>
      <c r="G56" s="574" t="s">
        <v>2662</v>
      </c>
      <c r="H56" s="578" t="s">
        <v>2663</v>
      </c>
      <c r="I56" s="578" t="s">
        <v>2598</v>
      </c>
      <c r="J56" s="578" t="s">
        <v>1426</v>
      </c>
      <c r="K56" s="574" t="s">
        <v>2646</v>
      </c>
    </row>
    <row r="57" spans="1:11" s="503" customFormat="1" ht="10.4" customHeight="1">
      <c r="A57" s="573" t="s">
        <v>2571</v>
      </c>
      <c r="B57" s="573" t="s">
        <v>2218</v>
      </c>
      <c r="C57" s="573">
        <v>30.2</v>
      </c>
      <c r="D57" s="574" t="s">
        <v>2661</v>
      </c>
      <c r="E57" s="574" t="s">
        <v>2573</v>
      </c>
      <c r="F57" s="574">
        <v>9</v>
      </c>
      <c r="G57" s="574" t="s">
        <v>2662</v>
      </c>
      <c r="H57" s="578" t="s">
        <v>2663</v>
      </c>
      <c r="I57" s="578" t="s">
        <v>2598</v>
      </c>
      <c r="J57" s="578" t="s">
        <v>1316</v>
      </c>
      <c r="K57" s="574" t="s">
        <v>2646</v>
      </c>
    </row>
    <row r="58" spans="1:11" s="503" customFormat="1" ht="10.4" customHeight="1">
      <c r="A58" s="573" t="s">
        <v>2571</v>
      </c>
      <c r="B58" s="573" t="s">
        <v>2218</v>
      </c>
      <c r="C58" s="573">
        <v>30.3</v>
      </c>
      <c r="D58" s="574" t="s">
        <v>2661</v>
      </c>
      <c r="E58" s="574" t="s">
        <v>2573</v>
      </c>
      <c r="F58" s="574">
        <v>9</v>
      </c>
      <c r="G58" s="574" t="s">
        <v>2662</v>
      </c>
      <c r="H58" s="578" t="s">
        <v>2663</v>
      </c>
      <c r="I58" s="578" t="s">
        <v>2665</v>
      </c>
      <c r="J58" s="578" t="s">
        <v>2666</v>
      </c>
      <c r="K58" s="574" t="s">
        <v>2646</v>
      </c>
    </row>
  </sheetData>
  <autoFilter ref="A1:K5" xr:uid="{00000000-0009-0000-0000-00001D000000}">
    <sortState xmlns:xlrd2="http://schemas.microsoft.com/office/spreadsheetml/2017/richdata2" ref="A2:K5">
      <sortCondition ref="B1:B5"/>
    </sortState>
  </autoFilter>
  <hyperlinks>
    <hyperlink ref="L2" location="'interface list'!A1" display="back to interface list" xr:uid="{8FD533D2-2891-4A86-B52D-DD97ABECBF38}"/>
  </hyperlinks>
  <pageMargins left="0.75" right="0.75" top="1" bottom="1" header="0.5" footer="0.5"/>
  <pageSetup orientation="portrait" r:id="rId1"/>
  <headerFooter alignWithMargins="0">
    <oddHeader>&amp;L&amp;"Arial"&amp;9&amp;K0078D7 INTERNAL&amp;1#_x000D_</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440E-4357-4C45-B022-8C704DBF04E9}">
  <sheetPr codeName="Sheet31"/>
  <dimension ref="A1:K17"/>
  <sheetViews>
    <sheetView tabSelected="1" workbookViewId="0">
      <selection activeCell="D13" sqref="D13"/>
    </sheetView>
  </sheetViews>
  <sheetFormatPr defaultColWidth="22.81640625" defaultRowHeight="14.5"/>
  <cols>
    <col min="1" max="1" width="22.54296875" style="522" customWidth="1"/>
    <col min="2" max="2" width="12.54296875" style="522" customWidth="1"/>
    <col min="3" max="3" width="11.1796875" style="522" customWidth="1"/>
    <col min="4" max="4" width="28.453125" style="548" customWidth="1"/>
    <col min="5" max="5" width="9.1796875" style="549" customWidth="1"/>
    <col min="6" max="6" width="7.54296875" style="549" customWidth="1"/>
    <col min="7" max="7" width="53.54296875" style="532" customWidth="1"/>
    <col min="8" max="10" width="18.54296875" style="533" customWidth="1"/>
    <col min="11" max="11" width="17.54296875" style="522" customWidth="1"/>
    <col min="12" max="12" width="22.81640625" style="522" customWidth="1"/>
    <col min="13" max="16384" width="22.81640625" style="522"/>
  </cols>
  <sheetData>
    <row r="1" spans="1:11" s="516" customFormat="1" ht="23.5" customHeight="1">
      <c r="A1" s="512" t="s">
        <v>2321</v>
      </c>
      <c r="B1" s="541" t="s">
        <v>2322</v>
      </c>
      <c r="C1" s="512" t="s">
        <v>2323</v>
      </c>
      <c r="D1" s="513" t="s">
        <v>2363</v>
      </c>
      <c r="E1" s="542" t="s">
        <v>2364</v>
      </c>
      <c r="F1" s="512" t="s">
        <v>2365</v>
      </c>
      <c r="G1" s="543" t="s">
        <v>2366</v>
      </c>
      <c r="H1" s="515" t="s">
        <v>2213</v>
      </c>
      <c r="I1" s="502" t="s">
        <v>2214</v>
      </c>
      <c r="J1" s="502" t="s">
        <v>2215</v>
      </c>
      <c r="K1" s="512" t="s">
        <v>2328</v>
      </c>
    </row>
    <row r="2" spans="1:11">
      <c r="A2" s="517" t="s">
        <v>2367</v>
      </c>
      <c r="B2" s="522" t="s">
        <v>2330</v>
      </c>
      <c r="C2" s="518">
        <v>1</v>
      </c>
      <c r="D2" s="526" t="s">
        <v>2368</v>
      </c>
      <c r="E2" s="520" t="s">
        <v>2338</v>
      </c>
      <c r="F2" s="520">
        <v>14</v>
      </c>
      <c r="G2" s="526" t="s">
        <v>2369</v>
      </c>
      <c r="H2" s="521"/>
      <c r="I2" s="521"/>
      <c r="J2" s="521"/>
      <c r="K2" s="518"/>
    </row>
    <row r="3" spans="1:11">
      <c r="A3" s="517" t="s">
        <v>2367</v>
      </c>
      <c r="B3" s="518" t="s">
        <v>2330</v>
      </c>
      <c r="C3" s="518">
        <v>2</v>
      </c>
      <c r="D3" s="526" t="s">
        <v>2370</v>
      </c>
      <c r="E3" s="520" t="s">
        <v>2332</v>
      </c>
      <c r="F3" s="520">
        <v>3</v>
      </c>
      <c r="G3" s="526" t="s">
        <v>2354</v>
      </c>
      <c r="H3" s="521"/>
      <c r="I3" s="521"/>
      <c r="J3" s="521"/>
      <c r="K3" s="518"/>
    </row>
    <row r="4" spans="1:11">
      <c r="A4" s="517" t="s">
        <v>2367</v>
      </c>
      <c r="B4" s="518" t="s">
        <v>2330</v>
      </c>
      <c r="C4" s="518">
        <v>3</v>
      </c>
      <c r="D4" s="526" t="s">
        <v>2371</v>
      </c>
      <c r="E4" s="520" t="s">
        <v>2332</v>
      </c>
      <c r="F4" s="520">
        <v>3</v>
      </c>
      <c r="G4" s="526" t="s">
        <v>2372</v>
      </c>
      <c r="H4" s="521"/>
      <c r="I4" s="521"/>
      <c r="J4" s="521"/>
      <c r="K4" s="518"/>
    </row>
    <row r="5" spans="1:11" s="503" customFormat="1" ht="29.15" customHeight="1">
      <c r="A5" s="518" t="s">
        <v>2367</v>
      </c>
      <c r="B5" s="518" t="s">
        <v>2345</v>
      </c>
      <c r="C5" s="518">
        <v>4</v>
      </c>
      <c r="D5" s="544" t="s">
        <v>2337</v>
      </c>
      <c r="E5" s="520" t="s">
        <v>2338</v>
      </c>
      <c r="F5" s="520">
        <v>2</v>
      </c>
      <c r="G5" s="545" t="s">
        <v>2373</v>
      </c>
      <c r="H5" s="521"/>
      <c r="I5" s="521"/>
      <c r="J5" s="521"/>
      <c r="K5" s="518"/>
    </row>
    <row r="6" spans="1:11" s="503" customFormat="1" ht="29.15" customHeight="1">
      <c r="A6" s="518" t="s">
        <v>2367</v>
      </c>
      <c r="B6" s="518" t="s">
        <v>2345</v>
      </c>
      <c r="C6" s="518">
        <v>5</v>
      </c>
      <c r="D6" s="544" t="s">
        <v>2340</v>
      </c>
      <c r="E6" s="520" t="s">
        <v>2332</v>
      </c>
      <c r="F6" s="520">
        <v>78</v>
      </c>
      <c r="G6" s="545" t="s">
        <v>2374</v>
      </c>
      <c r="H6" s="521"/>
      <c r="I6" s="521"/>
      <c r="J6" s="521"/>
      <c r="K6" s="518"/>
    </row>
    <row r="7" spans="1:11">
      <c r="A7" s="517" t="s">
        <v>2367</v>
      </c>
      <c r="B7" s="518" t="s">
        <v>2345</v>
      </c>
      <c r="C7" s="518">
        <v>6</v>
      </c>
      <c r="D7" s="544" t="s">
        <v>2375</v>
      </c>
      <c r="E7" s="520" t="s">
        <v>2338</v>
      </c>
      <c r="F7" s="520">
        <v>11</v>
      </c>
      <c r="G7" s="545" t="s">
        <v>2376</v>
      </c>
      <c r="H7" s="521"/>
      <c r="I7" s="521"/>
      <c r="J7" s="521"/>
      <c r="K7" s="518"/>
    </row>
    <row r="8" spans="1:11">
      <c r="A8" s="517" t="s">
        <v>2367</v>
      </c>
      <c r="B8" s="518" t="s">
        <v>2345</v>
      </c>
      <c r="C8" s="518">
        <v>7</v>
      </c>
      <c r="D8" s="526" t="s">
        <v>2377</v>
      </c>
      <c r="E8" s="520" t="s">
        <v>2338</v>
      </c>
      <c r="F8" s="520">
        <v>11</v>
      </c>
      <c r="G8" s="526" t="s">
        <v>2378</v>
      </c>
      <c r="H8" s="521"/>
      <c r="I8" s="521"/>
      <c r="J8" s="521"/>
      <c r="K8" s="518"/>
    </row>
    <row r="9" spans="1:11">
      <c r="A9" s="517" t="s">
        <v>2367</v>
      </c>
      <c r="B9" s="518" t="s">
        <v>2345</v>
      </c>
      <c r="C9" s="518">
        <v>8</v>
      </c>
      <c r="D9" s="526" t="s">
        <v>2379</v>
      </c>
      <c r="E9" s="520" t="s">
        <v>2338</v>
      </c>
      <c r="F9" s="520">
        <v>11</v>
      </c>
      <c r="G9" s="526" t="s">
        <v>2380</v>
      </c>
      <c r="H9" s="521"/>
      <c r="I9" s="530"/>
      <c r="J9" s="530"/>
      <c r="K9" s="518"/>
    </row>
    <row r="10" spans="1:11">
      <c r="A10" s="517" t="s">
        <v>2367</v>
      </c>
      <c r="B10" s="518" t="s">
        <v>2345</v>
      </c>
      <c r="C10" s="518">
        <v>9</v>
      </c>
      <c r="D10" s="526" t="s">
        <v>2381</v>
      </c>
      <c r="E10" s="520" t="s">
        <v>2338</v>
      </c>
      <c r="F10" s="527">
        <v>11</v>
      </c>
      <c r="G10" s="546" t="s">
        <v>2382</v>
      </c>
      <c r="H10" s="529"/>
      <c r="I10" s="529"/>
      <c r="J10" s="529"/>
      <c r="K10" s="547"/>
    </row>
    <row r="11" spans="1:11">
      <c r="A11" s="517" t="s">
        <v>2367</v>
      </c>
      <c r="B11" s="518" t="s">
        <v>2345</v>
      </c>
      <c r="C11" s="518">
        <v>10</v>
      </c>
      <c r="D11" s="526" t="s">
        <v>2383</v>
      </c>
      <c r="E11" s="520" t="s">
        <v>2338</v>
      </c>
      <c r="F11" s="527">
        <v>11</v>
      </c>
      <c r="G11" s="546" t="s">
        <v>2384</v>
      </c>
      <c r="H11" s="529"/>
      <c r="I11" s="521"/>
      <c r="J11" s="521"/>
      <c r="K11" s="518"/>
    </row>
    <row r="12" spans="1:11">
      <c r="A12" s="517" t="s">
        <v>2367</v>
      </c>
      <c r="B12" s="518" t="s">
        <v>2345</v>
      </c>
      <c r="C12" s="518">
        <v>11</v>
      </c>
      <c r="D12" s="526" t="s">
        <v>2385</v>
      </c>
      <c r="E12" s="520" t="s">
        <v>2338</v>
      </c>
      <c r="F12" s="520">
        <v>11</v>
      </c>
      <c r="G12" s="526" t="s">
        <v>2386</v>
      </c>
      <c r="H12" s="521"/>
      <c r="I12" s="521"/>
      <c r="J12" s="521"/>
      <c r="K12" s="518"/>
    </row>
    <row r="13" spans="1:11">
      <c r="A13" s="517" t="s">
        <v>2367</v>
      </c>
      <c r="B13" s="518" t="s">
        <v>2345</v>
      </c>
      <c r="C13" s="518">
        <v>12</v>
      </c>
      <c r="D13" s="755" t="s">
        <v>2387</v>
      </c>
      <c r="E13" s="520" t="s">
        <v>2338</v>
      </c>
      <c r="F13" s="520">
        <v>13</v>
      </c>
      <c r="G13" s="526" t="s">
        <v>1639</v>
      </c>
      <c r="H13" s="521"/>
      <c r="I13" s="521"/>
      <c r="J13" s="521"/>
      <c r="K13" s="518"/>
    </row>
    <row r="14" spans="1:11">
      <c r="A14" s="517" t="s">
        <v>2367</v>
      </c>
      <c r="B14" s="518" t="s">
        <v>2345</v>
      </c>
      <c r="C14" s="518">
        <v>13</v>
      </c>
      <c r="D14" s="755" t="s">
        <v>2388</v>
      </c>
      <c r="E14" s="520" t="s">
        <v>2338</v>
      </c>
      <c r="F14" s="520">
        <v>13</v>
      </c>
      <c r="G14" s="526" t="s">
        <v>2389</v>
      </c>
      <c r="H14" s="521"/>
      <c r="I14" s="529"/>
      <c r="J14" s="529"/>
      <c r="K14" s="518"/>
    </row>
    <row r="15" spans="1:11">
      <c r="I15" s="529"/>
      <c r="J15" s="529"/>
    </row>
    <row r="16" spans="1:11">
      <c r="I16" s="529"/>
      <c r="J16" s="529"/>
    </row>
    <row r="17" spans="9:10">
      <c r="I17" s="529"/>
      <c r="J17" s="529"/>
    </row>
  </sheetData>
  <pageMargins left="0.7" right="0.7" top="0.75" bottom="0.75" header="0.3" footer="0.3"/>
  <pageSetup paperSize="9" orientation="portrait" horizontalDpi="300" verticalDpi="300" r:id="rId1"/>
  <headerFooter>
    <oddHeader>&amp;L&amp;"Arial"&amp;9&amp;K0078D7 INTERNAL&amp;1#_x000D_</oddHead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B34C1-A9FA-499A-9742-35FFD17B985C}">
  <sheetPr codeName="Sheet32"/>
  <dimension ref="A1:K47"/>
  <sheetViews>
    <sheetView workbookViewId="0">
      <selection activeCell="D21" sqref="D21"/>
    </sheetView>
  </sheetViews>
  <sheetFormatPr defaultColWidth="22.81640625" defaultRowHeight="14.5"/>
  <cols>
    <col min="1" max="1" width="22.54296875" style="522" customWidth="1"/>
    <col min="2" max="2" width="12.54296875" style="522" customWidth="1"/>
    <col min="3" max="3" width="11.1796875" style="522" customWidth="1"/>
    <col min="4" max="4" width="37.453125" style="548" customWidth="1"/>
    <col min="5" max="5" width="9.1796875" style="549" customWidth="1"/>
    <col min="6" max="6" width="7.54296875" style="549" customWidth="1"/>
    <col min="7" max="7" width="53.54296875" style="532" customWidth="1"/>
    <col min="8" max="10" width="18.54296875" style="533" customWidth="1"/>
    <col min="11" max="11" width="17.54296875" style="522" customWidth="1"/>
    <col min="12" max="12" width="22.81640625" style="522" customWidth="1"/>
    <col min="13" max="16384" width="22.81640625" style="522"/>
  </cols>
  <sheetData>
    <row r="1" spans="1:11" s="516" customFormat="1" ht="23.5" customHeight="1">
      <c r="A1" s="512" t="s">
        <v>2321</v>
      </c>
      <c r="B1" s="541" t="s">
        <v>2322</v>
      </c>
      <c r="C1" s="512" t="s">
        <v>2323</v>
      </c>
      <c r="D1" s="513" t="s">
        <v>2363</v>
      </c>
      <c r="E1" s="542" t="s">
        <v>2364</v>
      </c>
      <c r="F1" s="512" t="s">
        <v>2365</v>
      </c>
      <c r="G1" s="543" t="s">
        <v>2366</v>
      </c>
      <c r="H1" s="515" t="s">
        <v>2213</v>
      </c>
      <c r="I1" s="502" t="s">
        <v>2214</v>
      </c>
      <c r="J1" s="502" t="s">
        <v>2215</v>
      </c>
      <c r="K1" s="512" t="s">
        <v>2328</v>
      </c>
    </row>
    <row r="2" spans="1:11">
      <c r="A2" s="517" t="s">
        <v>2390</v>
      </c>
      <c r="B2" s="522" t="s">
        <v>2330</v>
      </c>
      <c r="C2" s="518">
        <v>1</v>
      </c>
      <c r="D2" s="526" t="s">
        <v>2391</v>
      </c>
      <c r="E2" s="520" t="s">
        <v>2338</v>
      </c>
      <c r="F2" s="520">
        <v>15</v>
      </c>
      <c r="G2" s="526" t="s">
        <v>2392</v>
      </c>
      <c r="H2" s="521"/>
      <c r="I2" s="521"/>
      <c r="J2" s="521"/>
      <c r="K2" s="518"/>
    </row>
    <row r="3" spans="1:11">
      <c r="A3" s="517" t="s">
        <v>2390</v>
      </c>
      <c r="B3" s="518" t="s">
        <v>2330</v>
      </c>
      <c r="C3" s="518">
        <v>2</v>
      </c>
      <c r="D3" s="526" t="s">
        <v>2393</v>
      </c>
      <c r="E3" s="520" t="s">
        <v>2332</v>
      </c>
      <c r="F3" s="520">
        <v>9</v>
      </c>
      <c r="G3" s="526" t="s">
        <v>2394</v>
      </c>
      <c r="H3" s="521"/>
      <c r="I3" s="521"/>
      <c r="J3" s="521"/>
      <c r="K3" s="518"/>
    </row>
    <row r="4" spans="1:11">
      <c r="A4" s="517" t="s">
        <v>2390</v>
      </c>
      <c r="B4" s="518" t="s">
        <v>2330</v>
      </c>
      <c r="C4" s="518">
        <v>3</v>
      </c>
      <c r="D4" s="526" t="s">
        <v>2370</v>
      </c>
      <c r="E4" s="520" t="s">
        <v>2332</v>
      </c>
      <c r="F4" s="520">
        <v>3</v>
      </c>
      <c r="G4" s="526" t="s">
        <v>2395</v>
      </c>
      <c r="H4" s="521"/>
      <c r="I4" s="521"/>
      <c r="J4" s="521"/>
      <c r="K4" s="518"/>
    </row>
    <row r="5" spans="1:11">
      <c r="A5" s="517" t="s">
        <v>2390</v>
      </c>
      <c r="B5" s="518" t="s">
        <v>2330</v>
      </c>
      <c r="C5" s="518">
        <v>4</v>
      </c>
      <c r="D5" s="544" t="s">
        <v>2396</v>
      </c>
      <c r="E5" s="520" t="s">
        <v>2338</v>
      </c>
      <c r="F5" s="520">
        <v>8</v>
      </c>
      <c r="G5" s="545" t="s">
        <v>2397</v>
      </c>
      <c r="H5" s="521"/>
      <c r="I5" s="521"/>
      <c r="J5" s="521"/>
      <c r="K5" s="518"/>
    </row>
    <row r="6" spans="1:11">
      <c r="A6" s="518" t="s">
        <v>2390</v>
      </c>
      <c r="B6" s="518" t="s">
        <v>2330</v>
      </c>
      <c r="C6" s="518">
        <v>5</v>
      </c>
      <c r="D6" s="544" t="s">
        <v>2398</v>
      </c>
      <c r="E6" s="520" t="s">
        <v>2338</v>
      </c>
      <c r="F6" s="520">
        <v>9</v>
      </c>
      <c r="G6" s="545" t="s">
        <v>2399</v>
      </c>
      <c r="H6" s="521"/>
      <c r="I6" s="521"/>
      <c r="J6" s="521"/>
      <c r="K6" s="518"/>
    </row>
    <row r="7" spans="1:11" s="503" customFormat="1" ht="29.15" customHeight="1">
      <c r="A7" s="518" t="s">
        <v>2390</v>
      </c>
      <c r="B7" s="518" t="s">
        <v>2345</v>
      </c>
      <c r="C7" s="518">
        <v>6</v>
      </c>
      <c r="D7" s="544" t="s">
        <v>2337</v>
      </c>
      <c r="E7" s="520" t="s">
        <v>2338</v>
      </c>
      <c r="F7" s="520">
        <v>2</v>
      </c>
      <c r="G7" s="545" t="s">
        <v>2373</v>
      </c>
      <c r="H7" s="521"/>
      <c r="I7" s="521"/>
      <c r="J7" s="521"/>
      <c r="K7" s="518"/>
    </row>
    <row r="8" spans="1:11" s="503" customFormat="1" ht="29.15" customHeight="1">
      <c r="A8" s="518" t="s">
        <v>2390</v>
      </c>
      <c r="B8" s="518" t="s">
        <v>2345</v>
      </c>
      <c r="C8" s="518">
        <v>7</v>
      </c>
      <c r="D8" s="544" t="s">
        <v>2340</v>
      </c>
      <c r="E8" s="520" t="s">
        <v>2332</v>
      </c>
      <c r="F8" s="520">
        <v>78</v>
      </c>
      <c r="G8" s="545" t="s">
        <v>2374</v>
      </c>
      <c r="H8" s="521"/>
      <c r="I8" s="521"/>
      <c r="J8" s="521"/>
      <c r="K8" s="518"/>
    </row>
    <row r="9" spans="1:11">
      <c r="A9" s="517" t="s">
        <v>2390</v>
      </c>
      <c r="B9" s="518" t="s">
        <v>2345</v>
      </c>
      <c r="C9" s="518">
        <v>8</v>
      </c>
      <c r="D9" s="526" t="s">
        <v>2400</v>
      </c>
      <c r="E9" s="520" t="s">
        <v>2332</v>
      </c>
      <c r="F9" s="520">
        <v>15</v>
      </c>
      <c r="G9" s="526" t="s">
        <v>2401</v>
      </c>
      <c r="H9" s="521"/>
      <c r="I9" s="530"/>
      <c r="J9" s="530"/>
      <c r="K9" s="518"/>
    </row>
    <row r="10" spans="1:11">
      <c r="A10" s="517" t="s">
        <v>2390</v>
      </c>
      <c r="B10" s="518" t="s">
        <v>2345</v>
      </c>
      <c r="C10" s="518">
        <v>9</v>
      </c>
      <c r="D10" s="526" t="s">
        <v>2402</v>
      </c>
      <c r="E10" s="527" t="s">
        <v>2332</v>
      </c>
      <c r="F10" s="527">
        <v>1</v>
      </c>
      <c r="G10" s="546" t="s">
        <v>2403</v>
      </c>
      <c r="H10" s="529"/>
      <c r="I10" s="529"/>
      <c r="J10" s="529"/>
      <c r="K10" s="547"/>
    </row>
    <row r="11" spans="1:11">
      <c r="A11" s="517" t="s">
        <v>2390</v>
      </c>
      <c r="B11" s="518" t="s">
        <v>2345</v>
      </c>
      <c r="C11" s="518">
        <v>10</v>
      </c>
      <c r="D11" s="526" t="s">
        <v>2404</v>
      </c>
      <c r="E11" s="520" t="s">
        <v>2338</v>
      </c>
      <c r="F11" s="527">
        <v>13</v>
      </c>
      <c r="G11" s="546" t="s">
        <v>2405</v>
      </c>
      <c r="H11" s="529"/>
      <c r="I11" s="521"/>
      <c r="J11" s="521"/>
      <c r="K11" s="518"/>
    </row>
    <row r="12" spans="1:11">
      <c r="A12" s="517" t="s">
        <v>2390</v>
      </c>
      <c r="B12" s="518" t="s">
        <v>2345</v>
      </c>
      <c r="C12" s="518">
        <v>11</v>
      </c>
      <c r="D12" s="526" t="s">
        <v>2406</v>
      </c>
      <c r="E12" s="527" t="s">
        <v>2338</v>
      </c>
      <c r="F12" s="520">
        <v>13</v>
      </c>
      <c r="G12" s="526" t="s">
        <v>347</v>
      </c>
      <c r="H12" s="521"/>
      <c r="I12" s="521"/>
      <c r="J12" s="521"/>
      <c r="K12" s="518"/>
    </row>
    <row r="13" spans="1:11" s="552" customFormat="1" ht="29.15" customHeight="1">
      <c r="A13" s="519" t="s">
        <v>2390</v>
      </c>
      <c r="B13" s="519" t="s">
        <v>2345</v>
      </c>
      <c r="C13" s="518">
        <v>12</v>
      </c>
      <c r="D13" s="550" t="s">
        <v>2407</v>
      </c>
      <c r="E13" s="520" t="s">
        <v>2332</v>
      </c>
      <c r="F13" s="520">
        <v>14</v>
      </c>
      <c r="G13" s="551" t="s">
        <v>2408</v>
      </c>
      <c r="H13" s="521"/>
      <c r="I13" s="521"/>
      <c r="J13" s="521"/>
      <c r="K13" s="519"/>
    </row>
    <row r="14" spans="1:11">
      <c r="A14" s="517" t="s">
        <v>2390</v>
      </c>
      <c r="B14" s="518" t="s">
        <v>2345</v>
      </c>
      <c r="C14" s="518">
        <v>13</v>
      </c>
      <c r="D14" s="526" t="s">
        <v>2409</v>
      </c>
      <c r="E14" s="527" t="s">
        <v>2338</v>
      </c>
      <c r="F14" s="520">
        <v>13</v>
      </c>
      <c r="G14" s="526" t="s">
        <v>2410</v>
      </c>
      <c r="H14" s="521"/>
      <c r="I14" s="529"/>
      <c r="J14" s="529"/>
      <c r="K14" s="518"/>
    </row>
    <row r="15" spans="1:11">
      <c r="A15" s="517" t="s">
        <v>2390</v>
      </c>
      <c r="B15" s="518" t="s">
        <v>2345</v>
      </c>
      <c r="C15" s="518">
        <v>14</v>
      </c>
      <c r="D15" s="526" t="s">
        <v>2411</v>
      </c>
      <c r="E15" s="527" t="s">
        <v>2338</v>
      </c>
      <c r="F15" s="527">
        <v>11</v>
      </c>
      <c r="G15" s="546" t="s">
        <v>2412</v>
      </c>
      <c r="H15" s="529"/>
      <c r="I15" s="529"/>
      <c r="J15" s="529"/>
      <c r="K15" s="518"/>
    </row>
    <row r="16" spans="1:11" s="503" customFormat="1" ht="29.15" customHeight="1">
      <c r="A16" s="518" t="s">
        <v>2390</v>
      </c>
      <c r="B16" s="518" t="s">
        <v>2345</v>
      </c>
      <c r="C16" s="518">
        <v>15</v>
      </c>
      <c r="D16" s="544" t="s">
        <v>2413</v>
      </c>
      <c r="E16" s="527" t="s">
        <v>2332</v>
      </c>
      <c r="F16" s="527">
        <v>14</v>
      </c>
      <c r="G16" s="546" t="s">
        <v>2414</v>
      </c>
      <c r="H16" s="529"/>
      <c r="I16" s="529"/>
      <c r="J16" s="529"/>
      <c r="K16" s="518"/>
    </row>
    <row r="17" spans="1:11">
      <c r="A17" s="517" t="s">
        <v>2390</v>
      </c>
      <c r="B17" s="518" t="s">
        <v>2345</v>
      </c>
      <c r="C17" s="518">
        <v>16</v>
      </c>
      <c r="D17" s="526" t="s">
        <v>2415</v>
      </c>
      <c r="E17" s="527" t="s">
        <v>2338</v>
      </c>
      <c r="F17" s="527">
        <v>13</v>
      </c>
      <c r="G17" s="546" t="s">
        <v>2416</v>
      </c>
      <c r="H17" s="529"/>
      <c r="I17" s="529"/>
      <c r="J17" s="529"/>
      <c r="K17" s="518"/>
    </row>
    <row r="18" spans="1:11">
      <c r="A18" s="517" t="s">
        <v>2390</v>
      </c>
      <c r="B18" s="518" t="s">
        <v>2345</v>
      </c>
      <c r="C18" s="518">
        <v>17</v>
      </c>
      <c r="D18" s="526" t="s">
        <v>2417</v>
      </c>
      <c r="E18" s="527" t="s">
        <v>2338</v>
      </c>
      <c r="F18" s="527">
        <v>13</v>
      </c>
      <c r="G18" s="546" t="s">
        <v>2418</v>
      </c>
      <c r="H18" s="529"/>
      <c r="K18" s="547"/>
    </row>
    <row r="19" spans="1:11">
      <c r="A19" s="518" t="s">
        <v>2390</v>
      </c>
      <c r="B19" s="518" t="s">
        <v>2345</v>
      </c>
      <c r="C19" s="518">
        <v>18</v>
      </c>
      <c r="D19" s="526" t="s">
        <v>2419</v>
      </c>
      <c r="E19" s="527" t="s">
        <v>2338</v>
      </c>
      <c r="F19" s="527">
        <v>1</v>
      </c>
      <c r="G19" s="546" t="s">
        <v>2420</v>
      </c>
      <c r="H19" s="529"/>
    </row>
    <row r="20" spans="1:11">
      <c r="A20" s="517" t="s">
        <v>2390</v>
      </c>
      <c r="B20" s="518" t="s">
        <v>2345</v>
      </c>
      <c r="C20" s="518">
        <v>19</v>
      </c>
      <c r="D20" s="526" t="s">
        <v>2421</v>
      </c>
      <c r="E20" s="527" t="s">
        <v>2332</v>
      </c>
      <c r="F20" s="527">
        <v>8</v>
      </c>
      <c r="G20" s="546" t="s">
        <v>2422</v>
      </c>
      <c r="H20" s="529"/>
    </row>
    <row r="21" spans="1:11">
      <c r="A21" s="517" t="s">
        <v>2390</v>
      </c>
      <c r="B21" s="518" t="s">
        <v>2345</v>
      </c>
      <c r="C21" s="518">
        <v>20</v>
      </c>
      <c r="D21" s="526" t="s">
        <v>2423</v>
      </c>
      <c r="E21" s="527" t="s">
        <v>2338</v>
      </c>
      <c r="F21" s="527">
        <v>13</v>
      </c>
      <c r="G21" s="546" t="s">
        <v>2424</v>
      </c>
      <c r="H21" s="529"/>
    </row>
    <row r="22" spans="1:11">
      <c r="A22" s="518" t="s">
        <v>2390</v>
      </c>
      <c r="B22" s="518" t="s">
        <v>2345</v>
      </c>
      <c r="C22" s="518">
        <v>21</v>
      </c>
      <c r="D22" s="526" t="s">
        <v>2425</v>
      </c>
      <c r="E22" s="527" t="s">
        <v>2338</v>
      </c>
      <c r="F22" s="527">
        <v>2</v>
      </c>
      <c r="G22" s="546" t="s">
        <v>417</v>
      </c>
      <c r="H22" s="529"/>
    </row>
    <row r="23" spans="1:11">
      <c r="A23" s="517" t="s">
        <v>2390</v>
      </c>
      <c r="B23" s="518" t="s">
        <v>2345</v>
      </c>
      <c r="C23" s="518">
        <v>22</v>
      </c>
      <c r="D23" s="526" t="s">
        <v>2426</v>
      </c>
      <c r="E23" s="527" t="s">
        <v>2332</v>
      </c>
      <c r="F23" s="527">
        <v>26</v>
      </c>
      <c r="G23" s="546" t="s">
        <v>2427</v>
      </c>
      <c r="H23" s="529"/>
    </row>
    <row r="24" spans="1:11">
      <c r="A24" s="517" t="s">
        <v>2390</v>
      </c>
      <c r="B24" s="518" t="s">
        <v>2345</v>
      </c>
      <c r="C24" s="518">
        <v>23</v>
      </c>
      <c r="D24" s="526" t="s">
        <v>2428</v>
      </c>
      <c r="E24" s="527" t="s">
        <v>2338</v>
      </c>
      <c r="F24" s="527">
        <v>13</v>
      </c>
      <c r="G24" s="546" t="s">
        <v>1647</v>
      </c>
      <c r="H24" s="529"/>
    </row>
    <row r="25" spans="1:11">
      <c r="A25" s="518" t="s">
        <v>2390</v>
      </c>
      <c r="B25" s="518" t="s">
        <v>2345</v>
      </c>
      <c r="C25" s="518">
        <v>24</v>
      </c>
      <c r="D25" s="526" t="s">
        <v>2429</v>
      </c>
      <c r="E25" s="527" t="s">
        <v>2338</v>
      </c>
      <c r="F25" s="527">
        <v>13</v>
      </c>
      <c r="G25" s="546" t="s">
        <v>2430</v>
      </c>
      <c r="H25" s="529"/>
    </row>
    <row r="26" spans="1:11">
      <c r="A26" s="517" t="s">
        <v>2390</v>
      </c>
      <c r="B26" s="518" t="s">
        <v>2345</v>
      </c>
      <c r="C26" s="518">
        <v>25</v>
      </c>
      <c r="D26" s="526" t="s">
        <v>2431</v>
      </c>
      <c r="E26" s="527" t="s">
        <v>2338</v>
      </c>
      <c r="F26" s="527">
        <v>13</v>
      </c>
      <c r="G26" s="546" t="s">
        <v>2432</v>
      </c>
      <c r="H26" s="529"/>
    </row>
    <row r="27" spans="1:11">
      <c r="A27" s="517" t="s">
        <v>2390</v>
      </c>
      <c r="B27" s="518" t="s">
        <v>2345</v>
      </c>
      <c r="C27" s="518">
        <v>26</v>
      </c>
      <c r="D27" s="526" t="s">
        <v>2433</v>
      </c>
      <c r="E27" s="527" t="s">
        <v>2338</v>
      </c>
      <c r="F27" s="527">
        <v>13</v>
      </c>
      <c r="G27" s="546" t="s">
        <v>2434</v>
      </c>
      <c r="H27" s="529"/>
    </row>
    <row r="28" spans="1:11">
      <c r="A28" s="518" t="s">
        <v>2390</v>
      </c>
      <c r="B28" s="518" t="s">
        <v>2345</v>
      </c>
      <c r="C28" s="518">
        <v>27</v>
      </c>
      <c r="D28" s="526" t="s">
        <v>2435</v>
      </c>
      <c r="E28" s="527" t="s">
        <v>2338</v>
      </c>
      <c r="F28" s="527">
        <v>13</v>
      </c>
      <c r="G28" s="546" t="s">
        <v>2436</v>
      </c>
      <c r="H28" s="529"/>
    </row>
    <row r="29" spans="1:11">
      <c r="A29" s="517" t="s">
        <v>2390</v>
      </c>
      <c r="B29" s="518" t="s">
        <v>2345</v>
      </c>
      <c r="C29" s="518">
        <v>28</v>
      </c>
      <c r="D29" s="526" t="s">
        <v>2437</v>
      </c>
      <c r="E29" s="527" t="s">
        <v>2338</v>
      </c>
      <c r="F29" s="527">
        <v>13</v>
      </c>
      <c r="G29" s="546" t="s">
        <v>2438</v>
      </c>
      <c r="H29" s="529"/>
    </row>
    <row r="30" spans="1:11">
      <c r="A30" s="517" t="s">
        <v>2390</v>
      </c>
      <c r="B30" s="518" t="s">
        <v>2345</v>
      </c>
      <c r="C30" s="518">
        <v>29</v>
      </c>
      <c r="D30" s="526" t="s">
        <v>2439</v>
      </c>
      <c r="E30" s="527" t="s">
        <v>2338</v>
      </c>
      <c r="F30" s="527">
        <v>13</v>
      </c>
      <c r="G30" s="546" t="s">
        <v>2440</v>
      </c>
      <c r="H30" s="529"/>
    </row>
    <row r="31" spans="1:11">
      <c r="A31" s="518" t="s">
        <v>2390</v>
      </c>
      <c r="B31" s="518" t="s">
        <v>2345</v>
      </c>
      <c r="C31" s="518">
        <v>30</v>
      </c>
      <c r="D31" s="526" t="s">
        <v>2441</v>
      </c>
      <c r="E31" s="527" t="s">
        <v>2338</v>
      </c>
      <c r="F31" s="527">
        <v>13</v>
      </c>
      <c r="G31" s="546" t="s">
        <v>2442</v>
      </c>
      <c r="H31" s="529"/>
    </row>
    <row r="32" spans="1:11">
      <c r="A32" s="517" t="s">
        <v>2390</v>
      </c>
      <c r="B32" s="518" t="s">
        <v>2345</v>
      </c>
      <c r="C32" s="518">
        <v>31</v>
      </c>
      <c r="D32" s="526" t="s">
        <v>2443</v>
      </c>
      <c r="E32" s="527" t="s">
        <v>2338</v>
      </c>
      <c r="F32" s="527">
        <v>13</v>
      </c>
      <c r="G32" s="546" t="s">
        <v>2444</v>
      </c>
      <c r="H32" s="529"/>
    </row>
    <row r="33" spans="1:8">
      <c r="A33" s="518" t="s">
        <v>2390</v>
      </c>
      <c r="B33" s="518" t="s">
        <v>2345</v>
      </c>
      <c r="C33" s="518">
        <v>32</v>
      </c>
      <c r="D33" s="526" t="s">
        <v>2445</v>
      </c>
      <c r="E33" s="527" t="s">
        <v>2338</v>
      </c>
      <c r="F33" s="527">
        <v>8</v>
      </c>
      <c r="G33" s="546" t="s">
        <v>378</v>
      </c>
      <c r="H33" s="529"/>
    </row>
    <row r="34" spans="1:8">
      <c r="A34" s="517" t="s">
        <v>2390</v>
      </c>
      <c r="B34" s="518" t="s">
        <v>2345</v>
      </c>
      <c r="C34" s="518">
        <v>33</v>
      </c>
      <c r="D34" s="526" t="s">
        <v>2446</v>
      </c>
      <c r="E34" s="527" t="s">
        <v>2338</v>
      </c>
      <c r="F34" s="527">
        <v>8</v>
      </c>
      <c r="G34" s="546" t="s">
        <v>2447</v>
      </c>
      <c r="H34" s="529"/>
    </row>
    <row r="35" spans="1:8">
      <c r="A35" s="517" t="s">
        <v>2390</v>
      </c>
      <c r="B35" s="518" t="s">
        <v>2345</v>
      </c>
      <c r="C35" s="518">
        <v>34</v>
      </c>
      <c r="D35" s="526" t="s">
        <v>2448</v>
      </c>
      <c r="E35" s="527" t="s">
        <v>2338</v>
      </c>
      <c r="F35" s="527">
        <v>13</v>
      </c>
      <c r="G35" s="546" t="s">
        <v>2449</v>
      </c>
      <c r="H35" s="529"/>
    </row>
    <row r="36" spans="1:8">
      <c r="A36" s="518" t="s">
        <v>2390</v>
      </c>
      <c r="B36" s="518" t="s">
        <v>2345</v>
      </c>
      <c r="C36" s="518">
        <v>35</v>
      </c>
      <c r="D36" s="526" t="s">
        <v>2450</v>
      </c>
      <c r="E36" s="527" t="s">
        <v>2338</v>
      </c>
      <c r="F36" s="527">
        <v>8</v>
      </c>
      <c r="G36" s="546" t="s">
        <v>2451</v>
      </c>
      <c r="H36" s="529"/>
    </row>
    <row r="37" spans="1:8">
      <c r="A37" s="517" t="s">
        <v>2390</v>
      </c>
      <c r="B37" s="518" t="s">
        <v>2345</v>
      </c>
      <c r="C37" s="518">
        <v>36</v>
      </c>
      <c r="D37" s="526" t="s">
        <v>2452</v>
      </c>
      <c r="E37" s="527" t="s">
        <v>2332</v>
      </c>
      <c r="F37" s="527">
        <v>13</v>
      </c>
      <c r="G37" s="546" t="s">
        <v>2453</v>
      </c>
      <c r="H37" s="529"/>
    </row>
    <row r="38" spans="1:8">
      <c r="A38" s="517" t="s">
        <v>2390</v>
      </c>
      <c r="B38" s="518" t="s">
        <v>2345</v>
      </c>
      <c r="C38" s="518">
        <v>37</v>
      </c>
      <c r="D38" s="526" t="s">
        <v>2454</v>
      </c>
      <c r="E38" s="527" t="s">
        <v>2332</v>
      </c>
      <c r="F38" s="527">
        <v>12</v>
      </c>
      <c r="G38" s="546" t="s">
        <v>2455</v>
      </c>
      <c r="H38" s="529"/>
    </row>
    <row r="39" spans="1:8">
      <c r="A39" s="518" t="s">
        <v>2390</v>
      </c>
      <c r="B39" s="518" t="s">
        <v>2345</v>
      </c>
      <c r="C39" s="518">
        <v>38</v>
      </c>
      <c r="D39" s="526" t="s">
        <v>2456</v>
      </c>
      <c r="E39" s="527" t="s">
        <v>2332</v>
      </c>
      <c r="F39" s="527">
        <v>14</v>
      </c>
      <c r="G39" s="546" t="s">
        <v>2457</v>
      </c>
      <c r="H39" s="529"/>
    </row>
    <row r="40" spans="1:8">
      <c r="A40" s="517" t="s">
        <v>2390</v>
      </c>
      <c r="B40" s="518" t="s">
        <v>2345</v>
      </c>
      <c r="C40" s="518">
        <v>39</v>
      </c>
      <c r="D40" s="526" t="s">
        <v>2458</v>
      </c>
      <c r="E40" s="527" t="s">
        <v>2332</v>
      </c>
      <c r="F40" s="527">
        <v>14</v>
      </c>
      <c r="G40" s="546" t="s">
        <v>2459</v>
      </c>
      <c r="H40" s="529"/>
    </row>
    <row r="41" spans="1:8">
      <c r="A41" s="517" t="s">
        <v>2390</v>
      </c>
      <c r="B41" s="518" t="s">
        <v>2345</v>
      </c>
      <c r="C41" s="518">
        <v>40</v>
      </c>
      <c r="D41" s="526" t="s">
        <v>2460</v>
      </c>
      <c r="E41" s="527" t="s">
        <v>2332</v>
      </c>
      <c r="F41" s="527">
        <v>14</v>
      </c>
      <c r="G41" s="546" t="s">
        <v>2461</v>
      </c>
      <c r="H41" s="529"/>
    </row>
    <row r="42" spans="1:8">
      <c r="A42" s="518" t="s">
        <v>2390</v>
      </c>
      <c r="B42" s="518" t="s">
        <v>2345</v>
      </c>
      <c r="C42" s="518">
        <v>41</v>
      </c>
      <c r="D42" s="526" t="s">
        <v>2462</v>
      </c>
      <c r="E42" s="527" t="s">
        <v>2332</v>
      </c>
      <c r="F42" s="527">
        <v>14</v>
      </c>
      <c r="G42" s="546" t="s">
        <v>2463</v>
      </c>
      <c r="H42" s="529"/>
    </row>
    <row r="43" spans="1:8">
      <c r="A43" s="517" t="s">
        <v>2390</v>
      </c>
      <c r="B43" s="518" t="s">
        <v>2345</v>
      </c>
      <c r="C43" s="518">
        <v>42</v>
      </c>
      <c r="D43" s="526" t="s">
        <v>2464</v>
      </c>
      <c r="E43" s="527" t="s">
        <v>2332</v>
      </c>
      <c r="F43" s="527">
        <v>13</v>
      </c>
      <c r="G43" s="546" t="s">
        <v>2465</v>
      </c>
      <c r="H43" s="529"/>
    </row>
    <row r="44" spans="1:8">
      <c r="A44" s="517" t="s">
        <v>2390</v>
      </c>
      <c r="B44" s="518" t="s">
        <v>2345</v>
      </c>
      <c r="C44" s="518">
        <v>43</v>
      </c>
      <c r="D44" s="526" t="s">
        <v>2466</v>
      </c>
      <c r="E44" s="527" t="s">
        <v>2338</v>
      </c>
      <c r="F44" s="527">
        <v>13</v>
      </c>
      <c r="G44" s="546" t="s">
        <v>2467</v>
      </c>
      <c r="H44" s="529"/>
    </row>
    <row r="45" spans="1:8">
      <c r="A45" s="518" t="s">
        <v>2390</v>
      </c>
      <c r="B45" s="518" t="s">
        <v>2345</v>
      </c>
      <c r="C45" s="518">
        <v>44</v>
      </c>
      <c r="D45" s="526" t="s">
        <v>2468</v>
      </c>
      <c r="E45" s="527" t="s">
        <v>2338</v>
      </c>
      <c r="F45" s="527">
        <v>13</v>
      </c>
      <c r="G45" s="546" t="s">
        <v>2469</v>
      </c>
      <c r="H45" s="529"/>
    </row>
    <row r="46" spans="1:8">
      <c r="A46" s="517" t="s">
        <v>2390</v>
      </c>
      <c r="B46" s="518" t="s">
        <v>2345</v>
      </c>
      <c r="C46" s="518">
        <v>45</v>
      </c>
      <c r="D46" s="526" t="s">
        <v>2470</v>
      </c>
      <c r="E46" s="527" t="s">
        <v>2338</v>
      </c>
      <c r="F46" s="527">
        <v>3</v>
      </c>
      <c r="G46" s="546" t="s">
        <v>2471</v>
      </c>
      <c r="H46" s="529"/>
    </row>
    <row r="47" spans="1:8">
      <c r="A47" s="517" t="s">
        <v>2390</v>
      </c>
      <c r="B47" s="518" t="s">
        <v>2345</v>
      </c>
      <c r="C47" s="518">
        <v>46</v>
      </c>
      <c r="D47" s="526" t="s">
        <v>2472</v>
      </c>
      <c r="E47" s="527" t="s">
        <v>2338</v>
      </c>
      <c r="F47" s="527">
        <v>12</v>
      </c>
      <c r="G47" s="546" t="s">
        <v>2473</v>
      </c>
      <c r="H47" s="529"/>
    </row>
  </sheetData>
  <pageMargins left="0.7" right="0.7" top="0.75" bottom="0.75" header="0.3" footer="0.3"/>
  <pageSetup paperSize="9" orientation="portrait" horizontalDpi="300" verticalDpi="300" r:id="rId1"/>
  <headerFooter>
    <oddHeader>&amp;L&amp;"Arial"&amp;9&amp;K0078D7 INTERNAL&amp;1#_x000D_</oddHeader>
  </headerFooter>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052A-D69C-430A-B53B-C8328FF88B28}">
  <sheetPr codeName="Sheet33"/>
  <dimension ref="A1:L29"/>
  <sheetViews>
    <sheetView zoomScale="115" zoomScaleNormal="115" workbookViewId="0">
      <selection activeCell="G8" sqref="G8"/>
    </sheetView>
  </sheetViews>
  <sheetFormatPr defaultColWidth="22.81640625" defaultRowHeight="23.15" customHeight="1"/>
  <cols>
    <col min="1" max="1" width="17.81640625" style="568" bestFit="1" customWidth="1"/>
    <col min="2" max="2" width="15.54296875" style="568" bestFit="1" customWidth="1"/>
    <col min="3" max="3" width="12.1796875" style="568" bestFit="1" customWidth="1"/>
    <col min="4" max="4" width="16.81640625" style="568" bestFit="1" customWidth="1"/>
    <col min="5" max="5" width="12.1796875" style="568" bestFit="1" customWidth="1"/>
    <col min="6" max="6" width="9.1796875" style="568" bestFit="1" customWidth="1"/>
    <col min="7" max="7" width="44.81640625" style="568" customWidth="1"/>
    <col min="8" max="10" width="22.81640625" style="569" customWidth="1"/>
    <col min="11" max="11" width="22.81640625" style="570" customWidth="1"/>
    <col min="12" max="12" width="22.81640625" style="568" customWidth="1"/>
    <col min="13" max="16384" width="22.81640625" style="568"/>
  </cols>
  <sheetData>
    <row r="1" spans="1:12" s="503" customFormat="1" ht="23.15" customHeight="1">
      <c r="A1" s="500" t="s">
        <v>2474</v>
      </c>
      <c r="B1" s="500" t="s">
        <v>2207</v>
      </c>
      <c r="C1" s="553" t="s">
        <v>2475</v>
      </c>
      <c r="D1" s="500" t="s">
        <v>2209</v>
      </c>
      <c r="E1" s="500" t="s">
        <v>2210</v>
      </c>
      <c r="F1" s="500" t="s">
        <v>2211</v>
      </c>
      <c r="G1" s="500" t="s">
        <v>2212</v>
      </c>
      <c r="H1" s="502" t="s">
        <v>2213</v>
      </c>
      <c r="I1" s="502" t="s">
        <v>2214</v>
      </c>
      <c r="J1" s="502" t="s">
        <v>2215</v>
      </c>
      <c r="K1" s="554" t="s">
        <v>2216</v>
      </c>
    </row>
    <row r="2" spans="1:12" s="503" customFormat="1" ht="42" customHeight="1">
      <c r="A2" s="505" t="s">
        <v>2476</v>
      </c>
      <c r="B2" s="505" t="s">
        <v>2229</v>
      </c>
      <c r="C2" s="505">
        <v>1</v>
      </c>
      <c r="D2" s="504" t="s">
        <v>2477</v>
      </c>
      <c r="E2" s="505" t="s">
        <v>2478</v>
      </c>
      <c r="F2" s="505">
        <v>5</v>
      </c>
      <c r="G2" s="504" t="s">
        <v>2479</v>
      </c>
      <c r="H2" s="555" t="s">
        <v>2480</v>
      </c>
      <c r="I2" s="555"/>
      <c r="J2" s="555"/>
      <c r="K2" s="504" t="s">
        <v>2481</v>
      </c>
    </row>
    <row r="3" spans="1:12" s="503" customFormat="1" ht="31.5" customHeight="1">
      <c r="A3" s="505" t="s">
        <v>2476</v>
      </c>
      <c r="B3" s="505" t="s">
        <v>2229</v>
      </c>
      <c r="C3" s="505">
        <f>IF(B3="input", C2+1)</f>
        <v>2</v>
      </c>
      <c r="D3" s="556" t="s">
        <v>2482</v>
      </c>
      <c r="E3" s="505" t="s">
        <v>2478</v>
      </c>
      <c r="F3" s="505">
        <v>9</v>
      </c>
      <c r="G3" s="557" t="s">
        <v>2483</v>
      </c>
      <c r="H3" s="558" t="s">
        <v>2484</v>
      </c>
      <c r="I3" s="558"/>
      <c r="J3" s="558"/>
      <c r="K3" s="504" t="s">
        <v>2481</v>
      </c>
    </row>
    <row r="4" spans="1:12" s="503" customFormat="1" ht="42" customHeight="1">
      <c r="A4" s="505" t="s">
        <v>2476</v>
      </c>
      <c r="B4" s="505" t="s">
        <v>2485</v>
      </c>
      <c r="C4" s="505">
        <v>1</v>
      </c>
      <c r="D4" s="504" t="s">
        <v>2337</v>
      </c>
      <c r="E4" s="505" t="s">
        <v>2478</v>
      </c>
      <c r="F4" s="505">
        <v>2</v>
      </c>
      <c r="G4" s="504" t="s">
        <v>2486</v>
      </c>
      <c r="H4" s="559" t="s">
        <v>2487</v>
      </c>
      <c r="I4" s="559"/>
      <c r="J4" s="559"/>
      <c r="K4" s="504"/>
    </row>
    <row r="5" spans="1:12" s="503" customFormat="1" ht="31.5" customHeight="1">
      <c r="A5" s="505" t="s">
        <v>2476</v>
      </c>
      <c r="B5" s="505" t="s">
        <v>2485</v>
      </c>
      <c r="C5" s="505">
        <f>IF(B5="output", C4+1)</f>
        <v>2</v>
      </c>
      <c r="D5" s="504" t="s">
        <v>2340</v>
      </c>
      <c r="E5" s="505" t="s">
        <v>2226</v>
      </c>
      <c r="F5" s="505">
        <v>80</v>
      </c>
      <c r="G5" s="504" t="s">
        <v>2488</v>
      </c>
      <c r="H5" s="555" t="s">
        <v>2489</v>
      </c>
      <c r="I5" s="555"/>
      <c r="J5" s="555"/>
      <c r="K5" s="504"/>
      <c r="L5" s="560"/>
    </row>
    <row r="6" spans="1:12" s="503" customFormat="1" ht="94.5" customHeight="1">
      <c r="A6" s="505" t="s">
        <v>2476</v>
      </c>
      <c r="B6" s="505" t="s">
        <v>2485</v>
      </c>
      <c r="C6" s="505">
        <f>IF(B6="output", C5+1)</f>
        <v>3</v>
      </c>
      <c r="D6" s="504" t="s">
        <v>2490</v>
      </c>
      <c r="E6" s="505" t="s">
        <v>2478</v>
      </c>
      <c r="F6" s="505">
        <v>5</v>
      </c>
      <c r="G6" s="504" t="s">
        <v>2491</v>
      </c>
      <c r="H6" s="555" t="s">
        <v>2492</v>
      </c>
      <c r="I6" s="555" t="s">
        <v>2493</v>
      </c>
      <c r="J6" s="555" t="s">
        <v>2494</v>
      </c>
      <c r="K6" s="504" t="s">
        <v>2495</v>
      </c>
    </row>
    <row r="7" spans="1:12" s="503" customFormat="1" ht="94.5" customHeight="1">
      <c r="A7" s="561" t="s">
        <v>2476</v>
      </c>
      <c r="B7" s="561" t="s">
        <v>2218</v>
      </c>
      <c r="C7" s="561">
        <v>3.1</v>
      </c>
      <c r="D7" s="562" t="s">
        <v>2490</v>
      </c>
      <c r="E7" s="561" t="s">
        <v>2478</v>
      </c>
      <c r="F7" s="561">
        <v>5</v>
      </c>
      <c r="G7" s="562" t="s">
        <v>2491</v>
      </c>
      <c r="H7" s="563" t="s">
        <v>2492</v>
      </c>
      <c r="I7" s="563" t="s">
        <v>2496</v>
      </c>
      <c r="J7" s="563" t="s">
        <v>2494</v>
      </c>
      <c r="K7" s="562" t="s">
        <v>2495</v>
      </c>
    </row>
    <row r="8" spans="1:12" s="503" customFormat="1" ht="94.5" customHeight="1">
      <c r="A8" s="505" t="s">
        <v>2476</v>
      </c>
      <c r="B8" s="505" t="s">
        <v>2485</v>
      </c>
      <c r="C8" s="505">
        <f>IF(B8="output", C6+1)</f>
        <v>4</v>
      </c>
      <c r="D8" s="556" t="s">
        <v>2497</v>
      </c>
      <c r="E8" s="505" t="s">
        <v>2478</v>
      </c>
      <c r="F8" s="505">
        <v>9</v>
      </c>
      <c r="G8" s="504" t="s">
        <v>2498</v>
      </c>
      <c r="H8" s="558" t="s">
        <v>2499</v>
      </c>
      <c r="I8" s="555" t="s">
        <v>2493</v>
      </c>
      <c r="J8" s="558" t="s">
        <v>2500</v>
      </c>
      <c r="K8" s="504" t="s">
        <v>2495</v>
      </c>
    </row>
    <row r="9" spans="1:12" s="503" customFormat="1" ht="94.5" customHeight="1">
      <c r="A9" s="561" t="s">
        <v>2476</v>
      </c>
      <c r="B9" s="561" t="s">
        <v>2218</v>
      </c>
      <c r="C9" s="561">
        <v>4.0999999999999996</v>
      </c>
      <c r="D9" s="564" t="s">
        <v>2497</v>
      </c>
      <c r="E9" s="561" t="s">
        <v>2478</v>
      </c>
      <c r="F9" s="561">
        <v>9</v>
      </c>
      <c r="G9" s="562" t="s">
        <v>2498</v>
      </c>
      <c r="H9" s="565" t="s">
        <v>2499</v>
      </c>
      <c r="I9" s="563" t="s">
        <v>2496</v>
      </c>
      <c r="J9" s="565" t="s">
        <v>2501</v>
      </c>
      <c r="K9" s="562" t="s">
        <v>2495</v>
      </c>
    </row>
    <row r="10" spans="1:12" s="503" customFormat="1" ht="31.5" customHeight="1">
      <c r="A10" s="505" t="s">
        <v>2476</v>
      </c>
      <c r="B10" s="505" t="s">
        <v>2485</v>
      </c>
      <c r="C10" s="505">
        <f>IF(B10="output", C8+1)</f>
        <v>5</v>
      </c>
      <c r="D10" s="504" t="s">
        <v>2502</v>
      </c>
      <c r="E10" s="505" t="s">
        <v>2503</v>
      </c>
      <c r="F10" s="505" t="s">
        <v>2504</v>
      </c>
      <c r="G10" s="504" t="s">
        <v>2505</v>
      </c>
      <c r="H10" s="555" t="s">
        <v>2506</v>
      </c>
      <c r="I10" s="555" t="s">
        <v>2493</v>
      </c>
      <c r="J10" s="555" t="s">
        <v>2507</v>
      </c>
      <c r="K10" s="504"/>
    </row>
    <row r="11" spans="1:12" s="503" customFormat="1" ht="31.5" customHeight="1">
      <c r="A11" s="561" t="s">
        <v>2476</v>
      </c>
      <c r="B11" s="561" t="s">
        <v>2218</v>
      </c>
      <c r="C11" s="561">
        <v>5.0999999999999996</v>
      </c>
      <c r="D11" s="562" t="s">
        <v>2502</v>
      </c>
      <c r="E11" s="561" t="s">
        <v>2503</v>
      </c>
      <c r="F11" s="561" t="s">
        <v>2504</v>
      </c>
      <c r="G11" s="562" t="s">
        <v>2505</v>
      </c>
      <c r="H11" s="563" t="s">
        <v>2506</v>
      </c>
      <c r="I11" s="563" t="s">
        <v>2496</v>
      </c>
      <c r="J11" s="563" t="s">
        <v>2507</v>
      </c>
      <c r="K11" s="504"/>
    </row>
    <row r="12" spans="1:12" s="503" customFormat="1" ht="31.5" customHeight="1">
      <c r="A12" s="505" t="s">
        <v>2476</v>
      </c>
      <c r="B12" s="505" t="s">
        <v>2485</v>
      </c>
      <c r="C12" s="505">
        <f>IF(B12="output", C10+1)</f>
        <v>6</v>
      </c>
      <c r="D12" s="504" t="s">
        <v>2508</v>
      </c>
      <c r="E12" s="505" t="s">
        <v>2478</v>
      </c>
      <c r="F12" s="505">
        <v>8</v>
      </c>
      <c r="G12" s="504" t="s">
        <v>2509</v>
      </c>
      <c r="H12" s="558" t="s">
        <v>2510</v>
      </c>
      <c r="I12" s="555" t="s">
        <v>2493</v>
      </c>
      <c r="J12" s="558" t="s">
        <v>623</v>
      </c>
      <c r="K12" s="504"/>
    </row>
    <row r="13" spans="1:12" s="503" customFormat="1" ht="31.5" customHeight="1">
      <c r="A13" s="561" t="s">
        <v>2476</v>
      </c>
      <c r="B13" s="561" t="s">
        <v>2218</v>
      </c>
      <c r="C13" s="561">
        <v>6.1</v>
      </c>
      <c r="D13" s="562" t="s">
        <v>2508</v>
      </c>
      <c r="E13" s="561" t="s">
        <v>2478</v>
      </c>
      <c r="F13" s="561">
        <v>8</v>
      </c>
      <c r="G13" s="562" t="s">
        <v>2509</v>
      </c>
      <c r="H13" s="565" t="s">
        <v>2510</v>
      </c>
      <c r="I13" s="563" t="s">
        <v>2496</v>
      </c>
      <c r="J13" s="565" t="s">
        <v>623</v>
      </c>
      <c r="K13" s="504"/>
    </row>
    <row r="14" spans="1:12" s="503" customFormat="1" ht="52.5" customHeight="1">
      <c r="A14" s="505" t="s">
        <v>2476</v>
      </c>
      <c r="B14" s="505" t="s">
        <v>2485</v>
      </c>
      <c r="C14" s="505">
        <f t="shared" ref="C14:C20" si="0">IF(B14="output", C12+1)</f>
        <v>7</v>
      </c>
      <c r="D14" s="504" t="s">
        <v>2511</v>
      </c>
      <c r="E14" s="505" t="s">
        <v>2226</v>
      </c>
      <c r="F14" s="505">
        <v>1</v>
      </c>
      <c r="G14" s="504" t="s">
        <v>2512</v>
      </c>
      <c r="H14" s="555" t="s">
        <v>2232</v>
      </c>
      <c r="I14" s="555" t="s">
        <v>2493</v>
      </c>
      <c r="J14" s="555" t="s">
        <v>606</v>
      </c>
      <c r="K14" s="504"/>
    </row>
    <row r="15" spans="1:12" s="503" customFormat="1" ht="52.5" customHeight="1">
      <c r="A15" s="561" t="s">
        <v>2476</v>
      </c>
      <c r="B15" s="561" t="s">
        <v>2218</v>
      </c>
      <c r="C15" s="561">
        <f t="shared" si="0"/>
        <v>7.1</v>
      </c>
      <c r="D15" s="562" t="s">
        <v>2511</v>
      </c>
      <c r="E15" s="561" t="s">
        <v>2226</v>
      </c>
      <c r="F15" s="561">
        <v>1</v>
      </c>
      <c r="G15" s="562" t="s">
        <v>2512</v>
      </c>
      <c r="H15" s="563" t="s">
        <v>2232</v>
      </c>
      <c r="I15" s="563" t="s">
        <v>2496</v>
      </c>
      <c r="J15" s="563" t="s">
        <v>606</v>
      </c>
      <c r="K15" s="504"/>
    </row>
    <row r="16" spans="1:12" s="503" customFormat="1" ht="73.5" customHeight="1">
      <c r="A16" s="505" t="s">
        <v>2476</v>
      </c>
      <c r="B16" s="505" t="s">
        <v>2485</v>
      </c>
      <c r="C16" s="505">
        <f t="shared" si="0"/>
        <v>8</v>
      </c>
      <c r="D16" s="504" t="s">
        <v>2513</v>
      </c>
      <c r="E16" s="505" t="s">
        <v>2226</v>
      </c>
      <c r="F16" s="505">
        <v>1</v>
      </c>
      <c r="G16" s="566" t="s">
        <v>2514</v>
      </c>
      <c r="H16" s="558" t="s">
        <v>2515</v>
      </c>
      <c r="I16" s="555" t="s">
        <v>2493</v>
      </c>
      <c r="J16" s="558" t="s">
        <v>649</v>
      </c>
      <c r="K16" s="504"/>
    </row>
    <row r="17" spans="1:11" s="503" customFormat="1" ht="73.5" customHeight="1">
      <c r="A17" s="561" t="s">
        <v>2476</v>
      </c>
      <c r="B17" s="561" t="s">
        <v>2218</v>
      </c>
      <c r="C17" s="561">
        <f t="shared" si="0"/>
        <v>8.1</v>
      </c>
      <c r="D17" s="562" t="s">
        <v>2513</v>
      </c>
      <c r="E17" s="561" t="s">
        <v>2226</v>
      </c>
      <c r="F17" s="561">
        <v>1</v>
      </c>
      <c r="G17" s="567" t="s">
        <v>2514</v>
      </c>
      <c r="H17" s="565" t="s">
        <v>2515</v>
      </c>
      <c r="I17" s="563" t="s">
        <v>2496</v>
      </c>
      <c r="J17" s="565" t="s">
        <v>649</v>
      </c>
      <c r="K17" s="504"/>
    </row>
    <row r="18" spans="1:11" s="503" customFormat="1" ht="31.5" customHeight="1">
      <c r="A18" s="505" t="s">
        <v>2476</v>
      </c>
      <c r="B18" s="505" t="s">
        <v>2485</v>
      </c>
      <c r="C18" s="505">
        <f t="shared" si="0"/>
        <v>9</v>
      </c>
      <c r="D18" s="504" t="s">
        <v>2516</v>
      </c>
      <c r="E18" s="505" t="s">
        <v>2478</v>
      </c>
      <c r="F18" s="505">
        <v>8</v>
      </c>
      <c r="G18" s="504" t="s">
        <v>2517</v>
      </c>
      <c r="H18" s="555" t="s">
        <v>2253</v>
      </c>
      <c r="I18" s="555" t="s">
        <v>2493</v>
      </c>
      <c r="J18" s="555" t="s">
        <v>611</v>
      </c>
      <c r="K18" s="504" t="s">
        <v>2518</v>
      </c>
    </row>
    <row r="19" spans="1:11" s="503" customFormat="1" ht="31.5" customHeight="1">
      <c r="A19" s="561" t="s">
        <v>2476</v>
      </c>
      <c r="B19" s="561" t="s">
        <v>2218</v>
      </c>
      <c r="C19" s="561">
        <f t="shared" si="0"/>
        <v>9.1</v>
      </c>
      <c r="D19" s="562" t="s">
        <v>2516</v>
      </c>
      <c r="E19" s="561" t="s">
        <v>2478</v>
      </c>
      <c r="F19" s="561">
        <v>8</v>
      </c>
      <c r="G19" s="562" t="s">
        <v>2517</v>
      </c>
      <c r="H19" s="563" t="s">
        <v>2253</v>
      </c>
      <c r="I19" s="563" t="s">
        <v>2496</v>
      </c>
      <c r="J19" s="563" t="s">
        <v>611</v>
      </c>
      <c r="K19" s="562" t="s">
        <v>2518</v>
      </c>
    </row>
    <row r="20" spans="1:11" s="503" customFormat="1" ht="31.5" customHeight="1">
      <c r="A20" s="505" t="s">
        <v>2476</v>
      </c>
      <c r="B20" s="505" t="s">
        <v>2485</v>
      </c>
      <c r="C20" s="505">
        <f t="shared" si="0"/>
        <v>10</v>
      </c>
      <c r="D20" s="504" t="s">
        <v>2519</v>
      </c>
      <c r="E20" s="505" t="s">
        <v>2478</v>
      </c>
      <c r="F20" s="505">
        <v>2</v>
      </c>
      <c r="G20" s="504" t="s">
        <v>2520</v>
      </c>
      <c r="H20" s="558" t="s">
        <v>2521</v>
      </c>
      <c r="I20" s="558" t="s">
        <v>2522</v>
      </c>
      <c r="J20" s="558" t="s">
        <v>2523</v>
      </c>
      <c r="K20" s="504" t="s">
        <v>2524</v>
      </c>
    </row>
    <row r="21" spans="1:11" s="503" customFormat="1" ht="31.5" customHeight="1">
      <c r="A21" s="505" t="s">
        <v>2476</v>
      </c>
      <c r="B21" s="505" t="s">
        <v>2485</v>
      </c>
      <c r="C21" s="505">
        <f t="shared" ref="C21:C29" si="1">IF(B21="output", C20+1)</f>
        <v>11</v>
      </c>
      <c r="D21" s="504" t="s">
        <v>2525</v>
      </c>
      <c r="E21" s="505" t="s">
        <v>2226</v>
      </c>
      <c r="F21" s="505">
        <v>30</v>
      </c>
      <c r="G21" s="504" t="s">
        <v>2526</v>
      </c>
      <c r="H21" s="558" t="s">
        <v>2527</v>
      </c>
      <c r="I21" s="558" t="s">
        <v>2528</v>
      </c>
      <c r="J21" s="558" t="s">
        <v>2529</v>
      </c>
      <c r="K21" s="504" t="s">
        <v>2524</v>
      </c>
    </row>
    <row r="22" spans="1:11" s="503" customFormat="1" ht="31.5" customHeight="1">
      <c r="A22" s="505" t="s">
        <v>2476</v>
      </c>
      <c r="B22" s="505" t="s">
        <v>2485</v>
      </c>
      <c r="C22" s="505">
        <f t="shared" si="1"/>
        <v>12</v>
      </c>
      <c r="D22" s="504" t="s">
        <v>2530</v>
      </c>
      <c r="E22" s="505" t="s">
        <v>2478</v>
      </c>
      <c r="F22" s="505">
        <v>8</v>
      </c>
      <c r="G22" s="504" t="s">
        <v>2531</v>
      </c>
      <c r="H22" s="558" t="s">
        <v>2532</v>
      </c>
      <c r="I22" s="558" t="s">
        <v>2533</v>
      </c>
      <c r="J22" s="558" t="s">
        <v>2534</v>
      </c>
      <c r="K22" s="504" t="s">
        <v>2535</v>
      </c>
    </row>
    <row r="23" spans="1:11" s="503" customFormat="1" ht="31.5" customHeight="1">
      <c r="A23" s="505" t="s">
        <v>2476</v>
      </c>
      <c r="B23" s="505" t="s">
        <v>2485</v>
      </c>
      <c r="C23" s="505">
        <f t="shared" si="1"/>
        <v>13</v>
      </c>
      <c r="D23" s="504" t="s">
        <v>2536</v>
      </c>
      <c r="E23" s="505" t="s">
        <v>2503</v>
      </c>
      <c r="F23" s="505" t="s">
        <v>2537</v>
      </c>
      <c r="G23" s="504" t="s">
        <v>2538</v>
      </c>
      <c r="H23" s="555" t="s">
        <v>2539</v>
      </c>
      <c r="I23" s="558" t="s">
        <v>2533</v>
      </c>
      <c r="J23" s="555" t="s">
        <v>2540</v>
      </c>
      <c r="K23" s="504" t="s">
        <v>2535</v>
      </c>
    </row>
    <row r="24" spans="1:11" s="503" customFormat="1" ht="31.5" customHeight="1">
      <c r="A24" s="505" t="s">
        <v>2476</v>
      </c>
      <c r="B24" s="505" t="s">
        <v>2485</v>
      </c>
      <c r="C24" s="505">
        <f t="shared" si="1"/>
        <v>14</v>
      </c>
      <c r="D24" s="504" t="s">
        <v>2541</v>
      </c>
      <c r="E24" s="505" t="s">
        <v>2478</v>
      </c>
      <c r="F24" s="505">
        <v>8</v>
      </c>
      <c r="G24" s="504" t="s">
        <v>2542</v>
      </c>
      <c r="H24" s="558" t="s">
        <v>2532</v>
      </c>
      <c r="I24" s="558" t="s">
        <v>2533</v>
      </c>
      <c r="J24" s="558" t="s">
        <v>2543</v>
      </c>
      <c r="K24" s="504" t="s">
        <v>2535</v>
      </c>
    </row>
    <row r="25" spans="1:11" s="503" customFormat="1" ht="31.5" customHeight="1">
      <c r="A25" s="505" t="s">
        <v>2476</v>
      </c>
      <c r="B25" s="505" t="s">
        <v>2485</v>
      </c>
      <c r="C25" s="505">
        <f t="shared" si="1"/>
        <v>15</v>
      </c>
      <c r="D25" s="504" t="s">
        <v>2544</v>
      </c>
      <c r="E25" s="505" t="s">
        <v>2503</v>
      </c>
      <c r="F25" s="505" t="s">
        <v>2537</v>
      </c>
      <c r="G25" s="504" t="s">
        <v>2545</v>
      </c>
      <c r="H25" s="558" t="s">
        <v>2546</v>
      </c>
      <c r="I25" s="558" t="s">
        <v>2533</v>
      </c>
      <c r="J25" s="558" t="s">
        <v>2547</v>
      </c>
      <c r="K25" s="504" t="s">
        <v>2535</v>
      </c>
    </row>
    <row r="26" spans="1:11" s="503" customFormat="1" ht="23.15" customHeight="1">
      <c r="A26" s="505" t="s">
        <v>2476</v>
      </c>
      <c r="B26" s="505" t="s">
        <v>2485</v>
      </c>
      <c r="C26" s="505">
        <f t="shared" si="1"/>
        <v>16</v>
      </c>
      <c r="D26" s="556" t="s">
        <v>2548</v>
      </c>
      <c r="E26" s="505" t="s">
        <v>2478</v>
      </c>
      <c r="F26" s="505">
        <v>9</v>
      </c>
      <c r="G26" s="504" t="s">
        <v>2549</v>
      </c>
      <c r="H26" s="558"/>
      <c r="I26" s="558" t="s">
        <v>2533</v>
      </c>
      <c r="J26" s="558" t="s">
        <v>2550</v>
      </c>
      <c r="K26" s="504" t="s">
        <v>2535</v>
      </c>
    </row>
    <row r="27" spans="1:11" s="503" customFormat="1" ht="23.15" customHeight="1">
      <c r="A27" s="505" t="s">
        <v>2476</v>
      </c>
      <c r="B27" s="505" t="s">
        <v>2485</v>
      </c>
      <c r="C27" s="505">
        <f t="shared" si="1"/>
        <v>17</v>
      </c>
      <c r="D27" s="510" t="s">
        <v>2551</v>
      </c>
      <c r="E27" s="505" t="s">
        <v>2478</v>
      </c>
      <c r="F27" s="505">
        <v>8</v>
      </c>
      <c r="G27" s="504" t="s">
        <v>2552</v>
      </c>
      <c r="H27" s="558" t="s">
        <v>2532</v>
      </c>
      <c r="I27" s="558" t="s">
        <v>2553</v>
      </c>
      <c r="J27" s="558" t="s">
        <v>2554</v>
      </c>
      <c r="K27" s="504" t="s">
        <v>2535</v>
      </c>
    </row>
    <row r="28" spans="1:11" s="503" customFormat="1" ht="23.15" customHeight="1">
      <c r="A28" s="505" t="s">
        <v>2476</v>
      </c>
      <c r="B28" s="505" t="s">
        <v>2485</v>
      </c>
      <c r="C28" s="505">
        <f t="shared" si="1"/>
        <v>18</v>
      </c>
      <c r="D28" s="510" t="s">
        <v>2555</v>
      </c>
      <c r="E28" s="505" t="s">
        <v>2478</v>
      </c>
      <c r="F28" s="505">
        <v>8</v>
      </c>
      <c r="G28" s="504" t="s">
        <v>2556</v>
      </c>
      <c r="H28" s="558" t="s">
        <v>2557</v>
      </c>
      <c r="I28" s="558" t="s">
        <v>2553</v>
      </c>
      <c r="J28" s="558" t="s">
        <v>2558</v>
      </c>
      <c r="K28" s="504" t="s">
        <v>2535</v>
      </c>
    </row>
    <row r="29" spans="1:11" s="503" customFormat="1" ht="23.15" customHeight="1">
      <c r="A29" s="505" t="s">
        <v>2476</v>
      </c>
      <c r="B29" s="505" t="s">
        <v>2485</v>
      </c>
      <c r="C29" s="505">
        <f t="shared" si="1"/>
        <v>19</v>
      </c>
      <c r="D29" s="505" t="s">
        <v>2559</v>
      </c>
      <c r="E29" s="505" t="s">
        <v>2478</v>
      </c>
      <c r="F29" s="505">
        <v>8</v>
      </c>
      <c r="G29" s="504" t="s">
        <v>2560</v>
      </c>
      <c r="H29" s="558" t="s">
        <v>2561</v>
      </c>
      <c r="I29" s="558" t="s">
        <v>2553</v>
      </c>
      <c r="J29" s="558" t="s">
        <v>2562</v>
      </c>
      <c r="K29" s="504" t="s">
        <v>2535</v>
      </c>
    </row>
  </sheetData>
  <autoFilter ref="A1:K22" xr:uid="{00000000-0009-0000-0000-0000AC000000}">
    <sortState xmlns:xlrd2="http://schemas.microsoft.com/office/spreadsheetml/2017/richdata2" ref="A2:K22">
      <sortCondition ref="B1:B22"/>
    </sortState>
  </autoFilter>
  <pageMargins left="0.75" right="0.75" top="1" bottom="1" header="0.5" footer="0.5"/>
  <pageSetup orientation="portrait" r:id="rId1"/>
  <headerFooter alignWithMargins="0">
    <oddHeader>&amp;L&amp;"Arial"&amp;9&amp;K0078D7 INTERNAL&amp;1#_x000D_</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07096-23CE-4F23-8A64-96D3E31CFD34}">
  <sheetPr codeName="Sheet35"/>
  <dimension ref="A1:L238"/>
  <sheetViews>
    <sheetView topLeftCell="C1" workbookViewId="0">
      <selection activeCell="G6" sqref="G6"/>
    </sheetView>
  </sheetViews>
  <sheetFormatPr defaultColWidth="22.81640625" defaultRowHeight="23.5" customHeight="1"/>
  <cols>
    <col min="1" max="1" width="30.54296875" style="597" customWidth="1"/>
    <col min="2" max="2" width="13.1796875" style="597" customWidth="1"/>
    <col min="3" max="3" width="8.81640625" style="597" customWidth="1"/>
    <col min="4" max="5" width="22.81640625" style="597" customWidth="1"/>
    <col min="6" max="6" width="11" style="597" customWidth="1"/>
    <col min="7" max="8" width="44.81640625" style="597" customWidth="1"/>
    <col min="9" max="11" width="37.1796875" style="607" customWidth="1"/>
    <col min="12" max="12" width="22.81640625" style="597" customWidth="1"/>
    <col min="13" max="16384" width="22.81640625" style="597"/>
  </cols>
  <sheetData>
    <row r="1" spans="1:12" s="503" customFormat="1" ht="23.5" customHeight="1" thickBot="1">
      <c r="A1" s="500" t="s">
        <v>2474</v>
      </c>
      <c r="B1" s="500" t="s">
        <v>2207</v>
      </c>
      <c r="C1" s="501" t="s">
        <v>2208</v>
      </c>
      <c r="D1" s="500" t="s">
        <v>2209</v>
      </c>
      <c r="E1" s="500" t="s">
        <v>2210</v>
      </c>
      <c r="F1" s="500" t="s">
        <v>2211</v>
      </c>
      <c r="G1" s="500" t="s">
        <v>2212</v>
      </c>
      <c r="H1" s="709" t="s">
        <v>3146</v>
      </c>
      <c r="I1" s="502" t="s">
        <v>2213</v>
      </c>
      <c r="J1" s="502" t="s">
        <v>2214</v>
      </c>
      <c r="K1" s="502" t="s">
        <v>2215</v>
      </c>
      <c r="L1" s="500" t="s">
        <v>2216</v>
      </c>
    </row>
    <row r="2" spans="1:12" s="503" customFormat="1" ht="23.5" customHeight="1">
      <c r="A2" s="511" t="s">
        <v>2667</v>
      </c>
      <c r="B2" s="581" t="s">
        <v>2330</v>
      </c>
      <c r="C2" s="581">
        <v>1</v>
      </c>
      <c r="D2" s="582" t="s">
        <v>2572</v>
      </c>
      <c r="E2" s="581" t="s">
        <v>2338</v>
      </c>
      <c r="F2" s="583">
        <v>5</v>
      </c>
      <c r="G2" s="584" t="s">
        <v>2668</v>
      </c>
      <c r="H2" s="695"/>
      <c r="I2" s="585"/>
      <c r="J2" s="585"/>
      <c r="K2" s="585"/>
      <c r="L2" s="581"/>
    </row>
    <row r="3" spans="1:12" s="503" customFormat="1" ht="23.5" customHeight="1" thickBot="1">
      <c r="A3" s="511" t="s">
        <v>2667</v>
      </c>
      <c r="B3" s="581" t="s">
        <v>2330</v>
      </c>
      <c r="C3" s="581">
        <v>2</v>
      </c>
      <c r="D3" s="582" t="s">
        <v>2576</v>
      </c>
      <c r="E3" s="581" t="s">
        <v>2338</v>
      </c>
      <c r="F3" s="586">
        <v>9</v>
      </c>
      <c r="G3" s="584" t="s">
        <v>2669</v>
      </c>
      <c r="H3" s="695"/>
      <c r="I3" s="585"/>
      <c r="J3" s="585"/>
      <c r="K3" s="585"/>
      <c r="L3" s="581"/>
    </row>
    <row r="4" spans="1:12" s="503" customFormat="1" ht="28.4" customHeight="1">
      <c r="A4" s="511" t="s">
        <v>2667</v>
      </c>
      <c r="B4" s="581" t="s">
        <v>2345</v>
      </c>
      <c r="C4" s="581">
        <v>3</v>
      </c>
      <c r="D4" s="582" t="s">
        <v>2670</v>
      </c>
      <c r="E4" s="581" t="s">
        <v>2332</v>
      </c>
      <c r="F4" s="586">
        <v>2</v>
      </c>
      <c r="G4" s="587" t="s">
        <v>2671</v>
      </c>
      <c r="H4" s="696"/>
      <c r="I4" s="588"/>
      <c r="J4" s="588"/>
      <c r="K4" s="588"/>
      <c r="L4" s="581"/>
    </row>
    <row r="5" spans="1:12" s="503" customFormat="1" ht="23.5" customHeight="1">
      <c r="A5" s="511" t="s">
        <v>2667</v>
      </c>
      <c r="B5" s="581" t="s">
        <v>2345</v>
      </c>
      <c r="C5" s="581">
        <v>4</v>
      </c>
      <c r="D5" s="582" t="s">
        <v>2672</v>
      </c>
      <c r="E5" s="581" t="s">
        <v>2332</v>
      </c>
      <c r="F5" s="586">
        <v>80</v>
      </c>
      <c r="G5" s="589" t="s">
        <v>2673</v>
      </c>
      <c r="H5" s="697"/>
      <c r="I5" s="588"/>
      <c r="J5" s="588"/>
      <c r="K5" s="588"/>
      <c r="L5" s="581"/>
    </row>
    <row r="6" spans="1:12" s="503" customFormat="1" ht="23.5" customHeight="1" thickBot="1">
      <c r="A6" s="511" t="s">
        <v>2667</v>
      </c>
      <c r="B6" s="581" t="s">
        <v>2345</v>
      </c>
      <c r="C6" s="581">
        <v>5</v>
      </c>
      <c r="D6" s="582" t="s">
        <v>2674</v>
      </c>
      <c r="E6" s="581" t="s">
        <v>2338</v>
      </c>
      <c r="F6" s="586">
        <v>11</v>
      </c>
      <c r="G6" s="590" t="s">
        <v>2675</v>
      </c>
      <c r="H6" s="711" t="s">
        <v>1639</v>
      </c>
      <c r="I6" s="588"/>
      <c r="J6" s="588"/>
      <c r="K6" s="588"/>
      <c r="L6" s="581"/>
    </row>
    <row r="7" spans="1:12" s="503" customFormat="1" ht="23.5" customHeight="1">
      <c r="A7" s="511" t="s">
        <v>2667</v>
      </c>
      <c r="B7" s="581" t="s">
        <v>2345</v>
      </c>
      <c r="C7" s="581">
        <v>6</v>
      </c>
      <c r="D7" s="582" t="s">
        <v>2676</v>
      </c>
      <c r="E7" s="581" t="s">
        <v>2338</v>
      </c>
      <c r="F7" s="583">
        <v>11</v>
      </c>
      <c r="G7" s="590" t="s">
        <v>2677</v>
      </c>
      <c r="H7" s="711" t="s">
        <v>2852</v>
      </c>
      <c r="I7" s="588"/>
      <c r="J7" s="588"/>
      <c r="K7" s="588"/>
      <c r="L7" s="581"/>
    </row>
    <row r="8" spans="1:12" s="503" customFormat="1" ht="23.5" customHeight="1">
      <c r="A8" s="511" t="s">
        <v>2667</v>
      </c>
      <c r="B8" s="581" t="s">
        <v>2345</v>
      </c>
      <c r="C8" s="581">
        <v>7</v>
      </c>
      <c r="D8" s="582" t="s">
        <v>2678</v>
      </c>
      <c r="E8" s="581" t="s">
        <v>2338</v>
      </c>
      <c r="F8" s="591">
        <v>8</v>
      </c>
      <c r="G8" s="589" t="s">
        <v>2679</v>
      </c>
      <c r="H8" s="712" t="s">
        <v>1660</v>
      </c>
      <c r="I8" s="588"/>
      <c r="J8" s="588"/>
      <c r="K8" s="588"/>
      <c r="L8" s="581"/>
    </row>
    <row r="9" spans="1:12" s="503" customFormat="1" ht="23.5" customHeight="1">
      <c r="A9" s="511" t="s">
        <v>2667</v>
      </c>
      <c r="B9" s="581" t="s">
        <v>2345</v>
      </c>
      <c r="C9" s="581">
        <v>8</v>
      </c>
      <c r="D9" s="582" t="s">
        <v>2680</v>
      </c>
      <c r="E9" s="581" t="s">
        <v>2338</v>
      </c>
      <c r="F9" s="591">
        <v>11</v>
      </c>
      <c r="G9" s="590" t="s">
        <v>2681</v>
      </c>
      <c r="H9" s="713" t="s">
        <v>2999</v>
      </c>
      <c r="I9" s="590"/>
      <c r="J9" s="590"/>
      <c r="K9" s="590"/>
      <c r="L9" s="581"/>
    </row>
    <row r="10" spans="1:12" s="503" customFormat="1" ht="23.5" customHeight="1">
      <c r="A10" s="511" t="s">
        <v>2667</v>
      </c>
      <c r="B10" s="581" t="s">
        <v>2345</v>
      </c>
      <c r="C10" s="581">
        <v>9</v>
      </c>
      <c r="D10" s="582" t="s">
        <v>2682</v>
      </c>
      <c r="E10" s="581" t="s">
        <v>2338</v>
      </c>
      <c r="F10" s="591">
        <v>11</v>
      </c>
      <c r="G10" s="590" t="s">
        <v>2683</v>
      </c>
      <c r="H10" s="711" t="s">
        <v>3142</v>
      </c>
      <c r="I10" s="592"/>
      <c r="J10" s="592"/>
      <c r="K10" s="592"/>
      <c r="L10" s="593"/>
    </row>
    <row r="11" spans="1:12" s="503" customFormat="1" ht="23.5" customHeight="1">
      <c r="A11" s="511" t="s">
        <v>2667</v>
      </c>
      <c r="B11" s="581" t="s">
        <v>2345</v>
      </c>
      <c r="C11" s="581">
        <v>10</v>
      </c>
      <c r="D11" s="582" t="s">
        <v>2684</v>
      </c>
      <c r="E11" s="581" t="s">
        <v>2338</v>
      </c>
      <c r="F11" s="591">
        <v>11</v>
      </c>
      <c r="G11" s="590" t="s">
        <v>2685</v>
      </c>
      <c r="H11" s="698" t="s">
        <v>3020</v>
      </c>
      <c r="I11" s="592"/>
      <c r="J11" s="592"/>
      <c r="K11" s="592"/>
      <c r="L11" s="593"/>
    </row>
    <row r="12" spans="1:12" s="503" customFormat="1" ht="23.5" customHeight="1">
      <c r="A12" s="511" t="s">
        <v>2667</v>
      </c>
      <c r="B12" s="581" t="s">
        <v>2345</v>
      </c>
      <c r="C12" s="581">
        <v>11</v>
      </c>
      <c r="D12" s="582" t="s">
        <v>2686</v>
      </c>
      <c r="E12" s="581" t="s">
        <v>2338</v>
      </c>
      <c r="F12" s="591">
        <v>11</v>
      </c>
      <c r="G12" s="590" t="s">
        <v>2675</v>
      </c>
      <c r="H12" s="698" t="s">
        <v>3144</v>
      </c>
      <c r="I12" s="592"/>
      <c r="J12" s="592"/>
      <c r="K12" s="592"/>
      <c r="L12" s="593"/>
    </row>
    <row r="13" spans="1:12" s="503" customFormat="1" ht="23.5" customHeight="1">
      <c r="A13" s="511" t="s">
        <v>2667</v>
      </c>
      <c r="B13" s="581" t="s">
        <v>2345</v>
      </c>
      <c r="C13" s="581">
        <v>12</v>
      </c>
      <c r="D13" s="582" t="s">
        <v>2687</v>
      </c>
      <c r="E13" s="581" t="s">
        <v>2338</v>
      </c>
      <c r="F13" s="591">
        <v>2</v>
      </c>
      <c r="G13" s="590" t="s">
        <v>2688</v>
      </c>
      <c r="H13" s="698" t="s">
        <v>2845</v>
      </c>
      <c r="I13" s="592"/>
      <c r="J13" s="592"/>
      <c r="K13" s="592"/>
      <c r="L13" s="593"/>
    </row>
    <row r="14" spans="1:12" s="503" customFormat="1" ht="23.5" customHeight="1">
      <c r="A14" s="511" t="s">
        <v>2667</v>
      </c>
      <c r="B14" s="581" t="s">
        <v>2345</v>
      </c>
      <c r="C14" s="581">
        <v>13</v>
      </c>
      <c r="D14" s="582" t="s">
        <v>2689</v>
      </c>
      <c r="E14" s="581" t="s">
        <v>2338</v>
      </c>
      <c r="F14" s="591">
        <v>11</v>
      </c>
      <c r="G14" s="590" t="s">
        <v>2677</v>
      </c>
      <c r="H14" s="698" t="s">
        <v>3145</v>
      </c>
      <c r="I14" s="592"/>
      <c r="J14" s="592"/>
      <c r="K14" s="592"/>
      <c r="L14" s="593"/>
    </row>
    <row r="15" spans="1:12" s="503" customFormat="1" ht="23.5" customHeight="1">
      <c r="A15" s="511" t="s">
        <v>2667</v>
      </c>
      <c r="B15" s="581" t="s">
        <v>2345</v>
      </c>
      <c r="C15" s="581">
        <v>14</v>
      </c>
      <c r="D15" s="582" t="s">
        <v>2690</v>
      </c>
      <c r="E15" s="581" t="s">
        <v>2338</v>
      </c>
      <c r="F15" s="591">
        <v>8</v>
      </c>
      <c r="G15" s="590" t="s">
        <v>2691</v>
      </c>
      <c r="H15" s="711" t="s">
        <v>2884</v>
      </c>
      <c r="I15" s="592"/>
      <c r="J15" s="592"/>
      <c r="K15" s="592"/>
      <c r="L15" s="593"/>
    </row>
    <row r="16" spans="1:12" s="503" customFormat="1" ht="23.5" customHeight="1">
      <c r="A16" s="511" t="s">
        <v>2667</v>
      </c>
      <c r="B16" s="581" t="s">
        <v>2345</v>
      </c>
      <c r="C16" s="581">
        <v>15</v>
      </c>
      <c r="D16" s="582" t="s">
        <v>2692</v>
      </c>
      <c r="E16" s="581" t="s">
        <v>2338</v>
      </c>
      <c r="F16" s="591">
        <v>9</v>
      </c>
      <c r="G16" s="590" t="s">
        <v>2693</v>
      </c>
      <c r="H16" s="711" t="s">
        <v>2888</v>
      </c>
      <c r="I16" s="592"/>
      <c r="J16" s="592"/>
      <c r="K16" s="592"/>
      <c r="L16" s="593"/>
    </row>
    <row r="17" spans="1:12" s="503" customFormat="1" ht="23.5" customHeight="1">
      <c r="A17" s="511" t="s">
        <v>2667</v>
      </c>
      <c r="B17" s="581" t="s">
        <v>2345</v>
      </c>
      <c r="C17" s="581">
        <v>16</v>
      </c>
      <c r="D17" s="582" t="s">
        <v>2694</v>
      </c>
      <c r="E17" s="581" t="s">
        <v>2338</v>
      </c>
      <c r="F17" s="591">
        <v>11</v>
      </c>
      <c r="G17" s="590" t="s">
        <v>2695</v>
      </c>
      <c r="H17" s="698" t="s">
        <v>2904</v>
      </c>
      <c r="I17" s="592"/>
      <c r="J17" s="592"/>
      <c r="K17" s="592"/>
      <c r="L17" s="593"/>
    </row>
    <row r="18" spans="1:12" s="503" customFormat="1" ht="23.5" customHeight="1">
      <c r="A18" s="511" t="s">
        <v>2667</v>
      </c>
      <c r="B18" s="581" t="s">
        <v>2345</v>
      </c>
      <c r="C18" s="581">
        <v>17</v>
      </c>
      <c r="D18" s="710" t="s">
        <v>2696</v>
      </c>
      <c r="E18" s="581" t="s">
        <v>2338</v>
      </c>
      <c r="F18" s="591">
        <v>9</v>
      </c>
      <c r="G18" s="590" t="s">
        <v>2693</v>
      </c>
      <c r="H18" s="698"/>
      <c r="I18" s="592"/>
      <c r="J18" s="592"/>
      <c r="K18" s="592"/>
      <c r="L18" s="593"/>
    </row>
    <row r="19" spans="1:12" s="503" customFormat="1" ht="23.5" customHeight="1">
      <c r="A19" s="511" t="s">
        <v>2667</v>
      </c>
      <c r="B19" s="581" t="s">
        <v>2345</v>
      </c>
      <c r="C19" s="581">
        <v>18</v>
      </c>
      <c r="D19" s="582" t="s">
        <v>2697</v>
      </c>
      <c r="E19" s="581" t="s">
        <v>2338</v>
      </c>
      <c r="F19" s="591">
        <v>11</v>
      </c>
      <c r="G19" s="590" t="s">
        <v>2698</v>
      </c>
      <c r="H19" s="711" t="s">
        <v>3002</v>
      </c>
      <c r="I19" s="592"/>
      <c r="J19" s="592"/>
      <c r="K19" s="592"/>
      <c r="L19" s="593"/>
    </row>
    <row r="20" spans="1:12" s="503" customFormat="1" ht="23.5" customHeight="1">
      <c r="A20" s="511" t="s">
        <v>2667</v>
      </c>
      <c r="B20" s="581" t="s">
        <v>2345</v>
      </c>
      <c r="C20" s="581">
        <v>19</v>
      </c>
      <c r="D20" s="582" t="s">
        <v>2699</v>
      </c>
      <c r="E20" s="581" t="s">
        <v>2338</v>
      </c>
      <c r="F20" s="591">
        <v>11</v>
      </c>
      <c r="G20" s="590" t="s">
        <v>2700</v>
      </c>
      <c r="H20" s="711" t="s">
        <v>3005</v>
      </c>
      <c r="I20" s="592"/>
      <c r="J20" s="592"/>
      <c r="K20" s="592"/>
      <c r="L20" s="593"/>
    </row>
    <row r="21" spans="1:12" s="503" customFormat="1" ht="23.5" customHeight="1">
      <c r="A21" s="511" t="s">
        <v>2667</v>
      </c>
      <c r="B21" s="581" t="s">
        <v>2345</v>
      </c>
      <c r="C21" s="581">
        <v>20</v>
      </c>
      <c r="D21" s="582" t="s">
        <v>2701</v>
      </c>
      <c r="E21" s="581" t="s">
        <v>2338</v>
      </c>
      <c r="F21" s="591">
        <v>11</v>
      </c>
      <c r="G21" s="590" t="s">
        <v>2702</v>
      </c>
      <c r="H21" s="711" t="s">
        <v>3008</v>
      </c>
      <c r="I21" s="592"/>
      <c r="J21" s="592"/>
      <c r="K21" s="592"/>
      <c r="L21" s="593"/>
    </row>
    <row r="22" spans="1:12" s="503" customFormat="1" ht="23.5" customHeight="1">
      <c r="A22" s="511" t="s">
        <v>2667</v>
      </c>
      <c r="B22" s="581" t="s">
        <v>2345</v>
      </c>
      <c r="C22" s="581">
        <v>21</v>
      </c>
      <c r="D22" s="594" t="s">
        <v>2703</v>
      </c>
      <c r="E22" s="581" t="s">
        <v>2338</v>
      </c>
      <c r="F22" s="591">
        <v>11</v>
      </c>
      <c r="G22" s="590" t="s">
        <v>2704</v>
      </c>
      <c r="H22" s="714" t="s">
        <v>3143</v>
      </c>
      <c r="I22" s="592"/>
      <c r="J22" s="592"/>
      <c r="K22" s="592"/>
      <c r="L22" s="593"/>
    </row>
    <row r="23" spans="1:12" s="503" customFormat="1" ht="23.5" customHeight="1">
      <c r="A23" s="511" t="s">
        <v>2667</v>
      </c>
      <c r="B23" s="581" t="s">
        <v>2345</v>
      </c>
      <c r="C23" s="581">
        <v>22</v>
      </c>
      <c r="D23" s="582" t="s">
        <v>2705</v>
      </c>
      <c r="E23" s="581" t="s">
        <v>2338</v>
      </c>
      <c r="F23" s="591">
        <v>10</v>
      </c>
      <c r="G23" s="590" t="s">
        <v>2706</v>
      </c>
      <c r="H23" s="698" t="s">
        <v>3014</v>
      </c>
      <c r="I23" s="592"/>
      <c r="J23" s="592"/>
      <c r="K23" s="592"/>
      <c r="L23" s="593"/>
    </row>
    <row r="24" spans="1:12" s="503" customFormat="1" ht="23.5" customHeight="1">
      <c r="A24" s="511" t="s">
        <v>2667</v>
      </c>
      <c r="B24" s="581" t="s">
        <v>2345</v>
      </c>
      <c r="C24" s="581">
        <v>23</v>
      </c>
      <c r="D24" s="594" t="s">
        <v>2707</v>
      </c>
      <c r="E24" s="581" t="s">
        <v>2338</v>
      </c>
      <c r="F24" s="595">
        <v>11</v>
      </c>
      <c r="G24" s="590" t="s">
        <v>2708</v>
      </c>
      <c r="H24" s="698" t="s">
        <v>3017</v>
      </c>
      <c r="I24" s="592"/>
      <c r="J24" s="592"/>
      <c r="K24" s="592"/>
      <c r="L24" s="593"/>
    </row>
    <row r="25" spans="1:12" s="503" customFormat="1" ht="23.5" customHeight="1">
      <c r="A25" s="511" t="s">
        <v>2667</v>
      </c>
      <c r="B25" s="581" t="s">
        <v>2345</v>
      </c>
      <c r="C25" s="581">
        <v>24</v>
      </c>
      <c r="D25" s="582" t="s">
        <v>2709</v>
      </c>
      <c r="E25" s="581" t="s">
        <v>2338</v>
      </c>
      <c r="F25" s="591">
        <v>11</v>
      </c>
      <c r="G25" s="590" t="s">
        <v>2710</v>
      </c>
      <c r="H25" s="33" t="s">
        <v>3023</v>
      </c>
      <c r="I25" s="592"/>
      <c r="J25" s="592"/>
      <c r="K25" s="592"/>
      <c r="L25" s="593"/>
    </row>
    <row r="26" spans="1:12" s="503" customFormat="1" ht="23.5" customHeight="1">
      <c r="A26" s="511" t="s">
        <v>2667</v>
      </c>
      <c r="B26" s="581" t="s">
        <v>2345</v>
      </c>
      <c r="C26" s="581">
        <v>25</v>
      </c>
      <c r="D26" s="582" t="s">
        <v>2711</v>
      </c>
      <c r="E26" s="581" t="s">
        <v>2332</v>
      </c>
      <c r="F26" s="591">
        <v>1</v>
      </c>
      <c r="G26" s="590" t="s">
        <v>2712</v>
      </c>
      <c r="H26" s="711" t="s">
        <v>2992</v>
      </c>
      <c r="I26" s="592"/>
      <c r="J26" s="592"/>
      <c r="K26" s="592"/>
      <c r="L26" s="593"/>
    </row>
    <row r="27" spans="1:12" s="503" customFormat="1" ht="23.5" customHeight="1">
      <c r="A27" s="511"/>
      <c r="B27" s="581"/>
      <c r="C27" s="581"/>
      <c r="D27" s="582"/>
      <c r="E27" s="581"/>
      <c r="F27" s="591"/>
      <c r="G27" s="596"/>
      <c r="H27" s="699"/>
      <c r="I27" s="592"/>
      <c r="J27" s="592"/>
      <c r="K27" s="592"/>
      <c r="L27" s="593"/>
    </row>
    <row r="28" spans="1:12" s="503" customFormat="1" ht="23.5" customHeight="1">
      <c r="A28" s="511"/>
      <c r="B28" s="581"/>
      <c r="C28" s="581"/>
      <c r="D28" s="582"/>
      <c r="E28" s="581"/>
      <c r="F28" s="591"/>
      <c r="G28" s="596"/>
      <c r="H28" s="699"/>
      <c r="I28" s="592"/>
      <c r="J28" s="592"/>
      <c r="K28" s="592"/>
      <c r="L28" s="593"/>
    </row>
    <row r="29" spans="1:12" s="503" customFormat="1" ht="23.5" customHeight="1">
      <c r="A29" s="511"/>
      <c r="B29" s="581"/>
      <c r="C29" s="581"/>
      <c r="D29" s="582"/>
      <c r="E29" s="581"/>
      <c r="F29" s="591"/>
      <c r="G29" s="596"/>
      <c r="H29" s="699"/>
      <c r="I29" s="592"/>
      <c r="J29" s="592"/>
      <c r="K29" s="592"/>
      <c r="L29" s="593"/>
    </row>
    <row r="30" spans="1:12" s="503" customFormat="1" ht="23.5" customHeight="1">
      <c r="A30" s="511"/>
      <c r="B30" s="581"/>
      <c r="C30" s="581"/>
      <c r="E30" s="581"/>
      <c r="F30" s="591"/>
      <c r="G30" s="596"/>
      <c r="H30" s="700"/>
      <c r="J30" s="597"/>
      <c r="K30" s="597"/>
    </row>
    <row r="31" spans="1:12" s="503" customFormat="1" ht="23.5" customHeight="1">
      <c r="A31" s="511"/>
      <c r="B31" s="581"/>
      <c r="C31" s="581"/>
      <c r="E31" s="581"/>
      <c r="F31" s="591"/>
      <c r="G31" s="596"/>
      <c r="H31" s="700"/>
      <c r="J31" s="597"/>
      <c r="K31" s="597"/>
    </row>
    <row r="32" spans="1:12" s="503" customFormat="1" ht="23.5" customHeight="1">
      <c r="A32" s="511"/>
      <c r="B32" s="581"/>
      <c r="C32" s="581"/>
      <c r="E32" s="581"/>
      <c r="F32" s="591"/>
      <c r="G32" s="596"/>
      <c r="H32" s="700"/>
      <c r="J32" s="597"/>
      <c r="K32" s="597"/>
    </row>
    <row r="33" spans="1:11" s="503" customFormat="1" ht="23.5" customHeight="1">
      <c r="A33" s="511"/>
      <c r="B33" s="581"/>
      <c r="C33" s="581"/>
      <c r="E33" s="581"/>
      <c r="F33" s="591"/>
      <c r="G33" s="596"/>
      <c r="H33" s="700"/>
      <c r="J33" s="597"/>
      <c r="K33" s="597"/>
    </row>
    <row r="34" spans="1:11" s="503" customFormat="1" ht="23.5" customHeight="1">
      <c r="A34" s="511"/>
      <c r="B34" s="581"/>
      <c r="C34" s="581"/>
      <c r="E34" s="581"/>
      <c r="F34" s="591"/>
      <c r="G34" s="596"/>
      <c r="H34" s="700"/>
      <c r="J34" s="597"/>
      <c r="K34" s="597"/>
    </row>
    <row r="35" spans="1:11" s="503" customFormat="1" ht="23.5" customHeight="1">
      <c r="A35" s="511"/>
      <c r="B35" s="581"/>
      <c r="C35" s="581"/>
      <c r="E35" s="581"/>
      <c r="F35" s="591"/>
      <c r="G35" s="596"/>
      <c r="H35" s="700"/>
      <c r="J35" s="597"/>
      <c r="K35" s="597"/>
    </row>
    <row r="36" spans="1:11" s="503" customFormat="1" ht="23.5" customHeight="1">
      <c r="A36" s="511"/>
      <c r="B36" s="581"/>
      <c r="C36" s="581"/>
      <c r="E36" s="581"/>
      <c r="F36" s="591"/>
      <c r="G36" s="596"/>
      <c r="H36" s="700"/>
      <c r="J36" s="597"/>
      <c r="K36" s="597"/>
    </row>
    <row r="37" spans="1:11" s="503" customFormat="1" ht="23.5" customHeight="1">
      <c r="A37" s="511"/>
      <c r="B37" s="581"/>
      <c r="C37" s="581"/>
      <c r="E37" s="581"/>
      <c r="F37" s="591"/>
      <c r="G37" s="596"/>
      <c r="H37" s="700"/>
      <c r="J37" s="597"/>
      <c r="K37" s="597"/>
    </row>
    <row r="38" spans="1:11" s="503" customFormat="1" ht="23.5" customHeight="1">
      <c r="A38" s="511"/>
      <c r="B38" s="581"/>
      <c r="C38" s="581"/>
      <c r="E38" s="581"/>
      <c r="F38" s="591"/>
      <c r="G38" s="596"/>
      <c r="H38" s="700"/>
      <c r="J38" s="597"/>
      <c r="K38" s="597"/>
    </row>
    <row r="39" spans="1:11" s="503" customFormat="1" ht="23.5" customHeight="1">
      <c r="A39" s="511"/>
      <c r="B39" s="581"/>
      <c r="C39" s="581"/>
      <c r="E39" s="581"/>
      <c r="F39" s="591"/>
      <c r="G39" s="596"/>
      <c r="H39" s="700"/>
      <c r="J39" s="597"/>
      <c r="K39" s="597"/>
    </row>
    <row r="40" spans="1:11" s="503" customFormat="1" ht="23.5" customHeight="1">
      <c r="A40" s="511"/>
      <c r="B40" s="581"/>
      <c r="C40" s="581"/>
      <c r="E40" s="581"/>
      <c r="F40" s="591"/>
      <c r="G40" s="596"/>
      <c r="H40" s="700"/>
      <c r="J40" s="597"/>
      <c r="K40" s="597"/>
    </row>
    <row r="41" spans="1:11" s="503" customFormat="1" ht="23.5" customHeight="1">
      <c r="A41" s="511"/>
      <c r="B41" s="581"/>
      <c r="C41" s="581"/>
      <c r="E41" s="581"/>
      <c r="F41" s="591"/>
      <c r="G41" s="596"/>
      <c r="H41" s="700"/>
      <c r="J41" s="597"/>
      <c r="K41" s="597"/>
    </row>
    <row r="42" spans="1:11" s="503" customFormat="1" ht="23.5" customHeight="1">
      <c r="A42" s="511"/>
      <c r="B42" s="581"/>
      <c r="C42" s="581"/>
      <c r="E42" s="581"/>
      <c r="F42" s="591"/>
      <c r="G42" s="596"/>
      <c r="H42" s="700"/>
      <c r="J42" s="597"/>
      <c r="K42" s="597"/>
    </row>
    <row r="43" spans="1:11" s="503" customFormat="1" ht="23.5" customHeight="1">
      <c r="A43" s="511"/>
      <c r="B43" s="581"/>
      <c r="C43" s="581"/>
      <c r="E43" s="581"/>
      <c r="F43" s="591"/>
      <c r="G43" s="596"/>
      <c r="H43" s="700"/>
      <c r="J43" s="597"/>
      <c r="K43" s="597"/>
    </row>
    <row r="44" spans="1:11" s="503" customFormat="1" ht="23.5" customHeight="1">
      <c r="A44" s="511"/>
      <c r="B44" s="581"/>
      <c r="C44" s="581"/>
      <c r="E44" s="581"/>
      <c r="F44" s="591"/>
      <c r="G44" s="596"/>
      <c r="H44" s="700"/>
      <c r="J44" s="597"/>
      <c r="K44" s="597"/>
    </row>
    <row r="45" spans="1:11" s="503" customFormat="1" ht="23.5" customHeight="1">
      <c r="A45" s="511"/>
      <c r="B45" s="581"/>
      <c r="C45" s="581"/>
      <c r="E45" s="581"/>
      <c r="F45" s="591"/>
      <c r="G45" s="596"/>
      <c r="H45" s="700"/>
      <c r="J45" s="597"/>
      <c r="K45" s="597"/>
    </row>
    <row r="46" spans="1:11" s="503" customFormat="1" ht="23.5" customHeight="1">
      <c r="A46" s="511"/>
      <c r="B46" s="581"/>
      <c r="C46" s="581"/>
      <c r="E46" s="581"/>
      <c r="F46" s="591"/>
      <c r="G46" s="596"/>
      <c r="H46" s="700"/>
      <c r="J46" s="597"/>
      <c r="K46" s="597"/>
    </row>
    <row r="47" spans="1:11" s="503" customFormat="1" ht="23.5" customHeight="1">
      <c r="A47" s="511"/>
      <c r="B47" s="581"/>
      <c r="C47" s="581"/>
      <c r="E47" s="581"/>
      <c r="F47" s="591"/>
      <c r="G47" s="596"/>
      <c r="H47" s="700"/>
      <c r="J47" s="597"/>
      <c r="K47" s="597"/>
    </row>
    <row r="48" spans="1:11" s="503" customFormat="1" ht="23.5" customHeight="1">
      <c r="A48" s="511"/>
      <c r="B48" s="581"/>
      <c r="C48" s="581"/>
      <c r="E48" s="581"/>
      <c r="F48" s="591"/>
      <c r="G48" s="596"/>
      <c r="H48" s="700"/>
      <c r="J48" s="597"/>
      <c r="K48" s="597"/>
    </row>
    <row r="49" spans="1:11" s="503" customFormat="1" ht="23.5" customHeight="1">
      <c r="A49" s="511"/>
      <c r="B49" s="581"/>
      <c r="C49" s="581"/>
      <c r="E49" s="581"/>
      <c r="F49" s="591"/>
      <c r="G49" s="596"/>
      <c r="H49" s="700"/>
      <c r="J49" s="597"/>
      <c r="K49" s="597"/>
    </row>
    <row r="50" spans="1:11" s="503" customFormat="1" ht="23.5" customHeight="1">
      <c r="A50" s="511"/>
      <c r="B50" s="581"/>
      <c r="C50" s="581"/>
      <c r="E50" s="581"/>
      <c r="F50" s="591"/>
      <c r="G50" s="596"/>
      <c r="H50" s="700"/>
      <c r="J50" s="597"/>
      <c r="K50" s="597"/>
    </row>
    <row r="51" spans="1:11" s="503" customFormat="1" ht="23.5" customHeight="1">
      <c r="A51" s="511"/>
      <c r="B51" s="581"/>
      <c r="C51" s="581"/>
      <c r="E51" s="581"/>
      <c r="F51" s="591"/>
      <c r="G51" s="596"/>
      <c r="H51" s="700"/>
      <c r="J51" s="597"/>
      <c r="K51" s="597"/>
    </row>
    <row r="52" spans="1:11" s="503" customFormat="1" ht="23.5" customHeight="1">
      <c r="A52" s="511"/>
      <c r="B52" s="581"/>
      <c r="C52" s="581"/>
      <c r="E52" s="581"/>
      <c r="F52" s="591"/>
      <c r="G52" s="596"/>
      <c r="H52" s="700"/>
      <c r="J52" s="597"/>
      <c r="K52" s="597"/>
    </row>
    <row r="53" spans="1:11" s="503" customFormat="1" ht="23.5" customHeight="1">
      <c r="A53" s="511"/>
      <c r="B53" s="581"/>
      <c r="C53" s="581"/>
      <c r="E53" s="581"/>
      <c r="F53" s="591"/>
      <c r="G53" s="596"/>
      <c r="H53" s="700"/>
      <c r="J53" s="597"/>
      <c r="K53" s="597"/>
    </row>
    <row r="54" spans="1:11" s="503" customFormat="1" ht="23.5" customHeight="1">
      <c r="A54" s="511"/>
      <c r="B54" s="581"/>
      <c r="C54" s="581"/>
      <c r="E54" s="581"/>
      <c r="F54" s="591"/>
      <c r="G54" s="596"/>
      <c r="H54" s="700"/>
      <c r="J54" s="597"/>
      <c r="K54" s="597"/>
    </row>
    <row r="55" spans="1:11" s="503" customFormat="1" ht="23.5" customHeight="1">
      <c r="A55" s="511"/>
      <c r="B55" s="581"/>
      <c r="C55" s="581"/>
      <c r="E55" s="581"/>
      <c r="F55" s="591"/>
      <c r="G55" s="596"/>
      <c r="H55" s="700"/>
      <c r="J55" s="597"/>
      <c r="K55" s="597"/>
    </row>
    <row r="56" spans="1:11" s="503" customFormat="1" ht="23.5" customHeight="1">
      <c r="A56" s="511"/>
      <c r="B56" s="581"/>
      <c r="C56" s="581"/>
      <c r="E56" s="581"/>
      <c r="F56" s="591"/>
      <c r="G56" s="596"/>
      <c r="H56" s="700"/>
      <c r="J56" s="597"/>
      <c r="K56" s="597"/>
    </row>
    <row r="57" spans="1:11" s="503" customFormat="1" ht="23.5" customHeight="1">
      <c r="A57" s="511"/>
      <c r="B57" s="581"/>
      <c r="C57" s="581"/>
      <c r="E57" s="581"/>
      <c r="F57" s="591"/>
      <c r="G57" s="596"/>
      <c r="H57" s="700"/>
      <c r="J57" s="597"/>
      <c r="K57" s="597"/>
    </row>
    <row r="58" spans="1:11" s="503" customFormat="1" ht="23.5" customHeight="1">
      <c r="A58" s="511"/>
      <c r="B58" s="581"/>
      <c r="C58" s="581"/>
      <c r="E58" s="581"/>
      <c r="F58" s="591"/>
      <c r="G58" s="596"/>
      <c r="H58" s="700"/>
      <c r="J58" s="597"/>
      <c r="K58" s="597"/>
    </row>
    <row r="59" spans="1:11" s="503" customFormat="1" ht="23.5" customHeight="1">
      <c r="A59" s="511"/>
      <c r="B59" s="581"/>
      <c r="C59" s="581"/>
      <c r="E59" s="581"/>
      <c r="F59" s="591"/>
      <c r="G59" s="596"/>
      <c r="H59" s="700"/>
      <c r="J59" s="597"/>
      <c r="K59" s="597"/>
    </row>
    <row r="60" spans="1:11" s="503" customFormat="1" ht="23.5" customHeight="1">
      <c r="A60" s="511"/>
      <c r="B60" s="581"/>
      <c r="C60" s="581"/>
      <c r="E60" s="581"/>
      <c r="F60" s="591"/>
      <c r="G60" s="596"/>
      <c r="H60" s="700"/>
      <c r="J60" s="597"/>
      <c r="K60" s="597"/>
    </row>
    <row r="61" spans="1:11" s="503" customFormat="1" ht="23.5" customHeight="1">
      <c r="A61" s="511"/>
      <c r="B61" s="581"/>
      <c r="C61" s="581"/>
      <c r="E61" s="581"/>
      <c r="F61" s="591"/>
      <c r="G61" s="596"/>
      <c r="H61" s="700"/>
      <c r="J61" s="597"/>
      <c r="K61" s="597"/>
    </row>
    <row r="62" spans="1:11" s="503" customFormat="1" ht="23.5" customHeight="1">
      <c r="A62" s="511"/>
      <c r="B62" s="581"/>
      <c r="C62" s="581"/>
      <c r="E62" s="581"/>
      <c r="F62" s="591"/>
      <c r="G62" s="596"/>
      <c r="H62" s="700"/>
      <c r="J62" s="597"/>
      <c r="K62" s="597"/>
    </row>
    <row r="63" spans="1:11" s="503" customFormat="1" ht="23.5" customHeight="1">
      <c r="A63" s="511"/>
      <c r="B63" s="581"/>
      <c r="C63" s="581"/>
      <c r="E63" s="581"/>
      <c r="F63" s="591"/>
      <c r="G63" s="596"/>
      <c r="H63" s="700"/>
      <c r="J63" s="597"/>
      <c r="K63" s="597"/>
    </row>
    <row r="64" spans="1:11" s="503" customFormat="1" ht="23.5" customHeight="1">
      <c r="A64" s="511"/>
      <c r="B64" s="581"/>
      <c r="C64" s="581"/>
      <c r="E64" s="581"/>
      <c r="F64" s="591"/>
      <c r="G64" s="596"/>
      <c r="H64" s="700"/>
      <c r="J64" s="597"/>
      <c r="K64" s="597"/>
    </row>
    <row r="65" spans="1:11" s="503" customFormat="1" ht="23.5" customHeight="1">
      <c r="A65" s="511"/>
      <c r="B65" s="581"/>
      <c r="C65" s="581"/>
      <c r="E65" s="581"/>
      <c r="F65" s="591"/>
      <c r="G65" s="596"/>
      <c r="H65" s="700"/>
      <c r="J65" s="597"/>
      <c r="K65" s="597"/>
    </row>
    <row r="66" spans="1:11" s="503" customFormat="1" ht="23.5" customHeight="1">
      <c r="A66" s="511"/>
      <c r="B66" s="581"/>
      <c r="C66" s="581"/>
      <c r="E66" s="581"/>
      <c r="F66" s="591"/>
      <c r="G66" s="596"/>
      <c r="H66" s="700"/>
      <c r="J66" s="597"/>
      <c r="K66" s="597"/>
    </row>
    <row r="67" spans="1:11" s="503" customFormat="1" ht="23.5" customHeight="1">
      <c r="A67" s="511"/>
      <c r="B67" s="581"/>
      <c r="C67" s="581"/>
      <c r="E67" s="581"/>
      <c r="F67" s="591"/>
      <c r="G67" s="596"/>
      <c r="H67" s="700"/>
      <c r="J67" s="597"/>
      <c r="K67" s="597"/>
    </row>
    <row r="68" spans="1:11" s="503" customFormat="1" ht="23.5" customHeight="1">
      <c r="A68" s="511"/>
      <c r="B68" s="581"/>
      <c r="C68" s="581"/>
      <c r="E68" s="581"/>
      <c r="F68" s="591"/>
      <c r="G68" s="596"/>
      <c r="H68" s="700"/>
      <c r="J68" s="597"/>
      <c r="K68" s="597"/>
    </row>
    <row r="69" spans="1:11" s="503" customFormat="1" ht="23.5" customHeight="1">
      <c r="A69" s="511"/>
      <c r="B69" s="581"/>
      <c r="C69" s="581"/>
      <c r="E69" s="581"/>
      <c r="F69" s="591"/>
      <c r="G69" s="596"/>
      <c r="H69" s="700"/>
      <c r="J69" s="597"/>
      <c r="K69" s="597"/>
    </row>
    <row r="70" spans="1:11" s="503" customFormat="1" ht="23.5" customHeight="1">
      <c r="A70" s="511"/>
      <c r="B70" s="581"/>
      <c r="C70" s="581"/>
      <c r="E70" s="581"/>
      <c r="F70" s="591"/>
      <c r="G70" s="596"/>
      <c r="H70" s="700"/>
      <c r="J70" s="597"/>
      <c r="K70" s="597"/>
    </row>
    <row r="71" spans="1:11" s="503" customFormat="1" ht="23.5" customHeight="1">
      <c r="A71" s="511"/>
      <c r="B71" s="581"/>
      <c r="C71" s="581"/>
      <c r="E71" s="581"/>
      <c r="F71" s="591"/>
      <c r="G71" s="596"/>
      <c r="H71" s="700"/>
      <c r="J71" s="597"/>
      <c r="K71" s="597"/>
    </row>
    <row r="72" spans="1:11" s="503" customFormat="1" ht="23.5" customHeight="1">
      <c r="A72" s="511"/>
      <c r="B72" s="581"/>
      <c r="C72" s="581"/>
      <c r="E72" s="581"/>
      <c r="F72" s="591"/>
      <c r="G72" s="596"/>
      <c r="H72" s="700"/>
      <c r="J72" s="597"/>
      <c r="K72" s="597"/>
    </row>
    <row r="73" spans="1:11" s="503" customFormat="1" ht="23.5" customHeight="1">
      <c r="A73" s="511"/>
      <c r="B73" s="581"/>
      <c r="C73" s="581"/>
      <c r="E73" s="581"/>
      <c r="F73" s="591"/>
      <c r="G73" s="596"/>
      <c r="H73" s="700"/>
      <c r="J73" s="597"/>
      <c r="K73" s="597"/>
    </row>
    <row r="74" spans="1:11" s="503" customFormat="1" ht="23.5" customHeight="1">
      <c r="A74" s="511"/>
      <c r="B74" s="581"/>
      <c r="C74" s="581"/>
      <c r="E74" s="581"/>
      <c r="F74" s="591"/>
      <c r="G74" s="596"/>
      <c r="H74" s="700"/>
      <c r="J74" s="597"/>
      <c r="K74" s="597"/>
    </row>
    <row r="75" spans="1:11" s="503" customFormat="1" ht="23.5" customHeight="1">
      <c r="A75" s="511"/>
      <c r="B75" s="581"/>
      <c r="C75" s="581"/>
      <c r="E75" s="581"/>
      <c r="F75" s="591"/>
      <c r="G75" s="598"/>
      <c r="H75" s="701"/>
      <c r="J75" s="597"/>
      <c r="K75" s="597"/>
    </row>
    <row r="76" spans="1:11" s="503" customFormat="1" ht="23.5" customHeight="1">
      <c r="A76" s="511"/>
      <c r="B76" s="581"/>
      <c r="C76" s="581"/>
      <c r="E76" s="581"/>
      <c r="F76" s="591"/>
      <c r="G76" s="596"/>
      <c r="H76" s="700"/>
      <c r="J76" s="597"/>
      <c r="K76" s="597"/>
    </row>
    <row r="77" spans="1:11" s="503" customFormat="1" ht="23.5" customHeight="1">
      <c r="A77" s="511"/>
      <c r="B77" s="581"/>
      <c r="C77" s="581"/>
      <c r="E77" s="581"/>
      <c r="F77" s="591"/>
      <c r="G77" s="596"/>
      <c r="H77" s="700"/>
      <c r="J77" s="597"/>
      <c r="K77" s="597"/>
    </row>
    <row r="78" spans="1:11" s="503" customFormat="1" ht="23.5" customHeight="1">
      <c r="A78" s="511"/>
      <c r="B78" s="581"/>
      <c r="C78" s="581"/>
      <c r="E78" s="581"/>
      <c r="F78" s="591"/>
      <c r="G78" s="596"/>
      <c r="H78" s="700"/>
      <c r="J78" s="597"/>
      <c r="K78" s="597"/>
    </row>
    <row r="79" spans="1:11" s="503" customFormat="1" ht="23.5" customHeight="1">
      <c r="A79" s="511"/>
      <c r="B79" s="581"/>
      <c r="C79" s="581"/>
      <c r="E79" s="581"/>
      <c r="F79" s="595"/>
      <c r="G79" s="596"/>
      <c r="H79" s="700"/>
      <c r="J79" s="597"/>
      <c r="K79" s="597"/>
    </row>
    <row r="80" spans="1:11" s="503" customFormat="1" ht="23.5" customHeight="1">
      <c r="A80" s="511"/>
      <c r="B80" s="581"/>
      <c r="C80" s="581"/>
      <c r="E80" s="581"/>
      <c r="F80" s="591"/>
      <c r="G80" s="596"/>
      <c r="H80" s="700"/>
      <c r="J80" s="597"/>
      <c r="K80" s="597"/>
    </row>
    <row r="81" spans="1:11" s="503" customFormat="1" ht="23.5" customHeight="1">
      <c r="A81" s="511"/>
      <c r="B81" s="581"/>
      <c r="C81" s="581"/>
      <c r="E81" s="581"/>
      <c r="F81" s="595"/>
      <c r="G81" s="596"/>
      <c r="H81" s="700"/>
      <c r="J81" s="597"/>
      <c r="K81" s="597"/>
    </row>
    <row r="82" spans="1:11" s="503" customFormat="1" ht="23.5" customHeight="1">
      <c r="A82" s="511"/>
      <c r="B82" s="581"/>
      <c r="C82" s="581"/>
      <c r="E82" s="581"/>
      <c r="F82" s="591"/>
      <c r="G82" s="599"/>
      <c r="H82" s="702"/>
      <c r="J82" s="597"/>
      <c r="K82" s="597"/>
    </row>
    <row r="83" spans="1:11" s="503" customFormat="1" ht="23.5" customHeight="1">
      <c r="A83" s="511"/>
      <c r="B83" s="581"/>
      <c r="C83" s="581"/>
      <c r="E83" s="581"/>
      <c r="F83" s="595"/>
      <c r="G83" s="600"/>
      <c r="H83" s="703"/>
      <c r="J83" s="597"/>
      <c r="K83" s="597"/>
    </row>
    <row r="84" spans="1:11" s="503" customFormat="1" ht="23.5" customHeight="1">
      <c r="A84" s="511"/>
      <c r="B84" s="581"/>
      <c r="C84" s="581"/>
      <c r="E84" s="581"/>
      <c r="F84" s="595"/>
      <c r="G84" s="600"/>
      <c r="H84" s="703"/>
      <c r="J84" s="597"/>
      <c r="K84" s="597"/>
    </row>
    <row r="85" spans="1:11" s="503" customFormat="1" ht="23.5" customHeight="1">
      <c r="A85" s="511"/>
      <c r="B85" s="581"/>
      <c r="C85" s="581"/>
      <c r="E85" s="581"/>
      <c r="F85" s="591"/>
      <c r="G85" s="596"/>
      <c r="H85" s="700"/>
      <c r="J85" s="597"/>
      <c r="K85" s="597"/>
    </row>
    <row r="86" spans="1:11" s="503" customFormat="1" ht="23.5" customHeight="1">
      <c r="A86" s="511"/>
      <c r="B86" s="581"/>
      <c r="C86" s="581"/>
      <c r="E86" s="581"/>
      <c r="F86" s="591"/>
      <c r="G86" s="596"/>
      <c r="H86" s="700"/>
      <c r="J86" s="597"/>
      <c r="K86" s="597"/>
    </row>
    <row r="87" spans="1:11" s="503" customFormat="1" ht="23.5" customHeight="1">
      <c r="A87" s="511"/>
      <c r="B87" s="581"/>
      <c r="C87" s="581"/>
      <c r="E87" s="581"/>
      <c r="F87" s="591"/>
      <c r="G87" s="596"/>
      <c r="H87" s="700"/>
      <c r="J87" s="597"/>
      <c r="K87" s="597"/>
    </row>
    <row r="88" spans="1:11" s="503" customFormat="1" ht="23.5" customHeight="1">
      <c r="A88" s="511"/>
      <c r="B88" s="581"/>
      <c r="C88" s="581"/>
      <c r="E88" s="581"/>
      <c r="F88" s="591"/>
      <c r="G88" s="596"/>
      <c r="H88" s="700"/>
      <c r="J88" s="597"/>
      <c r="K88" s="597"/>
    </row>
    <row r="89" spans="1:11" s="503" customFormat="1" ht="23.5" customHeight="1">
      <c r="A89" s="511"/>
      <c r="B89" s="581"/>
      <c r="C89" s="581"/>
      <c r="E89" s="581"/>
      <c r="F89" s="591"/>
      <c r="G89" s="596"/>
      <c r="H89" s="700"/>
      <c r="J89" s="597"/>
      <c r="K89" s="597"/>
    </row>
    <row r="90" spans="1:11" s="503" customFormat="1" ht="23.5" customHeight="1">
      <c r="A90" s="511"/>
      <c r="B90" s="581"/>
      <c r="C90" s="581"/>
      <c r="E90" s="581"/>
      <c r="F90" s="591"/>
      <c r="G90" s="596"/>
      <c r="H90" s="700"/>
      <c r="J90" s="597"/>
      <c r="K90" s="597"/>
    </row>
    <row r="91" spans="1:11" s="503" customFormat="1" ht="23.5" customHeight="1">
      <c r="A91" s="511"/>
      <c r="B91" s="581"/>
      <c r="C91" s="581"/>
      <c r="E91" s="581"/>
      <c r="F91" s="591"/>
      <c r="G91" s="596"/>
      <c r="H91" s="700"/>
      <c r="J91" s="597"/>
      <c r="K91" s="597"/>
    </row>
    <row r="92" spans="1:11" s="503" customFormat="1" ht="23.5" customHeight="1">
      <c r="A92" s="511"/>
      <c r="B92" s="581"/>
      <c r="C92" s="581"/>
      <c r="E92" s="581"/>
      <c r="F92" s="591"/>
      <c r="G92" s="596"/>
      <c r="H92" s="700"/>
      <c r="J92" s="597"/>
      <c r="K92" s="597"/>
    </row>
    <row r="93" spans="1:11" s="503" customFormat="1" ht="23.5" customHeight="1">
      <c r="A93" s="511"/>
      <c r="B93" s="581"/>
      <c r="C93" s="581"/>
      <c r="E93" s="581"/>
      <c r="F93" s="591"/>
      <c r="G93" s="596"/>
      <c r="H93" s="700"/>
      <c r="J93" s="597"/>
      <c r="K93" s="597"/>
    </row>
    <row r="94" spans="1:11" s="503" customFormat="1" ht="23.5" customHeight="1">
      <c r="A94" s="511"/>
      <c r="B94" s="581"/>
      <c r="C94" s="581"/>
      <c r="E94" s="581"/>
      <c r="F94" s="591"/>
      <c r="G94" s="596"/>
      <c r="H94" s="700"/>
      <c r="J94" s="597"/>
      <c r="K94" s="597"/>
    </row>
    <row r="95" spans="1:11" s="503" customFormat="1" ht="23.5" customHeight="1">
      <c r="A95" s="511"/>
      <c r="B95" s="581"/>
      <c r="C95" s="581"/>
      <c r="E95" s="581"/>
      <c r="F95" s="591"/>
      <c r="G95" s="596"/>
      <c r="H95" s="700"/>
      <c r="J95" s="597"/>
      <c r="K95" s="597"/>
    </row>
    <row r="96" spans="1:11" s="503" customFormat="1" ht="23.5" customHeight="1">
      <c r="A96" s="511"/>
      <c r="B96" s="581"/>
      <c r="C96" s="581"/>
      <c r="E96" s="581"/>
      <c r="F96" s="591"/>
      <c r="G96" s="596"/>
      <c r="H96" s="700"/>
      <c r="J96" s="597"/>
      <c r="K96" s="597"/>
    </row>
    <row r="97" spans="1:11" s="503" customFormat="1" ht="23.5" customHeight="1">
      <c r="A97" s="511"/>
      <c r="B97" s="581"/>
      <c r="C97" s="581"/>
      <c r="E97" s="581"/>
      <c r="F97" s="591"/>
      <c r="G97" s="601"/>
      <c r="H97" s="704"/>
      <c r="J97" s="597"/>
      <c r="K97" s="597"/>
    </row>
    <row r="98" spans="1:11" s="503" customFormat="1" ht="23.5" customHeight="1">
      <c r="A98" s="511"/>
      <c r="B98" s="581"/>
      <c r="C98" s="581"/>
      <c r="E98" s="581"/>
      <c r="F98" s="591"/>
      <c r="G98" s="596"/>
      <c r="H98" s="700"/>
      <c r="J98" s="597"/>
      <c r="K98" s="597"/>
    </row>
    <row r="99" spans="1:11" s="503" customFormat="1" ht="23.5" customHeight="1">
      <c r="A99" s="511"/>
      <c r="B99" s="581"/>
      <c r="C99" s="581"/>
      <c r="E99" s="581"/>
      <c r="F99" s="591"/>
      <c r="G99" s="591"/>
      <c r="H99" s="700"/>
      <c r="J99" s="597"/>
      <c r="K99" s="597"/>
    </row>
    <row r="100" spans="1:11" s="503" customFormat="1" ht="23.5" customHeight="1">
      <c r="A100" s="511"/>
      <c r="B100" s="581"/>
      <c r="C100" s="581"/>
      <c r="E100" s="581"/>
      <c r="F100" s="591"/>
      <c r="G100" s="591"/>
      <c r="H100" s="700"/>
      <c r="J100" s="597"/>
      <c r="K100" s="597"/>
    </row>
    <row r="101" spans="1:11" s="503" customFormat="1" ht="23.5" customHeight="1">
      <c r="A101" s="511"/>
      <c r="B101" s="581"/>
      <c r="C101" s="581"/>
      <c r="E101" s="581"/>
      <c r="F101" s="602"/>
      <c r="G101" s="603"/>
      <c r="H101" s="705"/>
      <c r="J101" s="597"/>
      <c r="K101" s="597"/>
    </row>
    <row r="102" spans="1:11" s="503" customFormat="1" ht="23.5" customHeight="1">
      <c r="A102" s="511"/>
      <c r="B102" s="581"/>
      <c r="C102" s="581"/>
      <c r="E102" s="581"/>
      <c r="F102" s="602"/>
      <c r="G102" s="603"/>
      <c r="H102" s="705"/>
      <c r="J102" s="597"/>
      <c r="K102" s="597"/>
    </row>
    <row r="103" spans="1:11" s="503" customFormat="1" ht="23.5" customHeight="1">
      <c r="A103" s="511"/>
      <c r="B103" s="581"/>
      <c r="C103" s="581"/>
      <c r="E103" s="581"/>
      <c r="F103" s="591"/>
      <c r="G103" s="603"/>
      <c r="H103" s="705"/>
      <c r="J103" s="597"/>
      <c r="K103" s="597"/>
    </row>
    <row r="104" spans="1:11" s="503" customFormat="1" ht="23.5" customHeight="1">
      <c r="A104" s="511"/>
      <c r="B104" s="581"/>
      <c r="C104" s="581"/>
      <c r="E104" s="581"/>
      <c r="F104" s="602"/>
      <c r="G104" s="603"/>
      <c r="H104" s="705"/>
      <c r="J104" s="597"/>
      <c r="K104" s="597"/>
    </row>
    <row r="105" spans="1:11" s="503" customFormat="1" ht="23.5" customHeight="1">
      <c r="A105" s="511"/>
      <c r="B105" s="581"/>
      <c r="C105" s="581"/>
      <c r="E105" s="581"/>
      <c r="F105" s="602"/>
      <c r="G105" s="603"/>
      <c r="H105" s="705"/>
      <c r="J105" s="597"/>
      <c r="K105" s="597"/>
    </row>
    <row r="106" spans="1:11" s="503" customFormat="1" ht="23.5" customHeight="1">
      <c r="A106" s="511"/>
      <c r="B106" s="581"/>
      <c r="C106" s="581"/>
      <c r="E106" s="581"/>
      <c r="F106" s="591"/>
      <c r="G106" s="591"/>
      <c r="H106" s="700"/>
      <c r="J106" s="597"/>
      <c r="K106" s="597"/>
    </row>
    <row r="107" spans="1:11" s="503" customFormat="1" ht="23.5" customHeight="1">
      <c r="A107" s="511"/>
      <c r="B107" s="581"/>
      <c r="C107" s="581"/>
      <c r="E107" s="581"/>
      <c r="F107" s="591"/>
      <c r="G107" s="591"/>
      <c r="H107" s="700"/>
      <c r="J107" s="597"/>
      <c r="K107" s="597"/>
    </row>
    <row r="108" spans="1:11" s="503" customFormat="1" ht="23.5" customHeight="1">
      <c r="A108" s="511"/>
      <c r="B108" s="581"/>
      <c r="C108" s="581"/>
      <c r="E108" s="581"/>
      <c r="F108" s="591"/>
      <c r="G108" s="591"/>
      <c r="H108" s="700"/>
      <c r="J108" s="597"/>
      <c r="K108" s="597"/>
    </row>
    <row r="109" spans="1:11" s="503" customFormat="1" ht="23.5" customHeight="1">
      <c r="A109" s="511"/>
      <c r="B109" s="581"/>
      <c r="C109" s="581"/>
      <c r="E109" s="581"/>
      <c r="F109" s="591"/>
      <c r="G109" s="591"/>
      <c r="H109" s="700"/>
      <c r="J109" s="597"/>
      <c r="K109" s="597"/>
    </row>
    <row r="110" spans="1:11" s="503" customFormat="1" ht="23.5" customHeight="1">
      <c r="A110" s="511"/>
      <c r="B110" s="581"/>
      <c r="C110" s="581"/>
      <c r="E110" s="581"/>
      <c r="F110" s="591"/>
      <c r="G110" s="591"/>
      <c r="H110" s="700"/>
      <c r="J110" s="597"/>
      <c r="K110" s="597"/>
    </row>
    <row r="111" spans="1:11" s="503" customFormat="1" ht="23.5" customHeight="1">
      <c r="A111" s="511"/>
      <c r="B111" s="581"/>
      <c r="C111" s="581"/>
      <c r="E111" s="581"/>
      <c r="F111" s="591"/>
      <c r="G111" s="591"/>
      <c r="H111" s="700"/>
      <c r="J111" s="597"/>
      <c r="K111" s="597"/>
    </row>
    <row r="112" spans="1:11" s="503" customFormat="1" ht="23.5" customHeight="1">
      <c r="A112" s="511"/>
      <c r="B112" s="581"/>
      <c r="C112" s="581"/>
      <c r="E112" s="581"/>
      <c r="F112" s="604"/>
      <c r="G112" s="604"/>
      <c r="H112" s="706"/>
      <c r="J112" s="597"/>
      <c r="K112" s="597"/>
    </row>
    <row r="113" spans="1:11" s="503" customFormat="1" ht="23.5" customHeight="1">
      <c r="A113" s="511"/>
      <c r="B113" s="581"/>
      <c r="C113" s="581"/>
      <c r="E113" s="581"/>
      <c r="F113" s="591"/>
      <c r="G113" s="591"/>
      <c r="H113" s="700"/>
      <c r="J113" s="597"/>
      <c r="K113" s="597"/>
    </row>
    <row r="114" spans="1:11" s="503" customFormat="1" ht="23.5" customHeight="1">
      <c r="A114" s="511"/>
      <c r="B114" s="581"/>
      <c r="C114" s="581"/>
      <c r="E114" s="581"/>
      <c r="F114" s="605"/>
      <c r="G114" s="606"/>
      <c r="H114" s="707"/>
      <c r="J114" s="597"/>
      <c r="K114" s="597"/>
    </row>
    <row r="115" spans="1:11" s="503" customFormat="1" ht="23.5" customHeight="1">
      <c r="A115" s="511"/>
      <c r="B115" s="581"/>
      <c r="C115" s="581"/>
      <c r="E115" s="581"/>
      <c r="F115" s="591"/>
      <c r="G115" s="591"/>
      <c r="H115" s="700"/>
      <c r="J115" s="597"/>
      <c r="K115" s="597"/>
    </row>
    <row r="116" spans="1:11" s="503" customFormat="1" ht="23.5" customHeight="1">
      <c r="A116" s="511"/>
      <c r="B116" s="581"/>
      <c r="C116" s="581"/>
      <c r="E116" s="581"/>
      <c r="F116" s="591"/>
      <c r="G116" s="591"/>
      <c r="H116" s="700"/>
      <c r="J116" s="597"/>
      <c r="K116" s="597"/>
    </row>
    <row r="117" spans="1:11" s="503" customFormat="1" ht="23.5" customHeight="1">
      <c r="A117" s="511"/>
      <c r="B117" s="581"/>
      <c r="C117" s="581"/>
      <c r="E117" s="581"/>
      <c r="F117" s="591"/>
      <c r="G117" s="591"/>
      <c r="H117" s="700"/>
      <c r="J117" s="597"/>
      <c r="K117" s="597"/>
    </row>
    <row r="118" spans="1:11" s="503" customFormat="1" ht="23.5" customHeight="1">
      <c r="A118" s="511"/>
      <c r="B118" s="581"/>
      <c r="C118" s="581"/>
      <c r="E118" s="581"/>
      <c r="F118" s="591"/>
      <c r="G118" s="591"/>
      <c r="H118" s="700"/>
      <c r="J118" s="597"/>
      <c r="K118" s="597"/>
    </row>
    <row r="119" spans="1:11" s="503" customFormat="1" ht="23.5" customHeight="1">
      <c r="A119" s="511"/>
      <c r="B119" s="581"/>
      <c r="C119" s="581"/>
      <c r="E119" s="581"/>
      <c r="F119" s="591"/>
      <c r="G119" s="511"/>
      <c r="H119" s="708"/>
      <c r="J119" s="597"/>
      <c r="K119" s="597"/>
    </row>
    <row r="120" spans="1:11" s="503" customFormat="1" ht="23.5" customHeight="1">
      <c r="A120" s="511"/>
      <c r="B120" s="581"/>
      <c r="C120" s="581"/>
      <c r="E120" s="581"/>
      <c r="F120" s="591"/>
      <c r="G120" s="591"/>
      <c r="H120" s="700"/>
      <c r="J120" s="597"/>
      <c r="K120" s="597"/>
    </row>
    <row r="121" spans="1:11" s="503" customFormat="1" ht="23.5" customHeight="1">
      <c r="A121" s="511"/>
      <c r="B121" s="581"/>
      <c r="C121" s="581"/>
      <c r="E121" s="581"/>
      <c r="F121" s="591"/>
      <c r="G121" s="511"/>
      <c r="H121" s="708"/>
      <c r="J121" s="597"/>
      <c r="K121" s="597"/>
    </row>
    <row r="122" spans="1:11" s="503" customFormat="1" ht="23.5" customHeight="1">
      <c r="A122" s="511"/>
      <c r="B122" s="581"/>
      <c r="C122" s="581"/>
      <c r="E122" s="581"/>
      <c r="F122" s="591"/>
      <c r="G122" s="591"/>
      <c r="H122" s="700"/>
      <c r="J122" s="597"/>
      <c r="K122" s="597"/>
    </row>
    <row r="123" spans="1:11" s="503" customFormat="1" ht="23.5" customHeight="1">
      <c r="A123" s="511"/>
      <c r="B123" s="581"/>
      <c r="C123" s="581"/>
      <c r="E123" s="581"/>
      <c r="F123" s="591"/>
      <c r="G123" s="511"/>
      <c r="H123" s="708"/>
      <c r="J123" s="597"/>
      <c r="K123" s="597"/>
    </row>
    <row r="124" spans="1:11" s="503" customFormat="1" ht="23.5" customHeight="1">
      <c r="A124" s="511"/>
      <c r="B124" s="581"/>
      <c r="C124" s="581"/>
      <c r="E124" s="581"/>
      <c r="F124" s="591"/>
      <c r="G124" s="591"/>
      <c r="H124" s="700"/>
      <c r="J124" s="597"/>
      <c r="K124" s="597"/>
    </row>
    <row r="125" spans="1:11" s="503" customFormat="1" ht="23.5" customHeight="1">
      <c r="A125" s="511"/>
      <c r="B125" s="581"/>
      <c r="C125" s="581"/>
      <c r="E125" s="581"/>
      <c r="F125" s="591"/>
      <c r="G125" s="591"/>
      <c r="H125" s="700"/>
      <c r="J125" s="597"/>
      <c r="K125" s="597"/>
    </row>
    <row r="126" spans="1:11" s="503" customFormat="1" ht="23.5" customHeight="1">
      <c r="A126" s="511"/>
      <c r="B126" s="581"/>
      <c r="C126" s="581"/>
      <c r="E126" s="581"/>
      <c r="F126" s="591"/>
      <c r="G126" s="591"/>
      <c r="H126" s="700"/>
      <c r="J126" s="597"/>
      <c r="K126" s="597"/>
    </row>
    <row r="127" spans="1:11" s="503" customFormat="1" ht="23.5" customHeight="1">
      <c r="A127" s="511"/>
      <c r="B127" s="581"/>
      <c r="C127" s="581"/>
      <c r="E127" s="581"/>
      <c r="F127" s="591"/>
      <c r="G127" s="511"/>
      <c r="H127" s="708"/>
      <c r="J127" s="597"/>
      <c r="K127" s="597"/>
    </row>
    <row r="128" spans="1:11" s="503" customFormat="1" ht="23.5" customHeight="1">
      <c r="A128" s="511"/>
      <c r="B128" s="581"/>
      <c r="C128" s="581"/>
      <c r="E128" s="581"/>
      <c r="F128" s="591"/>
      <c r="G128" s="591"/>
      <c r="H128" s="700"/>
      <c r="J128" s="597"/>
      <c r="K128" s="597"/>
    </row>
    <row r="129" spans="1:11" s="503" customFormat="1" ht="23.5" customHeight="1">
      <c r="A129" s="511"/>
      <c r="B129" s="581"/>
      <c r="C129" s="581"/>
      <c r="E129" s="581"/>
      <c r="F129" s="591"/>
      <c r="G129" s="591"/>
      <c r="H129" s="700"/>
      <c r="J129" s="597"/>
      <c r="K129" s="597"/>
    </row>
    <row r="130" spans="1:11" s="503" customFormat="1" ht="23.5" customHeight="1">
      <c r="A130" s="511"/>
      <c r="B130" s="581"/>
      <c r="C130" s="581"/>
      <c r="E130" s="581"/>
      <c r="F130" s="591"/>
      <c r="G130" s="591"/>
      <c r="H130" s="700"/>
      <c r="J130" s="597"/>
      <c r="K130" s="597"/>
    </row>
    <row r="131" spans="1:11" s="503" customFormat="1" ht="23.5" customHeight="1">
      <c r="A131" s="511"/>
      <c r="B131" s="581"/>
      <c r="C131" s="581"/>
      <c r="E131" s="581"/>
      <c r="F131" s="591"/>
      <c r="G131" s="511"/>
      <c r="H131" s="708"/>
      <c r="J131" s="597"/>
      <c r="K131" s="597"/>
    </row>
    <row r="132" spans="1:11" s="503" customFormat="1" ht="23.5" customHeight="1">
      <c r="A132" s="511"/>
      <c r="B132" s="581"/>
      <c r="C132" s="581"/>
      <c r="E132" s="581"/>
      <c r="F132" s="591"/>
      <c r="G132" s="591"/>
      <c r="H132" s="700"/>
      <c r="J132" s="597"/>
      <c r="K132" s="597"/>
    </row>
    <row r="133" spans="1:11" s="503" customFormat="1" ht="23.5" customHeight="1">
      <c r="A133" s="511"/>
      <c r="B133" s="581"/>
      <c r="C133" s="581"/>
      <c r="E133" s="581"/>
      <c r="F133" s="591"/>
      <c r="G133" s="591"/>
      <c r="H133" s="700"/>
      <c r="J133" s="597"/>
      <c r="K133" s="597"/>
    </row>
    <row r="134" spans="1:11" s="503" customFormat="1" ht="23.5" customHeight="1">
      <c r="A134" s="511"/>
      <c r="B134" s="581"/>
      <c r="C134" s="581"/>
      <c r="E134" s="581"/>
      <c r="F134" s="591"/>
      <c r="G134" s="591"/>
      <c r="H134" s="700"/>
      <c r="J134" s="597"/>
      <c r="K134" s="597"/>
    </row>
    <row r="135" spans="1:11" s="503" customFormat="1" ht="23.5" customHeight="1">
      <c r="A135" s="511"/>
      <c r="B135" s="581"/>
      <c r="C135" s="581"/>
      <c r="E135" s="581"/>
      <c r="F135" s="591"/>
      <c r="G135" s="511"/>
      <c r="H135" s="708"/>
      <c r="J135" s="597"/>
      <c r="K135" s="597"/>
    </row>
    <row r="136" spans="1:11" s="503" customFormat="1" ht="23.5" customHeight="1">
      <c r="A136" s="511"/>
      <c r="B136" s="581"/>
      <c r="C136" s="581"/>
      <c r="E136" s="581"/>
      <c r="F136" s="591"/>
      <c r="G136" s="591"/>
      <c r="H136" s="700"/>
      <c r="J136" s="597"/>
      <c r="K136" s="597"/>
    </row>
    <row r="137" spans="1:11" s="503" customFormat="1" ht="23.5" customHeight="1">
      <c r="A137" s="511"/>
      <c r="B137" s="581"/>
      <c r="C137" s="581"/>
      <c r="E137" s="581"/>
      <c r="F137" s="591"/>
      <c r="G137" s="591"/>
      <c r="H137" s="700"/>
      <c r="J137" s="597"/>
      <c r="K137" s="597"/>
    </row>
    <row r="138" spans="1:11" s="503" customFormat="1" ht="23.5" customHeight="1">
      <c r="A138" s="511"/>
      <c r="B138" s="581"/>
      <c r="C138" s="581"/>
      <c r="E138" s="581"/>
      <c r="F138" s="591"/>
      <c r="G138" s="591"/>
      <c r="H138" s="700"/>
      <c r="J138" s="597"/>
      <c r="K138" s="597"/>
    </row>
    <row r="139" spans="1:11" s="503" customFormat="1" ht="23.5" customHeight="1">
      <c r="A139" s="511"/>
      <c r="B139" s="581"/>
      <c r="C139" s="581"/>
      <c r="E139" s="581"/>
      <c r="F139" s="605"/>
      <c r="G139" s="606"/>
      <c r="H139" s="707"/>
      <c r="J139" s="597"/>
      <c r="K139" s="597"/>
    </row>
    <row r="140" spans="1:11" s="503" customFormat="1" ht="23.5" customHeight="1">
      <c r="A140" s="511"/>
      <c r="B140" s="581"/>
      <c r="C140" s="581"/>
      <c r="E140" s="581"/>
      <c r="F140" s="591"/>
      <c r="G140" s="591"/>
      <c r="H140" s="700"/>
      <c r="J140" s="597"/>
      <c r="K140" s="597"/>
    </row>
    <row r="141" spans="1:11" s="503" customFormat="1" ht="23.5" customHeight="1">
      <c r="A141" s="511"/>
      <c r="B141" s="581"/>
      <c r="C141" s="581"/>
      <c r="E141" s="581"/>
      <c r="F141" s="591"/>
      <c r="G141" s="591"/>
      <c r="H141" s="700"/>
      <c r="J141" s="597"/>
      <c r="K141" s="597"/>
    </row>
    <row r="142" spans="1:11" s="503" customFormat="1" ht="23.5" customHeight="1">
      <c r="A142" s="511"/>
      <c r="B142" s="581"/>
      <c r="C142" s="581"/>
      <c r="E142" s="581"/>
      <c r="F142" s="591"/>
      <c r="G142" s="591"/>
      <c r="H142" s="700"/>
      <c r="J142" s="597"/>
      <c r="K142" s="597"/>
    </row>
    <row r="143" spans="1:11" s="503" customFormat="1" ht="23.5" customHeight="1">
      <c r="A143" s="511"/>
      <c r="B143" s="581"/>
      <c r="C143" s="581"/>
      <c r="E143" s="581"/>
      <c r="F143" s="591"/>
      <c r="G143" s="591"/>
      <c r="H143" s="700"/>
      <c r="J143" s="597"/>
      <c r="K143" s="597"/>
    </row>
    <row r="144" spans="1:11" s="503" customFormat="1" ht="23.5" customHeight="1">
      <c r="A144" s="511"/>
      <c r="B144" s="581"/>
      <c r="C144" s="581"/>
      <c r="E144" s="581"/>
      <c r="F144" s="591"/>
      <c r="G144" s="511"/>
      <c r="H144" s="708"/>
      <c r="J144" s="597"/>
      <c r="K144" s="597"/>
    </row>
    <row r="145" spans="1:11" s="503" customFormat="1" ht="23.5" customHeight="1">
      <c r="A145" s="511"/>
      <c r="B145" s="581"/>
      <c r="C145" s="581"/>
      <c r="E145" s="581"/>
      <c r="F145" s="591"/>
      <c r="G145" s="591"/>
      <c r="H145" s="700"/>
      <c r="J145" s="597"/>
      <c r="K145" s="597"/>
    </row>
    <row r="146" spans="1:11" s="503" customFormat="1" ht="23.5" customHeight="1">
      <c r="A146" s="511"/>
      <c r="B146" s="581"/>
      <c r="C146" s="581"/>
      <c r="E146" s="581"/>
      <c r="F146" s="591"/>
      <c r="G146" s="591"/>
      <c r="H146" s="700"/>
      <c r="J146" s="597"/>
      <c r="K146" s="597"/>
    </row>
    <row r="147" spans="1:11" s="503" customFormat="1" ht="23.5" customHeight="1">
      <c r="A147" s="511"/>
      <c r="B147" s="581"/>
      <c r="C147" s="581"/>
      <c r="E147" s="581"/>
      <c r="F147" s="591"/>
      <c r="G147" s="591"/>
      <c r="H147" s="700"/>
      <c r="J147" s="597"/>
      <c r="K147" s="597"/>
    </row>
    <row r="148" spans="1:11" s="503" customFormat="1" ht="23.5" customHeight="1">
      <c r="A148" s="511"/>
      <c r="B148" s="581"/>
      <c r="C148" s="581"/>
      <c r="E148" s="581"/>
      <c r="F148" s="591"/>
      <c r="G148" s="511"/>
      <c r="H148" s="708"/>
      <c r="J148" s="597"/>
      <c r="K148" s="597"/>
    </row>
    <row r="149" spans="1:11" s="503" customFormat="1" ht="23.5" customHeight="1">
      <c r="A149" s="511"/>
      <c r="B149" s="581"/>
      <c r="C149" s="581"/>
      <c r="E149" s="581"/>
      <c r="F149" s="591"/>
      <c r="G149" s="591"/>
      <c r="H149" s="700"/>
      <c r="J149" s="597"/>
      <c r="K149" s="597"/>
    </row>
    <row r="150" spans="1:11" s="503" customFormat="1" ht="23.5" customHeight="1">
      <c r="A150" s="511"/>
      <c r="B150" s="581"/>
      <c r="C150" s="581"/>
      <c r="E150" s="581"/>
      <c r="F150" s="591"/>
      <c r="G150" s="591"/>
      <c r="H150" s="700"/>
      <c r="J150" s="597"/>
      <c r="K150" s="597"/>
    </row>
    <row r="151" spans="1:11" s="503" customFormat="1" ht="23.5" customHeight="1">
      <c r="A151" s="511"/>
      <c r="B151" s="581"/>
      <c r="C151" s="581"/>
      <c r="E151" s="581"/>
      <c r="F151" s="591"/>
      <c r="G151" s="591"/>
      <c r="H151" s="700"/>
      <c r="J151" s="597"/>
      <c r="K151" s="597"/>
    </row>
    <row r="152" spans="1:11" s="503" customFormat="1" ht="23.5" customHeight="1">
      <c r="A152" s="511"/>
      <c r="B152" s="581"/>
      <c r="C152" s="581"/>
      <c r="E152" s="581"/>
      <c r="F152" s="591"/>
      <c r="G152" s="511"/>
      <c r="H152" s="708"/>
      <c r="J152" s="597"/>
      <c r="K152" s="597"/>
    </row>
    <row r="153" spans="1:11" s="503" customFormat="1" ht="23.5" customHeight="1">
      <c r="A153" s="511"/>
      <c r="B153" s="581"/>
      <c r="C153" s="581"/>
      <c r="E153" s="581"/>
      <c r="F153" s="591"/>
      <c r="G153" s="591"/>
      <c r="H153" s="700"/>
      <c r="J153" s="597"/>
      <c r="K153" s="597"/>
    </row>
    <row r="154" spans="1:11" s="503" customFormat="1" ht="23.5" customHeight="1">
      <c r="A154" s="511"/>
      <c r="B154" s="581"/>
      <c r="C154" s="581"/>
      <c r="E154" s="581"/>
      <c r="F154" s="591"/>
      <c r="G154" s="591"/>
      <c r="H154" s="700"/>
      <c r="J154" s="597"/>
      <c r="K154" s="597"/>
    </row>
    <row r="155" spans="1:11" s="503" customFormat="1" ht="23.5" customHeight="1">
      <c r="A155" s="511"/>
      <c r="B155" s="581"/>
      <c r="C155" s="581"/>
      <c r="E155" s="581"/>
      <c r="F155" s="591"/>
      <c r="G155" s="591"/>
      <c r="H155" s="700"/>
      <c r="J155" s="597"/>
      <c r="K155" s="597"/>
    </row>
    <row r="156" spans="1:11" s="503" customFormat="1" ht="23.5" customHeight="1">
      <c r="A156" s="511"/>
      <c r="B156" s="581"/>
      <c r="C156" s="581"/>
      <c r="E156" s="581"/>
      <c r="F156" s="591"/>
      <c r="G156" s="511"/>
      <c r="H156" s="708"/>
      <c r="J156" s="597"/>
      <c r="K156" s="597"/>
    </row>
    <row r="157" spans="1:11" s="503" customFormat="1" ht="23.5" customHeight="1">
      <c r="A157" s="511"/>
      <c r="B157" s="581"/>
      <c r="C157" s="581"/>
      <c r="E157" s="581"/>
      <c r="F157" s="591"/>
      <c r="G157" s="591"/>
      <c r="H157" s="700"/>
      <c r="J157" s="597"/>
      <c r="K157" s="597"/>
    </row>
    <row r="158" spans="1:11" s="503" customFormat="1" ht="23.5" customHeight="1">
      <c r="A158" s="511"/>
      <c r="B158" s="581"/>
      <c r="C158" s="581"/>
      <c r="E158" s="581"/>
      <c r="F158" s="591"/>
      <c r="G158" s="591"/>
      <c r="H158" s="700"/>
      <c r="J158" s="597"/>
      <c r="K158" s="597"/>
    </row>
    <row r="159" spans="1:11" s="503" customFormat="1" ht="23.5" customHeight="1">
      <c r="A159" s="511"/>
      <c r="B159" s="581"/>
      <c r="C159" s="581"/>
      <c r="E159" s="581"/>
      <c r="F159" s="591"/>
      <c r="G159" s="591"/>
      <c r="H159" s="700"/>
      <c r="J159" s="597"/>
      <c r="K159" s="597"/>
    </row>
    <row r="160" spans="1:11" s="503" customFormat="1" ht="23.5" customHeight="1">
      <c r="A160" s="511"/>
      <c r="B160" s="581"/>
      <c r="C160" s="581"/>
      <c r="E160" s="581"/>
      <c r="F160" s="591"/>
      <c r="G160" s="511"/>
      <c r="H160" s="708"/>
      <c r="J160" s="597"/>
      <c r="K160" s="597"/>
    </row>
    <row r="161" spans="1:11" s="503" customFormat="1" ht="23.5" customHeight="1">
      <c r="A161" s="511"/>
      <c r="B161" s="581"/>
      <c r="C161" s="581"/>
      <c r="E161" s="581"/>
      <c r="F161" s="591"/>
      <c r="G161" s="591"/>
      <c r="H161" s="700"/>
      <c r="J161" s="597"/>
      <c r="K161" s="597"/>
    </row>
    <row r="162" spans="1:11" s="503" customFormat="1" ht="23.5" customHeight="1">
      <c r="A162" s="511"/>
      <c r="B162" s="581"/>
      <c r="C162" s="581"/>
      <c r="E162" s="581"/>
      <c r="F162" s="591"/>
      <c r="G162" s="591"/>
      <c r="H162" s="700"/>
      <c r="J162" s="597"/>
      <c r="K162" s="597"/>
    </row>
    <row r="163" spans="1:11" s="503" customFormat="1" ht="23.5" customHeight="1">
      <c r="A163" s="511"/>
      <c r="B163" s="581"/>
      <c r="C163" s="581"/>
      <c r="E163" s="581"/>
      <c r="F163" s="591"/>
      <c r="G163" s="591"/>
      <c r="H163" s="700"/>
      <c r="J163" s="597"/>
      <c r="K163" s="597"/>
    </row>
    <row r="164" spans="1:11" s="503" customFormat="1" ht="23.5" customHeight="1">
      <c r="A164" s="511"/>
      <c r="B164" s="581"/>
      <c r="C164" s="581"/>
      <c r="E164" s="581"/>
      <c r="F164" s="605"/>
      <c r="G164" s="606"/>
      <c r="H164" s="707"/>
      <c r="J164" s="597"/>
      <c r="K164" s="597"/>
    </row>
    <row r="165" spans="1:11" s="503" customFormat="1" ht="23.5" customHeight="1">
      <c r="A165" s="511"/>
      <c r="B165" s="581"/>
      <c r="C165" s="581"/>
      <c r="E165" s="581"/>
      <c r="F165" s="591"/>
      <c r="G165" s="591"/>
      <c r="H165" s="700"/>
      <c r="J165" s="597"/>
      <c r="K165" s="597"/>
    </row>
    <row r="166" spans="1:11" s="503" customFormat="1" ht="23.5" customHeight="1">
      <c r="A166" s="511"/>
      <c r="B166" s="581"/>
      <c r="C166" s="581"/>
      <c r="E166" s="581"/>
      <c r="F166" s="591"/>
      <c r="G166" s="591"/>
      <c r="H166" s="700"/>
      <c r="J166" s="597"/>
      <c r="K166" s="597"/>
    </row>
    <row r="167" spans="1:11" s="503" customFormat="1" ht="23.5" customHeight="1">
      <c r="A167" s="511"/>
      <c r="B167" s="581"/>
      <c r="C167" s="581"/>
      <c r="E167" s="581"/>
      <c r="F167" s="591"/>
      <c r="G167" s="591"/>
      <c r="H167" s="700"/>
      <c r="J167" s="597"/>
      <c r="K167" s="597"/>
    </row>
    <row r="168" spans="1:11" s="503" customFormat="1" ht="23.5" customHeight="1">
      <c r="A168" s="511"/>
      <c r="B168" s="581"/>
      <c r="C168" s="581"/>
      <c r="E168" s="581"/>
      <c r="F168" s="591"/>
      <c r="G168" s="591"/>
      <c r="H168" s="700"/>
      <c r="J168" s="597"/>
      <c r="K168" s="597"/>
    </row>
    <row r="169" spans="1:11" s="503" customFormat="1" ht="23.5" customHeight="1">
      <c r="A169" s="511"/>
      <c r="B169" s="581"/>
      <c r="C169" s="581"/>
      <c r="E169" s="581"/>
      <c r="F169" s="591"/>
      <c r="G169" s="511"/>
      <c r="H169" s="708"/>
      <c r="J169" s="597"/>
      <c r="K169" s="597"/>
    </row>
    <row r="170" spans="1:11" s="503" customFormat="1" ht="23.5" customHeight="1">
      <c r="A170" s="511"/>
      <c r="B170" s="581"/>
      <c r="C170" s="581"/>
      <c r="E170" s="581"/>
      <c r="F170" s="591"/>
      <c r="G170" s="591"/>
      <c r="H170" s="700"/>
      <c r="J170" s="597"/>
      <c r="K170" s="597"/>
    </row>
    <row r="171" spans="1:11" s="503" customFormat="1" ht="23.5" customHeight="1">
      <c r="A171" s="511"/>
      <c r="B171" s="581"/>
      <c r="C171" s="581"/>
      <c r="E171" s="581"/>
      <c r="F171" s="591"/>
      <c r="G171" s="591"/>
      <c r="H171" s="700"/>
      <c r="J171" s="597"/>
      <c r="K171" s="597"/>
    </row>
    <row r="172" spans="1:11" s="503" customFormat="1" ht="23.5" customHeight="1">
      <c r="A172" s="511"/>
      <c r="B172" s="581"/>
      <c r="C172" s="581"/>
      <c r="E172" s="581"/>
      <c r="F172" s="591"/>
      <c r="G172" s="591"/>
      <c r="H172" s="700"/>
      <c r="J172" s="597"/>
      <c r="K172" s="597"/>
    </row>
    <row r="173" spans="1:11" s="503" customFormat="1" ht="23.5" customHeight="1">
      <c r="A173" s="511"/>
      <c r="B173" s="581"/>
      <c r="C173" s="581"/>
      <c r="E173" s="581"/>
      <c r="F173" s="591"/>
      <c r="G173" s="511"/>
      <c r="H173" s="708"/>
      <c r="J173" s="597"/>
      <c r="K173" s="597"/>
    </row>
    <row r="174" spans="1:11" s="503" customFormat="1" ht="23.5" customHeight="1">
      <c r="A174" s="511"/>
      <c r="B174" s="581"/>
      <c r="C174" s="581"/>
      <c r="E174" s="581"/>
      <c r="F174" s="591"/>
      <c r="G174" s="591"/>
      <c r="H174" s="700"/>
      <c r="J174" s="597"/>
      <c r="K174" s="597"/>
    </row>
    <row r="175" spans="1:11" s="503" customFormat="1" ht="23.5" customHeight="1">
      <c r="A175" s="511"/>
      <c r="B175" s="581"/>
      <c r="C175" s="581"/>
      <c r="E175" s="581"/>
      <c r="F175" s="591"/>
      <c r="G175" s="591"/>
      <c r="H175" s="700"/>
      <c r="J175" s="597"/>
      <c r="K175" s="597"/>
    </row>
    <row r="176" spans="1:11" s="503" customFormat="1" ht="23.5" customHeight="1">
      <c r="A176" s="511"/>
      <c r="B176" s="581"/>
      <c r="C176" s="581"/>
      <c r="E176" s="581"/>
      <c r="F176" s="591"/>
      <c r="G176" s="591"/>
      <c r="H176" s="700"/>
      <c r="J176" s="597"/>
      <c r="K176" s="597"/>
    </row>
    <row r="177" spans="1:11" s="503" customFormat="1" ht="23.5" customHeight="1">
      <c r="A177" s="511"/>
      <c r="B177" s="581"/>
      <c r="C177" s="581"/>
      <c r="E177" s="581"/>
      <c r="F177" s="591"/>
      <c r="G177" s="511"/>
      <c r="H177" s="708"/>
      <c r="J177" s="597"/>
      <c r="K177" s="597"/>
    </row>
    <row r="178" spans="1:11" s="503" customFormat="1" ht="23.5" customHeight="1">
      <c r="A178" s="511"/>
      <c r="B178" s="581"/>
      <c r="C178" s="581"/>
      <c r="E178" s="581"/>
      <c r="F178" s="591"/>
      <c r="G178" s="591"/>
      <c r="H178" s="700"/>
      <c r="J178" s="597"/>
      <c r="K178" s="597"/>
    </row>
    <row r="179" spans="1:11" s="503" customFormat="1" ht="23.5" customHeight="1">
      <c r="A179" s="511"/>
      <c r="B179" s="581"/>
      <c r="C179" s="581"/>
      <c r="E179" s="581"/>
      <c r="F179" s="591"/>
      <c r="G179" s="591"/>
      <c r="H179" s="700"/>
      <c r="J179" s="597"/>
      <c r="K179" s="597"/>
    </row>
    <row r="180" spans="1:11" s="503" customFormat="1" ht="23.5" customHeight="1">
      <c r="A180" s="511"/>
      <c r="B180" s="581"/>
      <c r="C180" s="581"/>
      <c r="E180" s="581"/>
      <c r="F180" s="591"/>
      <c r="G180" s="591"/>
      <c r="H180" s="700"/>
      <c r="J180" s="597"/>
      <c r="K180" s="597"/>
    </row>
    <row r="181" spans="1:11" s="503" customFormat="1" ht="23.5" customHeight="1">
      <c r="A181" s="511"/>
      <c r="B181" s="581"/>
      <c r="C181" s="581"/>
      <c r="E181" s="581"/>
      <c r="F181" s="591"/>
      <c r="G181" s="511"/>
      <c r="H181" s="708"/>
      <c r="J181" s="597"/>
      <c r="K181" s="597"/>
    </row>
    <row r="182" spans="1:11" s="503" customFormat="1" ht="23.5" customHeight="1">
      <c r="A182" s="511"/>
      <c r="B182" s="581"/>
      <c r="C182" s="581"/>
      <c r="E182" s="581"/>
      <c r="F182" s="591"/>
      <c r="G182" s="591"/>
      <c r="H182" s="700"/>
      <c r="J182" s="597"/>
      <c r="K182" s="597"/>
    </row>
    <row r="183" spans="1:11" s="503" customFormat="1" ht="23.5" customHeight="1">
      <c r="A183" s="511"/>
      <c r="B183" s="581"/>
      <c r="C183" s="581"/>
      <c r="E183" s="581"/>
      <c r="F183" s="591"/>
      <c r="G183" s="591"/>
      <c r="H183" s="700"/>
      <c r="J183" s="597"/>
      <c r="K183" s="597"/>
    </row>
    <row r="184" spans="1:11" s="503" customFormat="1" ht="23.5" customHeight="1">
      <c r="A184" s="511"/>
      <c r="B184" s="581"/>
      <c r="C184" s="581"/>
      <c r="E184" s="581"/>
      <c r="F184" s="591"/>
      <c r="G184" s="591"/>
      <c r="H184" s="700"/>
      <c r="J184" s="597"/>
      <c r="K184" s="597"/>
    </row>
    <row r="185" spans="1:11" s="503" customFormat="1" ht="23.5" customHeight="1">
      <c r="A185" s="511"/>
      <c r="B185" s="581"/>
      <c r="C185" s="581"/>
      <c r="E185" s="581"/>
      <c r="F185" s="591"/>
      <c r="G185" s="511"/>
      <c r="H185" s="708"/>
      <c r="J185" s="597"/>
      <c r="K185" s="597"/>
    </row>
    <row r="186" spans="1:11" s="503" customFormat="1" ht="23.5" customHeight="1">
      <c r="A186" s="511"/>
      <c r="B186" s="581"/>
      <c r="C186" s="581"/>
      <c r="E186" s="581"/>
      <c r="F186" s="591"/>
      <c r="G186" s="591"/>
      <c r="H186" s="700"/>
      <c r="J186" s="597"/>
      <c r="K186" s="597"/>
    </row>
    <row r="187" spans="1:11" s="503" customFormat="1" ht="23.5" customHeight="1">
      <c r="A187" s="511"/>
      <c r="B187" s="581"/>
      <c r="C187" s="581"/>
      <c r="E187" s="581"/>
      <c r="F187" s="591"/>
      <c r="G187" s="591"/>
      <c r="H187" s="700"/>
      <c r="J187" s="597"/>
      <c r="K187" s="597"/>
    </row>
    <row r="188" spans="1:11" s="503" customFormat="1" ht="23.5" customHeight="1">
      <c r="A188" s="511"/>
      <c r="B188" s="581"/>
      <c r="C188" s="581"/>
      <c r="E188" s="581"/>
      <c r="F188" s="591"/>
      <c r="G188" s="591"/>
      <c r="H188" s="700"/>
      <c r="J188" s="597"/>
      <c r="K188" s="597"/>
    </row>
    <row r="189" spans="1:11" s="503" customFormat="1" ht="23.5" customHeight="1">
      <c r="A189" s="511"/>
      <c r="B189" s="581"/>
      <c r="C189" s="581"/>
      <c r="E189" s="581"/>
      <c r="F189" s="605"/>
      <c r="G189" s="606"/>
      <c r="H189" s="707"/>
      <c r="J189" s="597"/>
      <c r="K189" s="597"/>
    </row>
    <row r="190" spans="1:11" s="503" customFormat="1" ht="23.5" customHeight="1">
      <c r="A190" s="511"/>
      <c r="B190" s="581"/>
      <c r="C190" s="581"/>
      <c r="E190" s="581"/>
      <c r="F190" s="591"/>
      <c r="G190" s="591"/>
      <c r="H190" s="700"/>
      <c r="J190" s="597"/>
      <c r="K190" s="597"/>
    </row>
    <row r="191" spans="1:11" s="503" customFormat="1" ht="23.5" customHeight="1">
      <c r="A191" s="511"/>
      <c r="B191" s="581"/>
      <c r="C191" s="581"/>
      <c r="E191" s="581"/>
      <c r="F191" s="591"/>
      <c r="G191" s="591"/>
      <c r="H191" s="700"/>
      <c r="J191" s="597"/>
      <c r="K191" s="597"/>
    </row>
    <row r="192" spans="1:11" s="503" customFormat="1" ht="23.5" customHeight="1">
      <c r="A192" s="511"/>
      <c r="B192" s="581"/>
      <c r="C192" s="581"/>
      <c r="E192" s="581"/>
      <c r="F192" s="591"/>
      <c r="G192" s="591"/>
      <c r="H192" s="700"/>
      <c r="J192" s="597"/>
      <c r="K192" s="597"/>
    </row>
    <row r="193" spans="1:11" s="503" customFormat="1" ht="23.5" customHeight="1">
      <c r="A193" s="511"/>
      <c r="B193" s="581"/>
      <c r="C193" s="581"/>
      <c r="E193" s="581"/>
      <c r="F193" s="591"/>
      <c r="G193" s="591"/>
      <c r="H193" s="700"/>
      <c r="J193" s="597"/>
      <c r="K193" s="597"/>
    </row>
    <row r="194" spans="1:11" s="503" customFormat="1" ht="23.5" customHeight="1">
      <c r="A194" s="511"/>
      <c r="B194" s="581"/>
      <c r="C194" s="581"/>
      <c r="E194" s="581"/>
      <c r="F194" s="591"/>
      <c r="G194" s="511"/>
      <c r="H194" s="708"/>
      <c r="J194" s="597"/>
      <c r="K194" s="597"/>
    </row>
    <row r="195" spans="1:11" s="503" customFormat="1" ht="23.5" customHeight="1">
      <c r="A195" s="511"/>
      <c r="B195" s="581"/>
      <c r="C195" s="581"/>
      <c r="E195" s="581"/>
      <c r="F195" s="591"/>
      <c r="G195" s="591"/>
      <c r="H195" s="700"/>
      <c r="J195" s="597"/>
      <c r="K195" s="597"/>
    </row>
    <row r="196" spans="1:11" s="503" customFormat="1" ht="23.5" customHeight="1">
      <c r="A196" s="511"/>
      <c r="B196" s="581"/>
      <c r="C196" s="581"/>
      <c r="E196" s="581"/>
      <c r="F196" s="591"/>
      <c r="G196" s="591"/>
      <c r="H196" s="700"/>
      <c r="J196" s="597"/>
      <c r="K196" s="597"/>
    </row>
    <row r="197" spans="1:11" s="503" customFormat="1" ht="23.5" customHeight="1">
      <c r="A197" s="511"/>
      <c r="B197" s="581"/>
      <c r="C197" s="581"/>
      <c r="E197" s="581"/>
      <c r="F197" s="591"/>
      <c r="G197" s="591"/>
      <c r="H197" s="700"/>
      <c r="J197" s="597"/>
      <c r="K197" s="597"/>
    </row>
    <row r="198" spans="1:11" s="503" customFormat="1" ht="23.5" customHeight="1">
      <c r="A198" s="511"/>
      <c r="B198" s="581"/>
      <c r="C198" s="581"/>
      <c r="E198" s="581"/>
      <c r="F198" s="591"/>
      <c r="G198" s="511"/>
      <c r="H198" s="708"/>
      <c r="J198" s="597"/>
      <c r="K198" s="597"/>
    </row>
    <row r="199" spans="1:11" s="503" customFormat="1" ht="23.5" customHeight="1">
      <c r="A199" s="511"/>
      <c r="B199" s="581"/>
      <c r="C199" s="581"/>
      <c r="E199" s="581"/>
      <c r="F199" s="591"/>
      <c r="G199" s="591"/>
      <c r="H199" s="700"/>
      <c r="J199" s="597"/>
      <c r="K199" s="597"/>
    </row>
    <row r="200" spans="1:11" s="503" customFormat="1" ht="23.5" customHeight="1">
      <c r="A200" s="511"/>
      <c r="B200" s="581"/>
      <c r="C200" s="581"/>
      <c r="E200" s="581"/>
      <c r="F200" s="591"/>
      <c r="G200" s="591"/>
      <c r="H200" s="700"/>
      <c r="J200" s="597"/>
      <c r="K200" s="597"/>
    </row>
    <row r="201" spans="1:11" s="503" customFormat="1" ht="23.5" customHeight="1">
      <c r="A201" s="511"/>
      <c r="B201" s="581"/>
      <c r="C201" s="581"/>
      <c r="E201" s="581"/>
      <c r="F201" s="591"/>
      <c r="G201" s="591"/>
      <c r="H201" s="700"/>
      <c r="J201" s="597"/>
      <c r="K201" s="597"/>
    </row>
    <row r="202" spans="1:11" s="503" customFormat="1" ht="23.5" customHeight="1">
      <c r="A202" s="511"/>
      <c r="B202" s="581"/>
      <c r="C202" s="581"/>
      <c r="E202" s="581"/>
      <c r="F202" s="591"/>
      <c r="G202" s="511"/>
      <c r="H202" s="708"/>
      <c r="J202" s="597"/>
      <c r="K202" s="597"/>
    </row>
    <row r="203" spans="1:11" s="503" customFormat="1" ht="23.5" customHeight="1">
      <c r="A203" s="511"/>
      <c r="B203" s="581"/>
      <c r="C203" s="581"/>
      <c r="E203" s="581"/>
      <c r="F203" s="591"/>
      <c r="G203" s="591"/>
      <c r="H203" s="700"/>
      <c r="J203" s="597"/>
      <c r="K203" s="597"/>
    </row>
    <row r="204" spans="1:11" s="503" customFormat="1" ht="23.5" customHeight="1">
      <c r="A204" s="511"/>
      <c r="B204" s="581"/>
      <c r="C204" s="581"/>
      <c r="E204" s="581"/>
      <c r="F204" s="591"/>
      <c r="G204" s="591"/>
      <c r="H204" s="700"/>
      <c r="J204" s="597"/>
      <c r="K204" s="597"/>
    </row>
    <row r="205" spans="1:11" s="503" customFormat="1" ht="23.5" customHeight="1">
      <c r="A205" s="511"/>
      <c r="B205" s="581"/>
      <c r="C205" s="581"/>
      <c r="E205" s="581"/>
      <c r="F205" s="591"/>
      <c r="G205" s="591"/>
      <c r="H205" s="700"/>
      <c r="J205" s="597"/>
      <c r="K205" s="597"/>
    </row>
    <row r="206" spans="1:11" s="503" customFormat="1" ht="23.5" customHeight="1">
      <c r="A206" s="511"/>
      <c r="B206" s="581"/>
      <c r="C206" s="581"/>
      <c r="E206" s="581"/>
      <c r="F206" s="591"/>
      <c r="G206" s="511"/>
      <c r="H206" s="708"/>
      <c r="J206" s="597"/>
      <c r="K206" s="597"/>
    </row>
    <row r="207" spans="1:11" s="503" customFormat="1" ht="23.5" customHeight="1">
      <c r="A207" s="511"/>
      <c r="B207" s="581"/>
      <c r="C207" s="581"/>
      <c r="E207" s="581"/>
      <c r="F207" s="591"/>
      <c r="G207" s="591"/>
      <c r="H207" s="700"/>
      <c r="J207" s="597"/>
      <c r="K207" s="597"/>
    </row>
    <row r="208" spans="1:11" s="503" customFormat="1" ht="23.5" customHeight="1">
      <c r="A208" s="511"/>
      <c r="B208" s="581"/>
      <c r="C208" s="581"/>
      <c r="E208" s="581"/>
      <c r="F208" s="591"/>
      <c r="G208" s="591"/>
      <c r="H208" s="700"/>
      <c r="J208" s="597"/>
      <c r="K208" s="597"/>
    </row>
    <row r="209" spans="1:11" s="503" customFormat="1" ht="23.5" customHeight="1">
      <c r="A209" s="511"/>
      <c r="B209" s="581"/>
      <c r="C209" s="581"/>
      <c r="E209" s="581"/>
      <c r="F209" s="591"/>
      <c r="G209" s="591"/>
      <c r="H209" s="700"/>
      <c r="J209" s="597"/>
      <c r="K209" s="597"/>
    </row>
    <row r="210" spans="1:11" s="503" customFormat="1" ht="23.5" customHeight="1">
      <c r="A210" s="511"/>
      <c r="B210" s="581"/>
      <c r="C210" s="581"/>
      <c r="E210" s="581"/>
      <c r="F210" s="591"/>
      <c r="G210" s="511"/>
      <c r="H210" s="708"/>
      <c r="J210" s="597"/>
      <c r="K210" s="597"/>
    </row>
    <row r="211" spans="1:11" s="503" customFormat="1" ht="23.5" customHeight="1">
      <c r="A211" s="511"/>
      <c r="B211" s="581"/>
      <c r="C211" s="581"/>
      <c r="E211" s="581"/>
      <c r="F211" s="591"/>
      <c r="G211" s="591"/>
      <c r="H211" s="700"/>
      <c r="J211" s="597"/>
      <c r="K211" s="597"/>
    </row>
    <row r="212" spans="1:11" s="503" customFormat="1" ht="23.5" customHeight="1">
      <c r="A212" s="511"/>
      <c r="B212" s="581"/>
      <c r="C212" s="581"/>
      <c r="E212" s="581"/>
      <c r="F212" s="591"/>
      <c r="G212" s="591"/>
      <c r="H212" s="700"/>
      <c r="J212" s="597"/>
      <c r="K212" s="597"/>
    </row>
    <row r="213" spans="1:11" s="503" customFormat="1" ht="23.5" customHeight="1">
      <c r="A213" s="511"/>
      <c r="B213" s="581"/>
      <c r="C213" s="581"/>
      <c r="E213" s="581"/>
      <c r="F213" s="591"/>
      <c r="G213" s="591"/>
      <c r="H213" s="700"/>
      <c r="J213" s="597"/>
      <c r="K213" s="597"/>
    </row>
    <row r="214" spans="1:11" s="503" customFormat="1" ht="23.5" customHeight="1">
      <c r="A214" s="511"/>
      <c r="B214" s="581"/>
      <c r="C214" s="581"/>
      <c r="E214" s="581"/>
      <c r="F214" s="605"/>
      <c r="G214" s="606"/>
      <c r="H214" s="707"/>
      <c r="J214" s="597"/>
      <c r="K214" s="597"/>
    </row>
    <row r="215" spans="1:11" s="503" customFormat="1" ht="23.5" customHeight="1">
      <c r="A215" s="511"/>
      <c r="B215" s="581"/>
      <c r="C215" s="581"/>
      <c r="E215" s="581"/>
      <c r="F215" s="591"/>
      <c r="G215" s="591"/>
      <c r="H215" s="700"/>
      <c r="J215" s="597"/>
      <c r="K215" s="597"/>
    </row>
    <row r="216" spans="1:11" s="503" customFormat="1" ht="23.5" customHeight="1">
      <c r="A216" s="511"/>
      <c r="B216" s="581"/>
      <c r="C216" s="581"/>
      <c r="E216" s="581"/>
      <c r="F216" s="591"/>
      <c r="G216" s="591"/>
      <c r="H216" s="700"/>
      <c r="J216" s="597"/>
      <c r="K216" s="597"/>
    </row>
    <row r="217" spans="1:11" s="503" customFormat="1" ht="23.5" customHeight="1">
      <c r="A217" s="511"/>
      <c r="B217" s="581"/>
      <c r="C217" s="581"/>
      <c r="E217" s="581"/>
      <c r="F217" s="591"/>
      <c r="G217" s="591"/>
      <c r="H217" s="700"/>
      <c r="J217" s="597"/>
      <c r="K217" s="597"/>
    </row>
    <row r="218" spans="1:11" s="503" customFormat="1" ht="23.5" customHeight="1">
      <c r="A218" s="511"/>
      <c r="B218" s="581"/>
      <c r="C218" s="581"/>
      <c r="E218" s="581"/>
      <c r="F218" s="591"/>
      <c r="G218" s="591"/>
      <c r="H218" s="700"/>
      <c r="J218" s="597"/>
      <c r="K218" s="597"/>
    </row>
    <row r="219" spans="1:11" s="503" customFormat="1" ht="23.5" customHeight="1">
      <c r="A219" s="511"/>
      <c r="B219" s="581"/>
      <c r="C219" s="581"/>
      <c r="E219" s="581"/>
      <c r="F219" s="591"/>
      <c r="G219" s="511"/>
      <c r="H219" s="708"/>
      <c r="J219" s="597"/>
      <c r="K219" s="597"/>
    </row>
    <row r="220" spans="1:11" s="503" customFormat="1" ht="23.5" customHeight="1">
      <c r="A220" s="511"/>
      <c r="B220" s="581"/>
      <c r="C220" s="581"/>
      <c r="E220" s="581"/>
      <c r="F220" s="591"/>
      <c r="G220" s="591"/>
      <c r="H220" s="700"/>
      <c r="J220" s="597"/>
      <c r="K220" s="597"/>
    </row>
    <row r="221" spans="1:11" s="503" customFormat="1" ht="23.5" customHeight="1">
      <c r="A221" s="511"/>
      <c r="B221" s="581"/>
      <c r="C221" s="581"/>
      <c r="E221" s="581"/>
      <c r="F221" s="591"/>
      <c r="G221" s="591"/>
      <c r="H221" s="700"/>
      <c r="J221" s="597"/>
      <c r="K221" s="597"/>
    </row>
    <row r="222" spans="1:11" s="503" customFormat="1" ht="23.5" customHeight="1">
      <c r="A222" s="511"/>
      <c r="B222" s="581"/>
      <c r="C222" s="581"/>
      <c r="E222" s="581"/>
      <c r="F222" s="591"/>
      <c r="G222" s="591"/>
      <c r="H222" s="700"/>
      <c r="J222" s="597"/>
      <c r="K222" s="597"/>
    </row>
    <row r="223" spans="1:11" s="503" customFormat="1" ht="23.5" customHeight="1">
      <c r="A223" s="511"/>
      <c r="B223" s="581"/>
      <c r="C223" s="581"/>
      <c r="E223" s="581"/>
      <c r="F223" s="591"/>
      <c r="G223" s="511"/>
      <c r="H223" s="708"/>
      <c r="J223" s="597"/>
      <c r="K223" s="597"/>
    </row>
    <row r="224" spans="1:11" s="503" customFormat="1" ht="23.5" customHeight="1">
      <c r="A224" s="511"/>
      <c r="B224" s="581"/>
      <c r="C224" s="581"/>
      <c r="E224" s="581"/>
      <c r="F224" s="591"/>
      <c r="G224" s="591"/>
      <c r="H224" s="700"/>
      <c r="J224" s="597"/>
      <c r="K224" s="597"/>
    </row>
    <row r="225" spans="1:11" s="503" customFormat="1" ht="23.5" customHeight="1">
      <c r="A225" s="511"/>
      <c r="B225" s="581"/>
      <c r="C225" s="581"/>
      <c r="E225" s="581"/>
      <c r="F225" s="591"/>
      <c r="G225" s="591"/>
      <c r="H225" s="700"/>
      <c r="J225" s="597"/>
      <c r="K225" s="597"/>
    </row>
    <row r="226" spans="1:11" s="503" customFormat="1" ht="23.5" customHeight="1">
      <c r="A226" s="511"/>
      <c r="B226" s="581"/>
      <c r="C226" s="581"/>
      <c r="E226" s="581"/>
      <c r="F226" s="591"/>
      <c r="G226" s="591"/>
      <c r="H226" s="700"/>
      <c r="J226" s="597"/>
      <c r="K226" s="597"/>
    </row>
    <row r="227" spans="1:11" s="503" customFormat="1" ht="23.5" customHeight="1">
      <c r="A227" s="511"/>
      <c r="B227" s="581"/>
      <c r="C227" s="581"/>
      <c r="E227" s="581"/>
      <c r="F227" s="591"/>
      <c r="G227" s="511"/>
      <c r="H227" s="708"/>
      <c r="J227" s="597"/>
      <c r="K227" s="597"/>
    </row>
    <row r="228" spans="1:11" s="503" customFormat="1" ht="23.5" customHeight="1">
      <c r="A228" s="511"/>
      <c r="B228" s="581"/>
      <c r="C228" s="581"/>
      <c r="E228" s="581"/>
      <c r="F228" s="591"/>
      <c r="G228" s="591"/>
      <c r="H228" s="700"/>
      <c r="J228" s="597"/>
      <c r="K228" s="597"/>
    </row>
    <row r="229" spans="1:11" s="503" customFormat="1" ht="23.5" customHeight="1">
      <c r="A229" s="511"/>
      <c r="B229" s="581"/>
      <c r="C229" s="581"/>
      <c r="E229" s="581"/>
      <c r="F229" s="591"/>
      <c r="G229" s="591"/>
      <c r="H229" s="700"/>
      <c r="J229" s="597"/>
      <c r="K229" s="597"/>
    </row>
    <row r="230" spans="1:11" s="503" customFormat="1" ht="23.5" customHeight="1">
      <c r="A230" s="511"/>
      <c r="B230" s="581"/>
      <c r="C230" s="581"/>
      <c r="E230" s="581"/>
      <c r="F230" s="591"/>
      <c r="G230" s="591"/>
      <c r="H230" s="700"/>
      <c r="J230" s="597"/>
      <c r="K230" s="597"/>
    </row>
    <row r="231" spans="1:11" s="503" customFormat="1" ht="23.5" customHeight="1">
      <c r="A231" s="511"/>
      <c r="B231" s="581"/>
      <c r="C231" s="581"/>
      <c r="E231" s="581"/>
      <c r="F231" s="591"/>
      <c r="G231" s="511"/>
      <c r="H231" s="708"/>
      <c r="J231" s="597"/>
      <c r="K231" s="597"/>
    </row>
    <row r="232" spans="1:11" s="503" customFormat="1" ht="23.5" customHeight="1">
      <c r="A232" s="511"/>
      <c r="B232" s="581"/>
      <c r="C232" s="581"/>
      <c r="E232" s="581"/>
      <c r="F232" s="591"/>
      <c r="G232" s="591"/>
      <c r="H232" s="700"/>
      <c r="J232" s="597"/>
      <c r="K232" s="597"/>
    </row>
    <row r="233" spans="1:11" s="503" customFormat="1" ht="23.5" customHeight="1">
      <c r="A233" s="511"/>
      <c r="B233" s="581"/>
      <c r="C233" s="581"/>
      <c r="E233" s="581"/>
      <c r="F233" s="591"/>
      <c r="G233" s="591"/>
      <c r="H233" s="700"/>
      <c r="J233" s="597"/>
      <c r="K233" s="597"/>
    </row>
    <row r="234" spans="1:11" s="503" customFormat="1" ht="23.5" customHeight="1">
      <c r="A234" s="511"/>
      <c r="B234" s="581"/>
      <c r="C234" s="581"/>
      <c r="E234" s="581"/>
      <c r="F234" s="591"/>
      <c r="G234" s="591"/>
      <c r="H234" s="700"/>
      <c r="J234" s="597"/>
      <c r="K234" s="597"/>
    </row>
    <row r="235" spans="1:11" s="503" customFormat="1" ht="23.5" customHeight="1">
      <c r="A235" s="511"/>
      <c r="B235" s="581"/>
      <c r="C235" s="581"/>
      <c r="E235" s="581"/>
      <c r="F235" s="591"/>
      <c r="G235" s="511"/>
      <c r="H235" s="708"/>
      <c r="J235" s="597"/>
      <c r="K235" s="597"/>
    </row>
    <row r="236" spans="1:11" s="503" customFormat="1" ht="23.5" customHeight="1">
      <c r="A236" s="511"/>
      <c r="B236" s="581"/>
      <c r="C236" s="581"/>
      <c r="E236" s="581"/>
      <c r="F236" s="591"/>
      <c r="G236" s="591"/>
      <c r="H236" s="700"/>
      <c r="J236" s="597"/>
      <c r="K236" s="597"/>
    </row>
    <row r="237" spans="1:11" s="503" customFormat="1" ht="23.5" customHeight="1">
      <c r="A237" s="511"/>
      <c r="B237" s="581"/>
      <c r="C237" s="581"/>
      <c r="E237" s="581"/>
      <c r="F237" s="591"/>
      <c r="G237" s="591"/>
      <c r="H237" s="700"/>
      <c r="J237" s="597"/>
      <c r="K237" s="597"/>
    </row>
    <row r="238" spans="1:11" s="503" customFormat="1" ht="23.5" customHeight="1">
      <c r="A238" s="511"/>
      <c r="B238" s="581"/>
      <c r="C238" s="581"/>
      <c r="E238" s="581"/>
      <c r="F238" s="591"/>
      <c r="G238" s="591"/>
      <c r="H238" s="700"/>
      <c r="J238" s="597"/>
      <c r="K238" s="597"/>
    </row>
  </sheetData>
  <autoFilter ref="A1:L29" xr:uid="{00000000-0009-0000-0000-000003000000}">
    <sortState xmlns:xlrd2="http://schemas.microsoft.com/office/spreadsheetml/2017/richdata2" ref="A2:L29">
      <sortCondition ref="B1:B29"/>
    </sortState>
  </autoFilter>
  <pageMargins left="0.75" right="0.75" top="1" bottom="1" header="0.5" footer="0.5"/>
  <pageSetup orientation="portrait" r:id="rId1"/>
  <headerFooter alignWithMargins="0">
    <oddHeader>&amp;L&amp;"Arial"&amp;9&amp;K0078D7 INTERNAL&amp;1#_x000D_</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7C00-1AAC-4EFA-B314-0F60A95E6A7D}">
  <sheetPr codeName="Sheet23"/>
  <dimension ref="A1:N98"/>
  <sheetViews>
    <sheetView workbookViewId="0">
      <selection activeCell="B11" sqref="B11"/>
    </sheetView>
  </sheetViews>
  <sheetFormatPr defaultRowHeight="10"/>
  <cols>
    <col min="1" max="1" width="24.7265625" style="255" bestFit="1" customWidth="1"/>
    <col min="2" max="2" width="18.7265625" style="256" bestFit="1" customWidth="1"/>
    <col min="3" max="3" width="8.1796875" style="256" bestFit="1" customWidth="1"/>
    <col min="4" max="5" width="8.26953125" style="256" bestFit="1" customWidth="1"/>
    <col min="6" max="6" width="7.26953125" style="256" bestFit="1" customWidth="1"/>
    <col min="7" max="7" width="26.1796875" style="257" bestFit="1" customWidth="1"/>
    <col min="8" max="8" width="20.7265625" style="257" bestFit="1" customWidth="1"/>
    <col min="9" max="9" width="20.81640625" style="257" bestFit="1" customWidth="1"/>
    <col min="10" max="10" width="19.54296875" style="256" bestFit="1" customWidth="1"/>
    <col min="11" max="11" width="17.1796875" style="256" bestFit="1" customWidth="1"/>
    <col min="12" max="12" width="22.1796875" style="258" customWidth="1"/>
    <col min="13" max="13" width="13.26953125" style="221" customWidth="1"/>
    <col min="14" max="14" width="11" style="221" customWidth="1"/>
    <col min="15" max="256" width="9.1796875" style="221"/>
    <col min="257" max="257" width="24.7265625" style="221" bestFit="1" customWidth="1"/>
    <col min="258" max="258" width="18.7265625" style="221" bestFit="1" customWidth="1"/>
    <col min="259" max="259" width="8.1796875" style="221" bestFit="1" customWidth="1"/>
    <col min="260" max="261" width="8.26953125" style="221" bestFit="1" customWidth="1"/>
    <col min="262" max="262" width="7.26953125" style="221" bestFit="1" customWidth="1"/>
    <col min="263" max="263" width="26.1796875" style="221" bestFit="1" customWidth="1"/>
    <col min="264" max="264" width="20.7265625" style="221" bestFit="1" customWidth="1"/>
    <col min="265" max="265" width="20.81640625" style="221" bestFit="1" customWidth="1"/>
    <col min="266" max="266" width="19.54296875" style="221" bestFit="1" customWidth="1"/>
    <col min="267" max="267" width="17.1796875" style="221" bestFit="1" customWidth="1"/>
    <col min="268" max="268" width="22.1796875" style="221" customWidth="1"/>
    <col min="269" max="269" width="13.26953125" style="221" customWidth="1"/>
    <col min="270" max="270" width="11" style="221" customWidth="1"/>
    <col min="271" max="512" width="9.1796875" style="221"/>
    <col min="513" max="513" width="24.7265625" style="221" bestFit="1" customWidth="1"/>
    <col min="514" max="514" width="18.7265625" style="221" bestFit="1" customWidth="1"/>
    <col min="515" max="515" width="8.1796875" style="221" bestFit="1" customWidth="1"/>
    <col min="516" max="517" width="8.26953125" style="221" bestFit="1" customWidth="1"/>
    <col min="518" max="518" width="7.26953125" style="221" bestFit="1" customWidth="1"/>
    <col min="519" max="519" width="26.1796875" style="221" bestFit="1" customWidth="1"/>
    <col min="520" max="520" width="20.7265625" style="221" bestFit="1" customWidth="1"/>
    <col min="521" max="521" width="20.81640625" style="221" bestFit="1" customWidth="1"/>
    <col min="522" max="522" width="19.54296875" style="221" bestFit="1" customWidth="1"/>
    <col min="523" max="523" width="17.1796875" style="221" bestFit="1" customWidth="1"/>
    <col min="524" max="524" width="22.1796875" style="221" customWidth="1"/>
    <col min="525" max="525" width="13.26953125" style="221" customWidth="1"/>
    <col min="526" max="526" width="11" style="221" customWidth="1"/>
    <col min="527" max="768" width="9.1796875" style="221"/>
    <col min="769" max="769" width="24.7265625" style="221" bestFit="1" customWidth="1"/>
    <col min="770" max="770" width="18.7265625" style="221" bestFit="1" customWidth="1"/>
    <col min="771" max="771" width="8.1796875" style="221" bestFit="1" customWidth="1"/>
    <col min="772" max="773" width="8.26953125" style="221" bestFit="1" customWidth="1"/>
    <col min="774" max="774" width="7.26953125" style="221" bestFit="1" customWidth="1"/>
    <col min="775" max="775" width="26.1796875" style="221" bestFit="1" customWidth="1"/>
    <col min="776" max="776" width="20.7265625" style="221" bestFit="1" customWidth="1"/>
    <col min="777" max="777" width="20.81640625" style="221" bestFit="1" customWidth="1"/>
    <col min="778" max="778" width="19.54296875" style="221" bestFit="1" customWidth="1"/>
    <col min="779" max="779" width="17.1796875" style="221" bestFit="1" customWidth="1"/>
    <col min="780" max="780" width="22.1796875" style="221" customWidth="1"/>
    <col min="781" max="781" width="13.26953125" style="221" customWidth="1"/>
    <col min="782" max="782" width="11" style="221" customWidth="1"/>
    <col min="783" max="1024" width="9.1796875" style="221"/>
    <col min="1025" max="1025" width="24.7265625" style="221" bestFit="1" customWidth="1"/>
    <col min="1026" max="1026" width="18.7265625" style="221" bestFit="1" customWidth="1"/>
    <col min="1027" max="1027" width="8.1796875" style="221" bestFit="1" customWidth="1"/>
    <col min="1028" max="1029" width="8.26953125" style="221" bestFit="1" customWidth="1"/>
    <col min="1030" max="1030" width="7.26953125" style="221" bestFit="1" customWidth="1"/>
    <col min="1031" max="1031" width="26.1796875" style="221" bestFit="1" customWidth="1"/>
    <col min="1032" max="1032" width="20.7265625" style="221" bestFit="1" customWidth="1"/>
    <col min="1033" max="1033" width="20.81640625" style="221" bestFit="1" customWidth="1"/>
    <col min="1034" max="1034" width="19.54296875" style="221" bestFit="1" customWidth="1"/>
    <col min="1035" max="1035" width="17.1796875" style="221" bestFit="1" customWidth="1"/>
    <col min="1036" max="1036" width="22.1796875" style="221" customWidth="1"/>
    <col min="1037" max="1037" width="13.26953125" style="221" customWidth="1"/>
    <col min="1038" max="1038" width="11" style="221" customWidth="1"/>
    <col min="1039" max="1280" width="9.1796875" style="221"/>
    <col min="1281" max="1281" width="24.7265625" style="221" bestFit="1" customWidth="1"/>
    <col min="1282" max="1282" width="18.7265625" style="221" bestFit="1" customWidth="1"/>
    <col min="1283" max="1283" width="8.1796875" style="221" bestFit="1" customWidth="1"/>
    <col min="1284" max="1285" width="8.26953125" style="221" bestFit="1" customWidth="1"/>
    <col min="1286" max="1286" width="7.26953125" style="221" bestFit="1" customWidth="1"/>
    <col min="1287" max="1287" width="26.1796875" style="221" bestFit="1" customWidth="1"/>
    <col min="1288" max="1288" width="20.7265625" style="221" bestFit="1" customWidth="1"/>
    <col min="1289" max="1289" width="20.81640625" style="221" bestFit="1" customWidth="1"/>
    <col min="1290" max="1290" width="19.54296875" style="221" bestFit="1" customWidth="1"/>
    <col min="1291" max="1291" width="17.1796875" style="221" bestFit="1" customWidth="1"/>
    <col min="1292" max="1292" width="22.1796875" style="221" customWidth="1"/>
    <col min="1293" max="1293" width="13.26953125" style="221" customWidth="1"/>
    <col min="1294" max="1294" width="11" style="221" customWidth="1"/>
    <col min="1295" max="1536" width="9.1796875" style="221"/>
    <col min="1537" max="1537" width="24.7265625" style="221" bestFit="1" customWidth="1"/>
    <col min="1538" max="1538" width="18.7265625" style="221" bestFit="1" customWidth="1"/>
    <col min="1539" max="1539" width="8.1796875" style="221" bestFit="1" customWidth="1"/>
    <col min="1540" max="1541" width="8.26953125" style="221" bestFit="1" customWidth="1"/>
    <col min="1542" max="1542" width="7.26953125" style="221" bestFit="1" customWidth="1"/>
    <col min="1543" max="1543" width="26.1796875" style="221" bestFit="1" customWidth="1"/>
    <col min="1544" max="1544" width="20.7265625" style="221" bestFit="1" customWidth="1"/>
    <col min="1545" max="1545" width="20.81640625" style="221" bestFit="1" customWidth="1"/>
    <col min="1546" max="1546" width="19.54296875" style="221" bestFit="1" customWidth="1"/>
    <col min="1547" max="1547" width="17.1796875" style="221" bestFit="1" customWidth="1"/>
    <col min="1548" max="1548" width="22.1796875" style="221" customWidth="1"/>
    <col min="1549" max="1549" width="13.26953125" style="221" customWidth="1"/>
    <col min="1550" max="1550" width="11" style="221" customWidth="1"/>
    <col min="1551" max="1792" width="9.1796875" style="221"/>
    <col min="1793" max="1793" width="24.7265625" style="221" bestFit="1" customWidth="1"/>
    <col min="1794" max="1794" width="18.7265625" style="221" bestFit="1" customWidth="1"/>
    <col min="1795" max="1795" width="8.1796875" style="221" bestFit="1" customWidth="1"/>
    <col min="1796" max="1797" width="8.26953125" style="221" bestFit="1" customWidth="1"/>
    <col min="1798" max="1798" width="7.26953125" style="221" bestFit="1" customWidth="1"/>
    <col min="1799" max="1799" width="26.1796875" style="221" bestFit="1" customWidth="1"/>
    <col min="1800" max="1800" width="20.7265625" style="221" bestFit="1" customWidth="1"/>
    <col min="1801" max="1801" width="20.81640625" style="221" bestFit="1" customWidth="1"/>
    <col min="1802" max="1802" width="19.54296875" style="221" bestFit="1" customWidth="1"/>
    <col min="1803" max="1803" width="17.1796875" style="221" bestFit="1" customWidth="1"/>
    <col min="1804" max="1804" width="22.1796875" style="221" customWidth="1"/>
    <col min="1805" max="1805" width="13.26953125" style="221" customWidth="1"/>
    <col min="1806" max="1806" width="11" style="221" customWidth="1"/>
    <col min="1807" max="2048" width="9.1796875" style="221"/>
    <col min="2049" max="2049" width="24.7265625" style="221" bestFit="1" customWidth="1"/>
    <col min="2050" max="2050" width="18.7265625" style="221" bestFit="1" customWidth="1"/>
    <col min="2051" max="2051" width="8.1796875" style="221" bestFit="1" customWidth="1"/>
    <col min="2052" max="2053" width="8.26953125" style="221" bestFit="1" customWidth="1"/>
    <col min="2054" max="2054" width="7.26953125" style="221" bestFit="1" customWidth="1"/>
    <col min="2055" max="2055" width="26.1796875" style="221" bestFit="1" customWidth="1"/>
    <col min="2056" max="2056" width="20.7265625" style="221" bestFit="1" customWidth="1"/>
    <col min="2057" max="2057" width="20.81640625" style="221" bestFit="1" customWidth="1"/>
    <col min="2058" max="2058" width="19.54296875" style="221" bestFit="1" customWidth="1"/>
    <col min="2059" max="2059" width="17.1796875" style="221" bestFit="1" customWidth="1"/>
    <col min="2060" max="2060" width="22.1796875" style="221" customWidth="1"/>
    <col min="2061" max="2061" width="13.26953125" style="221" customWidth="1"/>
    <col min="2062" max="2062" width="11" style="221" customWidth="1"/>
    <col min="2063" max="2304" width="9.1796875" style="221"/>
    <col min="2305" max="2305" width="24.7265625" style="221" bestFit="1" customWidth="1"/>
    <col min="2306" max="2306" width="18.7265625" style="221" bestFit="1" customWidth="1"/>
    <col min="2307" max="2307" width="8.1796875" style="221" bestFit="1" customWidth="1"/>
    <col min="2308" max="2309" width="8.26953125" style="221" bestFit="1" customWidth="1"/>
    <col min="2310" max="2310" width="7.26953125" style="221" bestFit="1" customWidth="1"/>
    <col min="2311" max="2311" width="26.1796875" style="221" bestFit="1" customWidth="1"/>
    <col min="2312" max="2312" width="20.7265625" style="221" bestFit="1" customWidth="1"/>
    <col min="2313" max="2313" width="20.81640625" style="221" bestFit="1" customWidth="1"/>
    <col min="2314" max="2314" width="19.54296875" style="221" bestFit="1" customWidth="1"/>
    <col min="2315" max="2315" width="17.1796875" style="221" bestFit="1" customWidth="1"/>
    <col min="2316" max="2316" width="22.1796875" style="221" customWidth="1"/>
    <col min="2317" max="2317" width="13.26953125" style="221" customWidth="1"/>
    <col min="2318" max="2318" width="11" style="221" customWidth="1"/>
    <col min="2319" max="2560" width="9.1796875" style="221"/>
    <col min="2561" max="2561" width="24.7265625" style="221" bestFit="1" customWidth="1"/>
    <col min="2562" max="2562" width="18.7265625" style="221" bestFit="1" customWidth="1"/>
    <col min="2563" max="2563" width="8.1796875" style="221" bestFit="1" customWidth="1"/>
    <col min="2564" max="2565" width="8.26953125" style="221" bestFit="1" customWidth="1"/>
    <col min="2566" max="2566" width="7.26953125" style="221" bestFit="1" customWidth="1"/>
    <col min="2567" max="2567" width="26.1796875" style="221" bestFit="1" customWidth="1"/>
    <col min="2568" max="2568" width="20.7265625" style="221" bestFit="1" customWidth="1"/>
    <col min="2569" max="2569" width="20.81640625" style="221" bestFit="1" customWidth="1"/>
    <col min="2570" max="2570" width="19.54296875" style="221" bestFit="1" customWidth="1"/>
    <col min="2571" max="2571" width="17.1796875" style="221" bestFit="1" customWidth="1"/>
    <col min="2572" max="2572" width="22.1796875" style="221" customWidth="1"/>
    <col min="2573" max="2573" width="13.26953125" style="221" customWidth="1"/>
    <col min="2574" max="2574" width="11" style="221" customWidth="1"/>
    <col min="2575" max="2816" width="9.1796875" style="221"/>
    <col min="2817" max="2817" width="24.7265625" style="221" bestFit="1" customWidth="1"/>
    <col min="2818" max="2818" width="18.7265625" style="221" bestFit="1" customWidth="1"/>
    <col min="2819" max="2819" width="8.1796875" style="221" bestFit="1" customWidth="1"/>
    <col min="2820" max="2821" width="8.26953125" style="221" bestFit="1" customWidth="1"/>
    <col min="2822" max="2822" width="7.26953125" style="221" bestFit="1" customWidth="1"/>
    <col min="2823" max="2823" width="26.1796875" style="221" bestFit="1" customWidth="1"/>
    <col min="2824" max="2824" width="20.7265625" style="221" bestFit="1" customWidth="1"/>
    <col min="2825" max="2825" width="20.81640625" style="221" bestFit="1" customWidth="1"/>
    <col min="2826" max="2826" width="19.54296875" style="221" bestFit="1" customWidth="1"/>
    <col min="2827" max="2827" width="17.1796875" style="221" bestFit="1" customWidth="1"/>
    <col min="2828" max="2828" width="22.1796875" style="221" customWidth="1"/>
    <col min="2829" max="2829" width="13.26953125" style="221" customWidth="1"/>
    <col min="2830" max="2830" width="11" style="221" customWidth="1"/>
    <col min="2831" max="3072" width="9.1796875" style="221"/>
    <col min="3073" max="3073" width="24.7265625" style="221" bestFit="1" customWidth="1"/>
    <col min="3074" max="3074" width="18.7265625" style="221" bestFit="1" customWidth="1"/>
    <col min="3075" max="3075" width="8.1796875" style="221" bestFit="1" customWidth="1"/>
    <col min="3076" max="3077" width="8.26953125" style="221" bestFit="1" customWidth="1"/>
    <col min="3078" max="3078" width="7.26953125" style="221" bestFit="1" customWidth="1"/>
    <col min="3079" max="3079" width="26.1796875" style="221" bestFit="1" customWidth="1"/>
    <col min="3080" max="3080" width="20.7265625" style="221" bestFit="1" customWidth="1"/>
    <col min="3081" max="3081" width="20.81640625" style="221" bestFit="1" customWidth="1"/>
    <col min="3082" max="3082" width="19.54296875" style="221" bestFit="1" customWidth="1"/>
    <col min="3083" max="3083" width="17.1796875" style="221" bestFit="1" customWidth="1"/>
    <col min="3084" max="3084" width="22.1796875" style="221" customWidth="1"/>
    <col min="3085" max="3085" width="13.26953125" style="221" customWidth="1"/>
    <col min="3086" max="3086" width="11" style="221" customWidth="1"/>
    <col min="3087" max="3328" width="9.1796875" style="221"/>
    <col min="3329" max="3329" width="24.7265625" style="221" bestFit="1" customWidth="1"/>
    <col min="3330" max="3330" width="18.7265625" style="221" bestFit="1" customWidth="1"/>
    <col min="3331" max="3331" width="8.1796875" style="221" bestFit="1" customWidth="1"/>
    <col min="3332" max="3333" width="8.26953125" style="221" bestFit="1" customWidth="1"/>
    <col min="3334" max="3334" width="7.26953125" style="221" bestFit="1" customWidth="1"/>
    <col min="3335" max="3335" width="26.1796875" style="221" bestFit="1" customWidth="1"/>
    <col min="3336" max="3336" width="20.7265625" style="221" bestFit="1" customWidth="1"/>
    <col min="3337" max="3337" width="20.81640625" style="221" bestFit="1" customWidth="1"/>
    <col min="3338" max="3338" width="19.54296875" style="221" bestFit="1" customWidth="1"/>
    <col min="3339" max="3339" width="17.1796875" style="221" bestFit="1" customWidth="1"/>
    <col min="3340" max="3340" width="22.1796875" style="221" customWidth="1"/>
    <col min="3341" max="3341" width="13.26953125" style="221" customWidth="1"/>
    <col min="3342" max="3342" width="11" style="221" customWidth="1"/>
    <col min="3343" max="3584" width="9.1796875" style="221"/>
    <col min="3585" max="3585" width="24.7265625" style="221" bestFit="1" customWidth="1"/>
    <col min="3586" max="3586" width="18.7265625" style="221" bestFit="1" customWidth="1"/>
    <col min="3587" max="3587" width="8.1796875" style="221" bestFit="1" customWidth="1"/>
    <col min="3588" max="3589" width="8.26953125" style="221" bestFit="1" customWidth="1"/>
    <col min="3590" max="3590" width="7.26953125" style="221" bestFit="1" customWidth="1"/>
    <col min="3591" max="3591" width="26.1796875" style="221" bestFit="1" customWidth="1"/>
    <col min="3592" max="3592" width="20.7265625" style="221" bestFit="1" customWidth="1"/>
    <col min="3593" max="3593" width="20.81640625" style="221" bestFit="1" customWidth="1"/>
    <col min="3594" max="3594" width="19.54296875" style="221" bestFit="1" customWidth="1"/>
    <col min="3595" max="3595" width="17.1796875" style="221" bestFit="1" customWidth="1"/>
    <col min="3596" max="3596" width="22.1796875" style="221" customWidth="1"/>
    <col min="3597" max="3597" width="13.26953125" style="221" customWidth="1"/>
    <col min="3598" max="3598" width="11" style="221" customWidth="1"/>
    <col min="3599" max="3840" width="9.1796875" style="221"/>
    <col min="3841" max="3841" width="24.7265625" style="221" bestFit="1" customWidth="1"/>
    <col min="3842" max="3842" width="18.7265625" style="221" bestFit="1" customWidth="1"/>
    <col min="3843" max="3843" width="8.1796875" style="221" bestFit="1" customWidth="1"/>
    <col min="3844" max="3845" width="8.26953125" style="221" bestFit="1" customWidth="1"/>
    <col min="3846" max="3846" width="7.26953125" style="221" bestFit="1" customWidth="1"/>
    <col min="3847" max="3847" width="26.1796875" style="221" bestFit="1" customWidth="1"/>
    <col min="3848" max="3848" width="20.7265625" style="221" bestFit="1" customWidth="1"/>
    <col min="3849" max="3849" width="20.81640625" style="221" bestFit="1" customWidth="1"/>
    <col min="3850" max="3850" width="19.54296875" style="221" bestFit="1" customWidth="1"/>
    <col min="3851" max="3851" width="17.1796875" style="221" bestFit="1" customWidth="1"/>
    <col min="3852" max="3852" width="22.1796875" style="221" customWidth="1"/>
    <col min="3853" max="3853" width="13.26953125" style="221" customWidth="1"/>
    <col min="3854" max="3854" width="11" style="221" customWidth="1"/>
    <col min="3855" max="4096" width="9.1796875" style="221"/>
    <col min="4097" max="4097" width="24.7265625" style="221" bestFit="1" customWidth="1"/>
    <col min="4098" max="4098" width="18.7265625" style="221" bestFit="1" customWidth="1"/>
    <col min="4099" max="4099" width="8.1796875" style="221" bestFit="1" customWidth="1"/>
    <col min="4100" max="4101" width="8.26953125" style="221" bestFit="1" customWidth="1"/>
    <col min="4102" max="4102" width="7.26953125" style="221" bestFit="1" customWidth="1"/>
    <col min="4103" max="4103" width="26.1796875" style="221" bestFit="1" customWidth="1"/>
    <col min="4104" max="4104" width="20.7265625" style="221" bestFit="1" customWidth="1"/>
    <col min="4105" max="4105" width="20.81640625" style="221" bestFit="1" customWidth="1"/>
    <col min="4106" max="4106" width="19.54296875" style="221" bestFit="1" customWidth="1"/>
    <col min="4107" max="4107" width="17.1796875" style="221" bestFit="1" customWidth="1"/>
    <col min="4108" max="4108" width="22.1796875" style="221" customWidth="1"/>
    <col min="4109" max="4109" width="13.26953125" style="221" customWidth="1"/>
    <col min="4110" max="4110" width="11" style="221" customWidth="1"/>
    <col min="4111" max="4352" width="9.1796875" style="221"/>
    <col min="4353" max="4353" width="24.7265625" style="221" bestFit="1" customWidth="1"/>
    <col min="4354" max="4354" width="18.7265625" style="221" bestFit="1" customWidth="1"/>
    <col min="4355" max="4355" width="8.1796875" style="221" bestFit="1" customWidth="1"/>
    <col min="4356" max="4357" width="8.26953125" style="221" bestFit="1" customWidth="1"/>
    <col min="4358" max="4358" width="7.26953125" style="221" bestFit="1" customWidth="1"/>
    <col min="4359" max="4359" width="26.1796875" style="221" bestFit="1" customWidth="1"/>
    <col min="4360" max="4360" width="20.7265625" style="221" bestFit="1" customWidth="1"/>
    <col min="4361" max="4361" width="20.81640625" style="221" bestFit="1" customWidth="1"/>
    <col min="4362" max="4362" width="19.54296875" style="221" bestFit="1" customWidth="1"/>
    <col min="4363" max="4363" width="17.1796875" style="221" bestFit="1" customWidth="1"/>
    <col min="4364" max="4364" width="22.1796875" style="221" customWidth="1"/>
    <col min="4365" max="4365" width="13.26953125" style="221" customWidth="1"/>
    <col min="4366" max="4366" width="11" style="221" customWidth="1"/>
    <col min="4367" max="4608" width="9.1796875" style="221"/>
    <col min="4609" max="4609" width="24.7265625" style="221" bestFit="1" customWidth="1"/>
    <col min="4610" max="4610" width="18.7265625" style="221" bestFit="1" customWidth="1"/>
    <col min="4611" max="4611" width="8.1796875" style="221" bestFit="1" customWidth="1"/>
    <col min="4612" max="4613" width="8.26953125" style="221" bestFit="1" customWidth="1"/>
    <col min="4614" max="4614" width="7.26953125" style="221" bestFit="1" customWidth="1"/>
    <col min="4615" max="4615" width="26.1796875" style="221" bestFit="1" customWidth="1"/>
    <col min="4616" max="4616" width="20.7265625" style="221" bestFit="1" customWidth="1"/>
    <col min="4617" max="4617" width="20.81640625" style="221" bestFit="1" customWidth="1"/>
    <col min="4618" max="4618" width="19.54296875" style="221" bestFit="1" customWidth="1"/>
    <col min="4619" max="4619" width="17.1796875" style="221" bestFit="1" customWidth="1"/>
    <col min="4620" max="4620" width="22.1796875" style="221" customWidth="1"/>
    <col min="4621" max="4621" width="13.26953125" style="221" customWidth="1"/>
    <col min="4622" max="4622" width="11" style="221" customWidth="1"/>
    <col min="4623" max="4864" width="9.1796875" style="221"/>
    <col min="4865" max="4865" width="24.7265625" style="221" bestFit="1" customWidth="1"/>
    <col min="4866" max="4866" width="18.7265625" style="221" bestFit="1" customWidth="1"/>
    <col min="4867" max="4867" width="8.1796875" style="221" bestFit="1" customWidth="1"/>
    <col min="4868" max="4869" width="8.26953125" style="221" bestFit="1" customWidth="1"/>
    <col min="4870" max="4870" width="7.26953125" style="221" bestFit="1" customWidth="1"/>
    <col min="4871" max="4871" width="26.1796875" style="221" bestFit="1" customWidth="1"/>
    <col min="4872" max="4872" width="20.7265625" style="221" bestFit="1" customWidth="1"/>
    <col min="4873" max="4873" width="20.81640625" style="221" bestFit="1" customWidth="1"/>
    <col min="4874" max="4874" width="19.54296875" style="221" bestFit="1" customWidth="1"/>
    <col min="4875" max="4875" width="17.1796875" style="221" bestFit="1" customWidth="1"/>
    <col min="4876" max="4876" width="22.1796875" style="221" customWidth="1"/>
    <col min="4877" max="4877" width="13.26953125" style="221" customWidth="1"/>
    <col min="4878" max="4878" width="11" style="221" customWidth="1"/>
    <col min="4879" max="5120" width="9.1796875" style="221"/>
    <col min="5121" max="5121" width="24.7265625" style="221" bestFit="1" customWidth="1"/>
    <col min="5122" max="5122" width="18.7265625" style="221" bestFit="1" customWidth="1"/>
    <col min="5123" max="5123" width="8.1796875" style="221" bestFit="1" customWidth="1"/>
    <col min="5124" max="5125" width="8.26953125" style="221" bestFit="1" customWidth="1"/>
    <col min="5126" max="5126" width="7.26953125" style="221" bestFit="1" customWidth="1"/>
    <col min="5127" max="5127" width="26.1796875" style="221" bestFit="1" customWidth="1"/>
    <col min="5128" max="5128" width="20.7265625" style="221" bestFit="1" customWidth="1"/>
    <col min="5129" max="5129" width="20.81640625" style="221" bestFit="1" customWidth="1"/>
    <col min="5130" max="5130" width="19.54296875" style="221" bestFit="1" customWidth="1"/>
    <col min="5131" max="5131" width="17.1796875" style="221" bestFit="1" customWidth="1"/>
    <col min="5132" max="5132" width="22.1796875" style="221" customWidth="1"/>
    <col min="5133" max="5133" width="13.26953125" style="221" customWidth="1"/>
    <col min="5134" max="5134" width="11" style="221" customWidth="1"/>
    <col min="5135" max="5376" width="9.1796875" style="221"/>
    <col min="5377" max="5377" width="24.7265625" style="221" bestFit="1" customWidth="1"/>
    <col min="5378" max="5378" width="18.7265625" style="221" bestFit="1" customWidth="1"/>
    <col min="5379" max="5379" width="8.1796875" style="221" bestFit="1" customWidth="1"/>
    <col min="5380" max="5381" width="8.26953125" style="221" bestFit="1" customWidth="1"/>
    <col min="5382" max="5382" width="7.26953125" style="221" bestFit="1" customWidth="1"/>
    <col min="5383" max="5383" width="26.1796875" style="221" bestFit="1" customWidth="1"/>
    <col min="5384" max="5384" width="20.7265625" style="221" bestFit="1" customWidth="1"/>
    <col min="5385" max="5385" width="20.81640625" style="221" bestFit="1" customWidth="1"/>
    <col min="5386" max="5386" width="19.54296875" style="221" bestFit="1" customWidth="1"/>
    <col min="5387" max="5387" width="17.1796875" style="221" bestFit="1" customWidth="1"/>
    <col min="5388" max="5388" width="22.1796875" style="221" customWidth="1"/>
    <col min="5389" max="5389" width="13.26953125" style="221" customWidth="1"/>
    <col min="5390" max="5390" width="11" style="221" customWidth="1"/>
    <col min="5391" max="5632" width="9.1796875" style="221"/>
    <col min="5633" max="5633" width="24.7265625" style="221" bestFit="1" customWidth="1"/>
    <col min="5634" max="5634" width="18.7265625" style="221" bestFit="1" customWidth="1"/>
    <col min="5635" max="5635" width="8.1796875" style="221" bestFit="1" customWidth="1"/>
    <col min="5636" max="5637" width="8.26953125" style="221" bestFit="1" customWidth="1"/>
    <col min="5638" max="5638" width="7.26953125" style="221" bestFit="1" customWidth="1"/>
    <col min="5639" max="5639" width="26.1796875" style="221" bestFit="1" customWidth="1"/>
    <col min="5640" max="5640" width="20.7265625" style="221" bestFit="1" customWidth="1"/>
    <col min="5641" max="5641" width="20.81640625" style="221" bestFit="1" customWidth="1"/>
    <col min="5642" max="5642" width="19.54296875" style="221" bestFit="1" customWidth="1"/>
    <col min="5643" max="5643" width="17.1796875" style="221" bestFit="1" customWidth="1"/>
    <col min="5644" max="5644" width="22.1796875" style="221" customWidth="1"/>
    <col min="5645" max="5645" width="13.26953125" style="221" customWidth="1"/>
    <col min="5646" max="5646" width="11" style="221" customWidth="1"/>
    <col min="5647" max="5888" width="9.1796875" style="221"/>
    <col min="5889" max="5889" width="24.7265625" style="221" bestFit="1" customWidth="1"/>
    <col min="5890" max="5890" width="18.7265625" style="221" bestFit="1" customWidth="1"/>
    <col min="5891" max="5891" width="8.1796875" style="221" bestFit="1" customWidth="1"/>
    <col min="5892" max="5893" width="8.26953125" style="221" bestFit="1" customWidth="1"/>
    <col min="5894" max="5894" width="7.26953125" style="221" bestFit="1" customWidth="1"/>
    <col min="5895" max="5895" width="26.1796875" style="221" bestFit="1" customWidth="1"/>
    <col min="5896" max="5896" width="20.7265625" style="221" bestFit="1" customWidth="1"/>
    <col min="5897" max="5897" width="20.81640625" style="221" bestFit="1" customWidth="1"/>
    <col min="5898" max="5898" width="19.54296875" style="221" bestFit="1" customWidth="1"/>
    <col min="5899" max="5899" width="17.1796875" style="221" bestFit="1" customWidth="1"/>
    <col min="5900" max="5900" width="22.1796875" style="221" customWidth="1"/>
    <col min="5901" max="5901" width="13.26953125" style="221" customWidth="1"/>
    <col min="5902" max="5902" width="11" style="221" customWidth="1"/>
    <col min="5903" max="6144" width="9.1796875" style="221"/>
    <col min="6145" max="6145" width="24.7265625" style="221" bestFit="1" customWidth="1"/>
    <col min="6146" max="6146" width="18.7265625" style="221" bestFit="1" customWidth="1"/>
    <col min="6147" max="6147" width="8.1796875" style="221" bestFit="1" customWidth="1"/>
    <col min="6148" max="6149" width="8.26953125" style="221" bestFit="1" customWidth="1"/>
    <col min="6150" max="6150" width="7.26953125" style="221" bestFit="1" customWidth="1"/>
    <col min="6151" max="6151" width="26.1796875" style="221" bestFit="1" customWidth="1"/>
    <col min="6152" max="6152" width="20.7265625" style="221" bestFit="1" customWidth="1"/>
    <col min="6153" max="6153" width="20.81640625" style="221" bestFit="1" customWidth="1"/>
    <col min="6154" max="6154" width="19.54296875" style="221" bestFit="1" customWidth="1"/>
    <col min="6155" max="6155" width="17.1796875" style="221" bestFit="1" customWidth="1"/>
    <col min="6156" max="6156" width="22.1796875" style="221" customWidth="1"/>
    <col min="6157" max="6157" width="13.26953125" style="221" customWidth="1"/>
    <col min="6158" max="6158" width="11" style="221" customWidth="1"/>
    <col min="6159" max="6400" width="9.1796875" style="221"/>
    <col min="6401" max="6401" width="24.7265625" style="221" bestFit="1" customWidth="1"/>
    <col min="6402" max="6402" width="18.7265625" style="221" bestFit="1" customWidth="1"/>
    <col min="6403" max="6403" width="8.1796875" style="221" bestFit="1" customWidth="1"/>
    <col min="6404" max="6405" width="8.26953125" style="221" bestFit="1" customWidth="1"/>
    <col min="6406" max="6406" width="7.26953125" style="221" bestFit="1" customWidth="1"/>
    <col min="6407" max="6407" width="26.1796875" style="221" bestFit="1" customWidth="1"/>
    <col min="6408" max="6408" width="20.7265625" style="221" bestFit="1" customWidth="1"/>
    <col min="6409" max="6409" width="20.81640625" style="221" bestFit="1" customWidth="1"/>
    <col min="6410" max="6410" width="19.54296875" style="221" bestFit="1" customWidth="1"/>
    <col min="6411" max="6411" width="17.1796875" style="221" bestFit="1" customWidth="1"/>
    <col min="6412" max="6412" width="22.1796875" style="221" customWidth="1"/>
    <col min="6413" max="6413" width="13.26953125" style="221" customWidth="1"/>
    <col min="6414" max="6414" width="11" style="221" customWidth="1"/>
    <col min="6415" max="6656" width="9.1796875" style="221"/>
    <col min="6657" max="6657" width="24.7265625" style="221" bestFit="1" customWidth="1"/>
    <col min="6658" max="6658" width="18.7265625" style="221" bestFit="1" customWidth="1"/>
    <col min="6659" max="6659" width="8.1796875" style="221" bestFit="1" customWidth="1"/>
    <col min="6660" max="6661" width="8.26953125" style="221" bestFit="1" customWidth="1"/>
    <col min="6662" max="6662" width="7.26953125" style="221" bestFit="1" customWidth="1"/>
    <col min="6663" max="6663" width="26.1796875" style="221" bestFit="1" customWidth="1"/>
    <col min="6664" max="6664" width="20.7265625" style="221" bestFit="1" customWidth="1"/>
    <col min="6665" max="6665" width="20.81640625" style="221" bestFit="1" customWidth="1"/>
    <col min="6666" max="6666" width="19.54296875" style="221" bestFit="1" customWidth="1"/>
    <col min="6667" max="6667" width="17.1796875" style="221" bestFit="1" customWidth="1"/>
    <col min="6668" max="6668" width="22.1796875" style="221" customWidth="1"/>
    <col min="6669" max="6669" width="13.26953125" style="221" customWidth="1"/>
    <col min="6670" max="6670" width="11" style="221" customWidth="1"/>
    <col min="6671" max="6912" width="9.1796875" style="221"/>
    <col min="6913" max="6913" width="24.7265625" style="221" bestFit="1" customWidth="1"/>
    <col min="6914" max="6914" width="18.7265625" style="221" bestFit="1" customWidth="1"/>
    <col min="6915" max="6915" width="8.1796875" style="221" bestFit="1" customWidth="1"/>
    <col min="6916" max="6917" width="8.26953125" style="221" bestFit="1" customWidth="1"/>
    <col min="6918" max="6918" width="7.26953125" style="221" bestFit="1" customWidth="1"/>
    <col min="6919" max="6919" width="26.1796875" style="221" bestFit="1" customWidth="1"/>
    <col min="6920" max="6920" width="20.7265625" style="221" bestFit="1" customWidth="1"/>
    <col min="6921" max="6921" width="20.81640625" style="221" bestFit="1" customWidth="1"/>
    <col min="6922" max="6922" width="19.54296875" style="221" bestFit="1" customWidth="1"/>
    <col min="6923" max="6923" width="17.1796875" style="221" bestFit="1" customWidth="1"/>
    <col min="6924" max="6924" width="22.1796875" style="221" customWidth="1"/>
    <col min="6925" max="6925" width="13.26953125" style="221" customWidth="1"/>
    <col min="6926" max="6926" width="11" style="221" customWidth="1"/>
    <col min="6927" max="7168" width="9.1796875" style="221"/>
    <col min="7169" max="7169" width="24.7265625" style="221" bestFit="1" customWidth="1"/>
    <col min="7170" max="7170" width="18.7265625" style="221" bestFit="1" customWidth="1"/>
    <col min="7171" max="7171" width="8.1796875" style="221" bestFit="1" customWidth="1"/>
    <col min="7172" max="7173" width="8.26953125" style="221" bestFit="1" customWidth="1"/>
    <col min="7174" max="7174" width="7.26953125" style="221" bestFit="1" customWidth="1"/>
    <col min="7175" max="7175" width="26.1796875" style="221" bestFit="1" customWidth="1"/>
    <col min="7176" max="7176" width="20.7265625" style="221" bestFit="1" customWidth="1"/>
    <col min="7177" max="7177" width="20.81640625" style="221" bestFit="1" customWidth="1"/>
    <col min="7178" max="7178" width="19.54296875" style="221" bestFit="1" customWidth="1"/>
    <col min="7179" max="7179" width="17.1796875" style="221" bestFit="1" customWidth="1"/>
    <col min="7180" max="7180" width="22.1796875" style="221" customWidth="1"/>
    <col min="7181" max="7181" width="13.26953125" style="221" customWidth="1"/>
    <col min="7182" max="7182" width="11" style="221" customWidth="1"/>
    <col min="7183" max="7424" width="9.1796875" style="221"/>
    <col min="7425" max="7425" width="24.7265625" style="221" bestFit="1" customWidth="1"/>
    <col min="7426" max="7426" width="18.7265625" style="221" bestFit="1" customWidth="1"/>
    <col min="7427" max="7427" width="8.1796875" style="221" bestFit="1" customWidth="1"/>
    <col min="7428" max="7429" width="8.26953125" style="221" bestFit="1" customWidth="1"/>
    <col min="7430" max="7430" width="7.26953125" style="221" bestFit="1" customWidth="1"/>
    <col min="7431" max="7431" width="26.1796875" style="221" bestFit="1" customWidth="1"/>
    <col min="7432" max="7432" width="20.7265625" style="221" bestFit="1" customWidth="1"/>
    <col min="7433" max="7433" width="20.81640625" style="221" bestFit="1" customWidth="1"/>
    <col min="7434" max="7434" width="19.54296875" style="221" bestFit="1" customWidth="1"/>
    <col min="7435" max="7435" width="17.1796875" style="221" bestFit="1" customWidth="1"/>
    <col min="7436" max="7436" width="22.1796875" style="221" customWidth="1"/>
    <col min="7437" max="7437" width="13.26953125" style="221" customWidth="1"/>
    <col min="7438" max="7438" width="11" style="221" customWidth="1"/>
    <col min="7439" max="7680" width="9.1796875" style="221"/>
    <col min="7681" max="7681" width="24.7265625" style="221" bestFit="1" customWidth="1"/>
    <col min="7682" max="7682" width="18.7265625" style="221" bestFit="1" customWidth="1"/>
    <col min="7683" max="7683" width="8.1796875" style="221" bestFit="1" customWidth="1"/>
    <col min="7684" max="7685" width="8.26953125" style="221" bestFit="1" customWidth="1"/>
    <col min="7686" max="7686" width="7.26953125" style="221" bestFit="1" customWidth="1"/>
    <col min="7687" max="7687" width="26.1796875" style="221" bestFit="1" customWidth="1"/>
    <col min="7688" max="7688" width="20.7265625" style="221" bestFit="1" customWidth="1"/>
    <col min="7689" max="7689" width="20.81640625" style="221" bestFit="1" customWidth="1"/>
    <col min="7690" max="7690" width="19.54296875" style="221" bestFit="1" customWidth="1"/>
    <col min="7691" max="7691" width="17.1796875" style="221" bestFit="1" customWidth="1"/>
    <col min="7692" max="7692" width="22.1796875" style="221" customWidth="1"/>
    <col min="7693" max="7693" width="13.26953125" style="221" customWidth="1"/>
    <col min="7694" max="7694" width="11" style="221" customWidth="1"/>
    <col min="7695" max="7936" width="9.1796875" style="221"/>
    <col min="7937" max="7937" width="24.7265625" style="221" bestFit="1" customWidth="1"/>
    <col min="7938" max="7938" width="18.7265625" style="221" bestFit="1" customWidth="1"/>
    <col min="7939" max="7939" width="8.1796875" style="221" bestFit="1" customWidth="1"/>
    <col min="7940" max="7941" width="8.26953125" style="221" bestFit="1" customWidth="1"/>
    <col min="7942" max="7942" width="7.26953125" style="221" bestFit="1" customWidth="1"/>
    <col min="7943" max="7943" width="26.1796875" style="221" bestFit="1" customWidth="1"/>
    <col min="7944" max="7944" width="20.7265625" style="221" bestFit="1" customWidth="1"/>
    <col min="7945" max="7945" width="20.81640625" style="221" bestFit="1" customWidth="1"/>
    <col min="7946" max="7946" width="19.54296875" style="221" bestFit="1" customWidth="1"/>
    <col min="7947" max="7947" width="17.1796875" style="221" bestFit="1" customWidth="1"/>
    <col min="7948" max="7948" width="22.1796875" style="221" customWidth="1"/>
    <col min="7949" max="7949" width="13.26953125" style="221" customWidth="1"/>
    <col min="7950" max="7950" width="11" style="221" customWidth="1"/>
    <col min="7951" max="8192" width="9.1796875" style="221"/>
    <col min="8193" max="8193" width="24.7265625" style="221" bestFit="1" customWidth="1"/>
    <col min="8194" max="8194" width="18.7265625" style="221" bestFit="1" customWidth="1"/>
    <col min="8195" max="8195" width="8.1796875" style="221" bestFit="1" customWidth="1"/>
    <col min="8196" max="8197" width="8.26953125" style="221" bestFit="1" customWidth="1"/>
    <col min="8198" max="8198" width="7.26953125" style="221" bestFit="1" customWidth="1"/>
    <col min="8199" max="8199" width="26.1796875" style="221" bestFit="1" customWidth="1"/>
    <col min="8200" max="8200" width="20.7265625" style="221" bestFit="1" customWidth="1"/>
    <col min="8201" max="8201" width="20.81640625" style="221" bestFit="1" customWidth="1"/>
    <col min="8202" max="8202" width="19.54296875" style="221" bestFit="1" customWidth="1"/>
    <col min="8203" max="8203" width="17.1796875" style="221" bestFit="1" customWidth="1"/>
    <col min="8204" max="8204" width="22.1796875" style="221" customWidth="1"/>
    <col min="8205" max="8205" width="13.26953125" style="221" customWidth="1"/>
    <col min="8206" max="8206" width="11" style="221" customWidth="1"/>
    <col min="8207" max="8448" width="9.1796875" style="221"/>
    <col min="8449" max="8449" width="24.7265625" style="221" bestFit="1" customWidth="1"/>
    <col min="8450" max="8450" width="18.7265625" style="221" bestFit="1" customWidth="1"/>
    <col min="8451" max="8451" width="8.1796875" style="221" bestFit="1" customWidth="1"/>
    <col min="8452" max="8453" width="8.26953125" style="221" bestFit="1" customWidth="1"/>
    <col min="8454" max="8454" width="7.26953125" style="221" bestFit="1" customWidth="1"/>
    <col min="8455" max="8455" width="26.1796875" style="221" bestFit="1" customWidth="1"/>
    <col min="8456" max="8456" width="20.7265625" style="221" bestFit="1" customWidth="1"/>
    <col min="8457" max="8457" width="20.81640625" style="221" bestFit="1" customWidth="1"/>
    <col min="8458" max="8458" width="19.54296875" style="221" bestFit="1" customWidth="1"/>
    <col min="8459" max="8459" width="17.1796875" style="221" bestFit="1" customWidth="1"/>
    <col min="8460" max="8460" width="22.1796875" style="221" customWidth="1"/>
    <col min="8461" max="8461" width="13.26953125" style="221" customWidth="1"/>
    <col min="8462" max="8462" width="11" style="221" customWidth="1"/>
    <col min="8463" max="8704" width="9.1796875" style="221"/>
    <col min="8705" max="8705" width="24.7265625" style="221" bestFit="1" customWidth="1"/>
    <col min="8706" max="8706" width="18.7265625" style="221" bestFit="1" customWidth="1"/>
    <col min="8707" max="8707" width="8.1796875" style="221" bestFit="1" customWidth="1"/>
    <col min="8708" max="8709" width="8.26953125" style="221" bestFit="1" customWidth="1"/>
    <col min="8710" max="8710" width="7.26953125" style="221" bestFit="1" customWidth="1"/>
    <col min="8711" max="8711" width="26.1796875" style="221" bestFit="1" customWidth="1"/>
    <col min="8712" max="8712" width="20.7265625" style="221" bestFit="1" customWidth="1"/>
    <col min="8713" max="8713" width="20.81640625" style="221" bestFit="1" customWidth="1"/>
    <col min="8714" max="8714" width="19.54296875" style="221" bestFit="1" customWidth="1"/>
    <col min="8715" max="8715" width="17.1796875" style="221" bestFit="1" customWidth="1"/>
    <col min="8716" max="8716" width="22.1796875" style="221" customWidth="1"/>
    <col min="8717" max="8717" width="13.26953125" style="221" customWidth="1"/>
    <col min="8718" max="8718" width="11" style="221" customWidth="1"/>
    <col min="8719" max="8960" width="9.1796875" style="221"/>
    <col min="8961" max="8961" width="24.7265625" style="221" bestFit="1" customWidth="1"/>
    <col min="8962" max="8962" width="18.7265625" style="221" bestFit="1" customWidth="1"/>
    <col min="8963" max="8963" width="8.1796875" style="221" bestFit="1" customWidth="1"/>
    <col min="8964" max="8965" width="8.26953125" style="221" bestFit="1" customWidth="1"/>
    <col min="8966" max="8966" width="7.26953125" style="221" bestFit="1" customWidth="1"/>
    <col min="8967" max="8967" width="26.1796875" style="221" bestFit="1" customWidth="1"/>
    <col min="8968" max="8968" width="20.7265625" style="221" bestFit="1" customWidth="1"/>
    <col min="8969" max="8969" width="20.81640625" style="221" bestFit="1" customWidth="1"/>
    <col min="8970" max="8970" width="19.54296875" style="221" bestFit="1" customWidth="1"/>
    <col min="8971" max="8971" width="17.1796875" style="221" bestFit="1" customWidth="1"/>
    <col min="8972" max="8972" width="22.1796875" style="221" customWidth="1"/>
    <col min="8973" max="8973" width="13.26953125" style="221" customWidth="1"/>
    <col min="8974" max="8974" width="11" style="221" customWidth="1"/>
    <col min="8975" max="9216" width="9.1796875" style="221"/>
    <col min="9217" max="9217" width="24.7265625" style="221" bestFit="1" customWidth="1"/>
    <col min="9218" max="9218" width="18.7265625" style="221" bestFit="1" customWidth="1"/>
    <col min="9219" max="9219" width="8.1796875" style="221" bestFit="1" customWidth="1"/>
    <col min="9220" max="9221" width="8.26953125" style="221" bestFit="1" customWidth="1"/>
    <col min="9222" max="9222" width="7.26953125" style="221" bestFit="1" customWidth="1"/>
    <col min="9223" max="9223" width="26.1796875" style="221" bestFit="1" customWidth="1"/>
    <col min="9224" max="9224" width="20.7265625" style="221" bestFit="1" customWidth="1"/>
    <col min="9225" max="9225" width="20.81640625" style="221" bestFit="1" customWidth="1"/>
    <col min="9226" max="9226" width="19.54296875" style="221" bestFit="1" customWidth="1"/>
    <col min="9227" max="9227" width="17.1796875" style="221" bestFit="1" customWidth="1"/>
    <col min="9228" max="9228" width="22.1796875" style="221" customWidth="1"/>
    <col min="9229" max="9229" width="13.26953125" style="221" customWidth="1"/>
    <col min="9230" max="9230" width="11" style="221" customWidth="1"/>
    <col min="9231" max="9472" width="9.1796875" style="221"/>
    <col min="9473" max="9473" width="24.7265625" style="221" bestFit="1" customWidth="1"/>
    <col min="9474" max="9474" width="18.7265625" style="221" bestFit="1" customWidth="1"/>
    <col min="9475" max="9475" width="8.1796875" style="221" bestFit="1" customWidth="1"/>
    <col min="9476" max="9477" width="8.26953125" style="221" bestFit="1" customWidth="1"/>
    <col min="9478" max="9478" width="7.26953125" style="221" bestFit="1" customWidth="1"/>
    <col min="9479" max="9479" width="26.1796875" style="221" bestFit="1" customWidth="1"/>
    <col min="9480" max="9480" width="20.7265625" style="221" bestFit="1" customWidth="1"/>
    <col min="9481" max="9481" width="20.81640625" style="221" bestFit="1" customWidth="1"/>
    <col min="9482" max="9482" width="19.54296875" style="221" bestFit="1" customWidth="1"/>
    <col min="9483" max="9483" width="17.1796875" style="221" bestFit="1" customWidth="1"/>
    <col min="9484" max="9484" width="22.1796875" style="221" customWidth="1"/>
    <col min="9485" max="9485" width="13.26953125" style="221" customWidth="1"/>
    <col min="9486" max="9486" width="11" style="221" customWidth="1"/>
    <col min="9487" max="9728" width="9.1796875" style="221"/>
    <col min="9729" max="9729" width="24.7265625" style="221" bestFit="1" customWidth="1"/>
    <col min="9730" max="9730" width="18.7265625" style="221" bestFit="1" customWidth="1"/>
    <col min="9731" max="9731" width="8.1796875" style="221" bestFit="1" customWidth="1"/>
    <col min="9732" max="9733" width="8.26953125" style="221" bestFit="1" customWidth="1"/>
    <col min="9734" max="9734" width="7.26953125" style="221" bestFit="1" customWidth="1"/>
    <col min="9735" max="9735" width="26.1796875" style="221" bestFit="1" customWidth="1"/>
    <col min="9736" max="9736" width="20.7265625" style="221" bestFit="1" customWidth="1"/>
    <col min="9737" max="9737" width="20.81640625" style="221" bestFit="1" customWidth="1"/>
    <col min="9738" max="9738" width="19.54296875" style="221" bestFit="1" customWidth="1"/>
    <col min="9739" max="9739" width="17.1796875" style="221" bestFit="1" customWidth="1"/>
    <col min="9740" max="9740" width="22.1796875" style="221" customWidth="1"/>
    <col min="9741" max="9741" width="13.26953125" style="221" customWidth="1"/>
    <col min="9742" max="9742" width="11" style="221" customWidth="1"/>
    <col min="9743" max="9984" width="9.1796875" style="221"/>
    <col min="9985" max="9985" width="24.7265625" style="221" bestFit="1" customWidth="1"/>
    <col min="9986" max="9986" width="18.7265625" style="221" bestFit="1" customWidth="1"/>
    <col min="9987" max="9987" width="8.1796875" style="221" bestFit="1" customWidth="1"/>
    <col min="9988" max="9989" width="8.26953125" style="221" bestFit="1" customWidth="1"/>
    <col min="9990" max="9990" width="7.26953125" style="221" bestFit="1" customWidth="1"/>
    <col min="9991" max="9991" width="26.1796875" style="221" bestFit="1" customWidth="1"/>
    <col min="9992" max="9992" width="20.7265625" style="221" bestFit="1" customWidth="1"/>
    <col min="9993" max="9993" width="20.81640625" style="221" bestFit="1" customWidth="1"/>
    <col min="9994" max="9994" width="19.54296875" style="221" bestFit="1" customWidth="1"/>
    <col min="9995" max="9995" width="17.1796875" style="221" bestFit="1" customWidth="1"/>
    <col min="9996" max="9996" width="22.1796875" style="221" customWidth="1"/>
    <col min="9997" max="9997" width="13.26953125" style="221" customWidth="1"/>
    <col min="9998" max="9998" width="11" style="221" customWidth="1"/>
    <col min="9999" max="10240" width="9.1796875" style="221"/>
    <col min="10241" max="10241" width="24.7265625" style="221" bestFit="1" customWidth="1"/>
    <col min="10242" max="10242" width="18.7265625" style="221" bestFit="1" customWidth="1"/>
    <col min="10243" max="10243" width="8.1796875" style="221" bestFit="1" customWidth="1"/>
    <col min="10244" max="10245" width="8.26953125" style="221" bestFit="1" customWidth="1"/>
    <col min="10246" max="10246" width="7.26953125" style="221" bestFit="1" customWidth="1"/>
    <col min="10247" max="10247" width="26.1796875" style="221" bestFit="1" customWidth="1"/>
    <col min="10248" max="10248" width="20.7265625" style="221" bestFit="1" customWidth="1"/>
    <col min="10249" max="10249" width="20.81640625" style="221" bestFit="1" customWidth="1"/>
    <col min="10250" max="10250" width="19.54296875" style="221" bestFit="1" customWidth="1"/>
    <col min="10251" max="10251" width="17.1796875" style="221" bestFit="1" customWidth="1"/>
    <col min="10252" max="10252" width="22.1796875" style="221" customWidth="1"/>
    <col min="10253" max="10253" width="13.26953125" style="221" customWidth="1"/>
    <col min="10254" max="10254" width="11" style="221" customWidth="1"/>
    <col min="10255" max="10496" width="9.1796875" style="221"/>
    <col min="10497" max="10497" width="24.7265625" style="221" bestFit="1" customWidth="1"/>
    <col min="10498" max="10498" width="18.7265625" style="221" bestFit="1" customWidth="1"/>
    <col min="10499" max="10499" width="8.1796875" style="221" bestFit="1" customWidth="1"/>
    <col min="10500" max="10501" width="8.26953125" style="221" bestFit="1" customWidth="1"/>
    <col min="10502" max="10502" width="7.26953125" style="221" bestFit="1" customWidth="1"/>
    <col min="10503" max="10503" width="26.1796875" style="221" bestFit="1" customWidth="1"/>
    <col min="10504" max="10504" width="20.7265625" style="221" bestFit="1" customWidth="1"/>
    <col min="10505" max="10505" width="20.81640625" style="221" bestFit="1" customWidth="1"/>
    <col min="10506" max="10506" width="19.54296875" style="221" bestFit="1" customWidth="1"/>
    <col min="10507" max="10507" width="17.1796875" style="221" bestFit="1" customWidth="1"/>
    <col min="10508" max="10508" width="22.1796875" style="221" customWidth="1"/>
    <col min="10509" max="10509" width="13.26953125" style="221" customWidth="1"/>
    <col min="10510" max="10510" width="11" style="221" customWidth="1"/>
    <col min="10511" max="10752" width="9.1796875" style="221"/>
    <col min="10753" max="10753" width="24.7265625" style="221" bestFit="1" customWidth="1"/>
    <col min="10754" max="10754" width="18.7265625" style="221" bestFit="1" customWidth="1"/>
    <col min="10755" max="10755" width="8.1796875" style="221" bestFit="1" customWidth="1"/>
    <col min="10756" max="10757" width="8.26953125" style="221" bestFit="1" customWidth="1"/>
    <col min="10758" max="10758" width="7.26953125" style="221" bestFit="1" customWidth="1"/>
    <col min="10759" max="10759" width="26.1796875" style="221" bestFit="1" customWidth="1"/>
    <col min="10760" max="10760" width="20.7265625" style="221" bestFit="1" customWidth="1"/>
    <col min="10761" max="10761" width="20.81640625" style="221" bestFit="1" customWidth="1"/>
    <col min="10762" max="10762" width="19.54296875" style="221" bestFit="1" customWidth="1"/>
    <col min="10763" max="10763" width="17.1796875" style="221" bestFit="1" customWidth="1"/>
    <col min="10764" max="10764" width="22.1796875" style="221" customWidth="1"/>
    <col min="10765" max="10765" width="13.26953125" style="221" customWidth="1"/>
    <col min="10766" max="10766" width="11" style="221" customWidth="1"/>
    <col min="10767" max="11008" width="9.1796875" style="221"/>
    <col min="11009" max="11009" width="24.7265625" style="221" bestFit="1" customWidth="1"/>
    <col min="11010" max="11010" width="18.7265625" style="221" bestFit="1" customWidth="1"/>
    <col min="11011" max="11011" width="8.1796875" style="221" bestFit="1" customWidth="1"/>
    <col min="11012" max="11013" width="8.26953125" style="221" bestFit="1" customWidth="1"/>
    <col min="11014" max="11014" width="7.26953125" style="221" bestFit="1" customWidth="1"/>
    <col min="11015" max="11015" width="26.1796875" style="221" bestFit="1" customWidth="1"/>
    <col min="11016" max="11016" width="20.7265625" style="221" bestFit="1" customWidth="1"/>
    <col min="11017" max="11017" width="20.81640625" style="221" bestFit="1" customWidth="1"/>
    <col min="11018" max="11018" width="19.54296875" style="221" bestFit="1" customWidth="1"/>
    <col min="11019" max="11019" width="17.1796875" style="221" bestFit="1" customWidth="1"/>
    <col min="11020" max="11020" width="22.1796875" style="221" customWidth="1"/>
    <col min="11021" max="11021" width="13.26953125" style="221" customWidth="1"/>
    <col min="11022" max="11022" width="11" style="221" customWidth="1"/>
    <col min="11023" max="11264" width="9.1796875" style="221"/>
    <col min="11265" max="11265" width="24.7265625" style="221" bestFit="1" customWidth="1"/>
    <col min="11266" max="11266" width="18.7265625" style="221" bestFit="1" customWidth="1"/>
    <col min="11267" max="11267" width="8.1796875" style="221" bestFit="1" customWidth="1"/>
    <col min="11268" max="11269" width="8.26953125" style="221" bestFit="1" customWidth="1"/>
    <col min="11270" max="11270" width="7.26953125" style="221" bestFit="1" customWidth="1"/>
    <col min="11271" max="11271" width="26.1796875" style="221" bestFit="1" customWidth="1"/>
    <col min="11272" max="11272" width="20.7265625" style="221" bestFit="1" customWidth="1"/>
    <col min="11273" max="11273" width="20.81640625" style="221" bestFit="1" customWidth="1"/>
    <col min="11274" max="11274" width="19.54296875" style="221" bestFit="1" customWidth="1"/>
    <col min="11275" max="11275" width="17.1796875" style="221" bestFit="1" customWidth="1"/>
    <col min="11276" max="11276" width="22.1796875" style="221" customWidth="1"/>
    <col min="11277" max="11277" width="13.26953125" style="221" customWidth="1"/>
    <col min="11278" max="11278" width="11" style="221" customWidth="1"/>
    <col min="11279" max="11520" width="9.1796875" style="221"/>
    <col min="11521" max="11521" width="24.7265625" style="221" bestFit="1" customWidth="1"/>
    <col min="11522" max="11522" width="18.7265625" style="221" bestFit="1" customWidth="1"/>
    <col min="11523" max="11523" width="8.1796875" style="221" bestFit="1" customWidth="1"/>
    <col min="11524" max="11525" width="8.26953125" style="221" bestFit="1" customWidth="1"/>
    <col min="11526" max="11526" width="7.26953125" style="221" bestFit="1" customWidth="1"/>
    <col min="11527" max="11527" width="26.1796875" style="221" bestFit="1" customWidth="1"/>
    <col min="11528" max="11528" width="20.7265625" style="221" bestFit="1" customWidth="1"/>
    <col min="11529" max="11529" width="20.81640625" style="221" bestFit="1" customWidth="1"/>
    <col min="11530" max="11530" width="19.54296875" style="221" bestFit="1" customWidth="1"/>
    <col min="11531" max="11531" width="17.1796875" style="221" bestFit="1" customWidth="1"/>
    <col min="11532" max="11532" width="22.1796875" style="221" customWidth="1"/>
    <col min="11533" max="11533" width="13.26953125" style="221" customWidth="1"/>
    <col min="11534" max="11534" width="11" style="221" customWidth="1"/>
    <col min="11535" max="11776" width="9.1796875" style="221"/>
    <col min="11777" max="11777" width="24.7265625" style="221" bestFit="1" customWidth="1"/>
    <col min="11778" max="11778" width="18.7265625" style="221" bestFit="1" customWidth="1"/>
    <col min="11779" max="11779" width="8.1796875" style="221" bestFit="1" customWidth="1"/>
    <col min="11780" max="11781" width="8.26953125" style="221" bestFit="1" customWidth="1"/>
    <col min="11782" max="11782" width="7.26953125" style="221" bestFit="1" customWidth="1"/>
    <col min="11783" max="11783" width="26.1796875" style="221" bestFit="1" customWidth="1"/>
    <col min="11784" max="11784" width="20.7265625" style="221" bestFit="1" customWidth="1"/>
    <col min="11785" max="11785" width="20.81640625" style="221" bestFit="1" customWidth="1"/>
    <col min="11786" max="11786" width="19.54296875" style="221" bestFit="1" customWidth="1"/>
    <col min="11787" max="11787" width="17.1796875" style="221" bestFit="1" customWidth="1"/>
    <col min="11788" max="11788" width="22.1796875" style="221" customWidth="1"/>
    <col min="11789" max="11789" width="13.26953125" style="221" customWidth="1"/>
    <col min="11790" max="11790" width="11" style="221" customWidth="1"/>
    <col min="11791" max="12032" width="9.1796875" style="221"/>
    <col min="12033" max="12033" width="24.7265625" style="221" bestFit="1" customWidth="1"/>
    <col min="12034" max="12034" width="18.7265625" style="221" bestFit="1" customWidth="1"/>
    <col min="12035" max="12035" width="8.1796875" style="221" bestFit="1" customWidth="1"/>
    <col min="12036" max="12037" width="8.26953125" style="221" bestFit="1" customWidth="1"/>
    <col min="12038" max="12038" width="7.26953125" style="221" bestFit="1" customWidth="1"/>
    <col min="12039" max="12039" width="26.1796875" style="221" bestFit="1" customWidth="1"/>
    <col min="12040" max="12040" width="20.7265625" style="221" bestFit="1" customWidth="1"/>
    <col min="12041" max="12041" width="20.81640625" style="221" bestFit="1" customWidth="1"/>
    <col min="12042" max="12042" width="19.54296875" style="221" bestFit="1" customWidth="1"/>
    <col min="12043" max="12043" width="17.1796875" style="221" bestFit="1" customWidth="1"/>
    <col min="12044" max="12044" width="22.1796875" style="221" customWidth="1"/>
    <col min="12045" max="12045" width="13.26953125" style="221" customWidth="1"/>
    <col min="12046" max="12046" width="11" style="221" customWidth="1"/>
    <col min="12047" max="12288" width="9.1796875" style="221"/>
    <col min="12289" max="12289" width="24.7265625" style="221" bestFit="1" customWidth="1"/>
    <col min="12290" max="12290" width="18.7265625" style="221" bestFit="1" customWidth="1"/>
    <col min="12291" max="12291" width="8.1796875" style="221" bestFit="1" customWidth="1"/>
    <col min="12292" max="12293" width="8.26953125" style="221" bestFit="1" customWidth="1"/>
    <col min="12294" max="12294" width="7.26953125" style="221" bestFit="1" customWidth="1"/>
    <col min="12295" max="12295" width="26.1796875" style="221" bestFit="1" customWidth="1"/>
    <col min="12296" max="12296" width="20.7265625" style="221" bestFit="1" customWidth="1"/>
    <col min="12297" max="12297" width="20.81640625" style="221" bestFit="1" customWidth="1"/>
    <col min="12298" max="12298" width="19.54296875" style="221" bestFit="1" customWidth="1"/>
    <col min="12299" max="12299" width="17.1796875" style="221" bestFit="1" customWidth="1"/>
    <col min="12300" max="12300" width="22.1796875" style="221" customWidth="1"/>
    <col min="12301" max="12301" width="13.26953125" style="221" customWidth="1"/>
    <col min="12302" max="12302" width="11" style="221" customWidth="1"/>
    <col min="12303" max="12544" width="9.1796875" style="221"/>
    <col min="12545" max="12545" width="24.7265625" style="221" bestFit="1" customWidth="1"/>
    <col min="12546" max="12546" width="18.7265625" style="221" bestFit="1" customWidth="1"/>
    <col min="12547" max="12547" width="8.1796875" style="221" bestFit="1" customWidth="1"/>
    <col min="12548" max="12549" width="8.26953125" style="221" bestFit="1" customWidth="1"/>
    <col min="12550" max="12550" width="7.26953125" style="221" bestFit="1" customWidth="1"/>
    <col min="12551" max="12551" width="26.1796875" style="221" bestFit="1" customWidth="1"/>
    <col min="12552" max="12552" width="20.7265625" style="221" bestFit="1" customWidth="1"/>
    <col min="12553" max="12553" width="20.81640625" style="221" bestFit="1" customWidth="1"/>
    <col min="12554" max="12554" width="19.54296875" style="221" bestFit="1" customWidth="1"/>
    <col min="12555" max="12555" width="17.1796875" style="221" bestFit="1" customWidth="1"/>
    <col min="12556" max="12556" width="22.1796875" style="221" customWidth="1"/>
    <col min="12557" max="12557" width="13.26953125" style="221" customWidth="1"/>
    <col min="12558" max="12558" width="11" style="221" customWidth="1"/>
    <col min="12559" max="12800" width="9.1796875" style="221"/>
    <col min="12801" max="12801" width="24.7265625" style="221" bestFit="1" customWidth="1"/>
    <col min="12802" max="12802" width="18.7265625" style="221" bestFit="1" customWidth="1"/>
    <col min="12803" max="12803" width="8.1796875" style="221" bestFit="1" customWidth="1"/>
    <col min="12804" max="12805" width="8.26953125" style="221" bestFit="1" customWidth="1"/>
    <col min="12806" max="12806" width="7.26953125" style="221" bestFit="1" customWidth="1"/>
    <col min="12807" max="12807" width="26.1796875" style="221" bestFit="1" customWidth="1"/>
    <col min="12808" max="12808" width="20.7265625" style="221" bestFit="1" customWidth="1"/>
    <col min="12809" max="12809" width="20.81640625" style="221" bestFit="1" customWidth="1"/>
    <col min="12810" max="12810" width="19.54296875" style="221" bestFit="1" customWidth="1"/>
    <col min="12811" max="12811" width="17.1796875" style="221" bestFit="1" customWidth="1"/>
    <col min="12812" max="12812" width="22.1796875" style="221" customWidth="1"/>
    <col min="12813" max="12813" width="13.26953125" style="221" customWidth="1"/>
    <col min="12814" max="12814" width="11" style="221" customWidth="1"/>
    <col min="12815" max="13056" width="9.1796875" style="221"/>
    <col min="13057" max="13057" width="24.7265625" style="221" bestFit="1" customWidth="1"/>
    <col min="13058" max="13058" width="18.7265625" style="221" bestFit="1" customWidth="1"/>
    <col min="13059" max="13059" width="8.1796875" style="221" bestFit="1" customWidth="1"/>
    <col min="13060" max="13061" width="8.26953125" style="221" bestFit="1" customWidth="1"/>
    <col min="13062" max="13062" width="7.26953125" style="221" bestFit="1" customWidth="1"/>
    <col min="13063" max="13063" width="26.1796875" style="221" bestFit="1" customWidth="1"/>
    <col min="13064" max="13064" width="20.7265625" style="221" bestFit="1" customWidth="1"/>
    <col min="13065" max="13065" width="20.81640625" style="221" bestFit="1" customWidth="1"/>
    <col min="13066" max="13066" width="19.54296875" style="221" bestFit="1" customWidth="1"/>
    <col min="13067" max="13067" width="17.1796875" style="221" bestFit="1" customWidth="1"/>
    <col min="13068" max="13068" width="22.1796875" style="221" customWidth="1"/>
    <col min="13069" max="13069" width="13.26953125" style="221" customWidth="1"/>
    <col min="13070" max="13070" width="11" style="221" customWidth="1"/>
    <col min="13071" max="13312" width="9.1796875" style="221"/>
    <col min="13313" max="13313" width="24.7265625" style="221" bestFit="1" customWidth="1"/>
    <col min="13314" max="13314" width="18.7265625" style="221" bestFit="1" customWidth="1"/>
    <col min="13315" max="13315" width="8.1796875" style="221" bestFit="1" customWidth="1"/>
    <col min="13316" max="13317" width="8.26953125" style="221" bestFit="1" customWidth="1"/>
    <col min="13318" max="13318" width="7.26953125" style="221" bestFit="1" customWidth="1"/>
    <col min="13319" max="13319" width="26.1796875" style="221" bestFit="1" customWidth="1"/>
    <col min="13320" max="13320" width="20.7265625" style="221" bestFit="1" customWidth="1"/>
    <col min="13321" max="13321" width="20.81640625" style="221" bestFit="1" customWidth="1"/>
    <col min="13322" max="13322" width="19.54296875" style="221" bestFit="1" customWidth="1"/>
    <col min="13323" max="13323" width="17.1796875" style="221" bestFit="1" customWidth="1"/>
    <col min="13324" max="13324" width="22.1796875" style="221" customWidth="1"/>
    <col min="13325" max="13325" width="13.26953125" style="221" customWidth="1"/>
    <col min="13326" max="13326" width="11" style="221" customWidth="1"/>
    <col min="13327" max="13568" width="9.1796875" style="221"/>
    <col min="13569" max="13569" width="24.7265625" style="221" bestFit="1" customWidth="1"/>
    <col min="13570" max="13570" width="18.7265625" style="221" bestFit="1" customWidth="1"/>
    <col min="13571" max="13571" width="8.1796875" style="221" bestFit="1" customWidth="1"/>
    <col min="13572" max="13573" width="8.26953125" style="221" bestFit="1" customWidth="1"/>
    <col min="13574" max="13574" width="7.26953125" style="221" bestFit="1" customWidth="1"/>
    <col min="13575" max="13575" width="26.1796875" style="221" bestFit="1" customWidth="1"/>
    <col min="13576" max="13576" width="20.7265625" style="221" bestFit="1" customWidth="1"/>
    <col min="13577" max="13577" width="20.81640625" style="221" bestFit="1" customWidth="1"/>
    <col min="13578" max="13578" width="19.54296875" style="221" bestFit="1" customWidth="1"/>
    <col min="13579" max="13579" width="17.1796875" style="221" bestFit="1" customWidth="1"/>
    <col min="13580" max="13580" width="22.1796875" style="221" customWidth="1"/>
    <col min="13581" max="13581" width="13.26953125" style="221" customWidth="1"/>
    <col min="13582" max="13582" width="11" style="221" customWidth="1"/>
    <col min="13583" max="13824" width="9.1796875" style="221"/>
    <col min="13825" max="13825" width="24.7265625" style="221" bestFit="1" customWidth="1"/>
    <col min="13826" max="13826" width="18.7265625" style="221" bestFit="1" customWidth="1"/>
    <col min="13827" max="13827" width="8.1796875" style="221" bestFit="1" customWidth="1"/>
    <col min="13828" max="13829" width="8.26953125" style="221" bestFit="1" customWidth="1"/>
    <col min="13830" max="13830" width="7.26953125" style="221" bestFit="1" customWidth="1"/>
    <col min="13831" max="13831" width="26.1796875" style="221" bestFit="1" customWidth="1"/>
    <col min="13832" max="13832" width="20.7265625" style="221" bestFit="1" customWidth="1"/>
    <col min="13833" max="13833" width="20.81640625" style="221" bestFit="1" customWidth="1"/>
    <col min="13834" max="13834" width="19.54296875" style="221" bestFit="1" customWidth="1"/>
    <col min="13835" max="13835" width="17.1796875" style="221" bestFit="1" customWidth="1"/>
    <col min="13836" max="13836" width="22.1796875" style="221" customWidth="1"/>
    <col min="13837" max="13837" width="13.26953125" style="221" customWidth="1"/>
    <col min="13838" max="13838" width="11" style="221" customWidth="1"/>
    <col min="13839" max="14080" width="9.1796875" style="221"/>
    <col min="14081" max="14081" width="24.7265625" style="221" bestFit="1" customWidth="1"/>
    <col min="14082" max="14082" width="18.7265625" style="221" bestFit="1" customWidth="1"/>
    <col min="14083" max="14083" width="8.1796875" style="221" bestFit="1" customWidth="1"/>
    <col min="14084" max="14085" width="8.26953125" style="221" bestFit="1" customWidth="1"/>
    <col min="14086" max="14086" width="7.26953125" style="221" bestFit="1" customWidth="1"/>
    <col min="14087" max="14087" width="26.1796875" style="221" bestFit="1" customWidth="1"/>
    <col min="14088" max="14088" width="20.7265625" style="221" bestFit="1" customWidth="1"/>
    <col min="14089" max="14089" width="20.81640625" style="221" bestFit="1" customWidth="1"/>
    <col min="14090" max="14090" width="19.54296875" style="221" bestFit="1" customWidth="1"/>
    <col min="14091" max="14091" width="17.1796875" style="221" bestFit="1" customWidth="1"/>
    <col min="14092" max="14092" width="22.1796875" style="221" customWidth="1"/>
    <col min="14093" max="14093" width="13.26953125" style="221" customWidth="1"/>
    <col min="14094" max="14094" width="11" style="221" customWidth="1"/>
    <col min="14095" max="14336" width="9.1796875" style="221"/>
    <col min="14337" max="14337" width="24.7265625" style="221" bestFit="1" customWidth="1"/>
    <col min="14338" max="14338" width="18.7265625" style="221" bestFit="1" customWidth="1"/>
    <col min="14339" max="14339" width="8.1796875" style="221" bestFit="1" customWidth="1"/>
    <col min="14340" max="14341" width="8.26953125" style="221" bestFit="1" customWidth="1"/>
    <col min="14342" max="14342" width="7.26953125" style="221" bestFit="1" customWidth="1"/>
    <col min="14343" max="14343" width="26.1796875" style="221" bestFit="1" customWidth="1"/>
    <col min="14344" max="14344" width="20.7265625" style="221" bestFit="1" customWidth="1"/>
    <col min="14345" max="14345" width="20.81640625" style="221" bestFit="1" customWidth="1"/>
    <col min="14346" max="14346" width="19.54296875" style="221" bestFit="1" customWidth="1"/>
    <col min="14347" max="14347" width="17.1796875" style="221" bestFit="1" customWidth="1"/>
    <col min="14348" max="14348" width="22.1796875" style="221" customWidth="1"/>
    <col min="14349" max="14349" width="13.26953125" style="221" customWidth="1"/>
    <col min="14350" max="14350" width="11" style="221" customWidth="1"/>
    <col min="14351" max="14592" width="9.1796875" style="221"/>
    <col min="14593" max="14593" width="24.7265625" style="221" bestFit="1" customWidth="1"/>
    <col min="14594" max="14594" width="18.7265625" style="221" bestFit="1" customWidth="1"/>
    <col min="14595" max="14595" width="8.1796875" style="221" bestFit="1" customWidth="1"/>
    <col min="14596" max="14597" width="8.26953125" style="221" bestFit="1" customWidth="1"/>
    <col min="14598" max="14598" width="7.26953125" style="221" bestFit="1" customWidth="1"/>
    <col min="14599" max="14599" width="26.1796875" style="221" bestFit="1" customWidth="1"/>
    <col min="14600" max="14600" width="20.7265625" style="221" bestFit="1" customWidth="1"/>
    <col min="14601" max="14601" width="20.81640625" style="221" bestFit="1" customWidth="1"/>
    <col min="14602" max="14602" width="19.54296875" style="221" bestFit="1" customWidth="1"/>
    <col min="14603" max="14603" width="17.1796875" style="221" bestFit="1" customWidth="1"/>
    <col min="14604" max="14604" width="22.1796875" style="221" customWidth="1"/>
    <col min="14605" max="14605" width="13.26953125" style="221" customWidth="1"/>
    <col min="14606" max="14606" width="11" style="221" customWidth="1"/>
    <col min="14607" max="14848" width="9.1796875" style="221"/>
    <col min="14849" max="14849" width="24.7265625" style="221" bestFit="1" customWidth="1"/>
    <col min="14850" max="14850" width="18.7265625" style="221" bestFit="1" customWidth="1"/>
    <col min="14851" max="14851" width="8.1796875" style="221" bestFit="1" customWidth="1"/>
    <col min="14852" max="14853" width="8.26953125" style="221" bestFit="1" customWidth="1"/>
    <col min="14854" max="14854" width="7.26953125" style="221" bestFit="1" customWidth="1"/>
    <col min="14855" max="14855" width="26.1796875" style="221" bestFit="1" customWidth="1"/>
    <col min="14856" max="14856" width="20.7265625" style="221" bestFit="1" customWidth="1"/>
    <col min="14857" max="14857" width="20.81640625" style="221" bestFit="1" customWidth="1"/>
    <col min="14858" max="14858" width="19.54296875" style="221" bestFit="1" customWidth="1"/>
    <col min="14859" max="14859" width="17.1796875" style="221" bestFit="1" customWidth="1"/>
    <col min="14860" max="14860" width="22.1796875" style="221" customWidth="1"/>
    <col min="14861" max="14861" width="13.26953125" style="221" customWidth="1"/>
    <col min="14862" max="14862" width="11" style="221" customWidth="1"/>
    <col min="14863" max="15104" width="9.1796875" style="221"/>
    <col min="15105" max="15105" width="24.7265625" style="221" bestFit="1" customWidth="1"/>
    <col min="15106" max="15106" width="18.7265625" style="221" bestFit="1" customWidth="1"/>
    <col min="15107" max="15107" width="8.1796875" style="221" bestFit="1" customWidth="1"/>
    <col min="15108" max="15109" width="8.26953125" style="221" bestFit="1" customWidth="1"/>
    <col min="15110" max="15110" width="7.26953125" style="221" bestFit="1" customWidth="1"/>
    <col min="15111" max="15111" width="26.1796875" style="221" bestFit="1" customWidth="1"/>
    <col min="15112" max="15112" width="20.7265625" style="221" bestFit="1" customWidth="1"/>
    <col min="15113" max="15113" width="20.81640625" style="221" bestFit="1" customWidth="1"/>
    <col min="15114" max="15114" width="19.54296875" style="221" bestFit="1" customWidth="1"/>
    <col min="15115" max="15115" width="17.1796875" style="221" bestFit="1" customWidth="1"/>
    <col min="15116" max="15116" width="22.1796875" style="221" customWidth="1"/>
    <col min="15117" max="15117" width="13.26953125" style="221" customWidth="1"/>
    <col min="15118" max="15118" width="11" style="221" customWidth="1"/>
    <col min="15119" max="15360" width="9.1796875" style="221"/>
    <col min="15361" max="15361" width="24.7265625" style="221" bestFit="1" customWidth="1"/>
    <col min="15362" max="15362" width="18.7265625" style="221" bestFit="1" customWidth="1"/>
    <col min="15363" max="15363" width="8.1796875" style="221" bestFit="1" customWidth="1"/>
    <col min="15364" max="15365" width="8.26953125" style="221" bestFit="1" customWidth="1"/>
    <col min="15366" max="15366" width="7.26953125" style="221" bestFit="1" customWidth="1"/>
    <col min="15367" max="15367" width="26.1796875" style="221" bestFit="1" customWidth="1"/>
    <col min="15368" max="15368" width="20.7265625" style="221" bestFit="1" customWidth="1"/>
    <col min="15369" max="15369" width="20.81640625" style="221" bestFit="1" customWidth="1"/>
    <col min="15370" max="15370" width="19.54296875" style="221" bestFit="1" customWidth="1"/>
    <col min="15371" max="15371" width="17.1796875" style="221" bestFit="1" customWidth="1"/>
    <col min="15372" max="15372" width="22.1796875" style="221" customWidth="1"/>
    <col min="15373" max="15373" width="13.26953125" style="221" customWidth="1"/>
    <col min="15374" max="15374" width="11" style="221" customWidth="1"/>
    <col min="15375" max="15616" width="9.1796875" style="221"/>
    <col min="15617" max="15617" width="24.7265625" style="221" bestFit="1" customWidth="1"/>
    <col min="15618" max="15618" width="18.7265625" style="221" bestFit="1" customWidth="1"/>
    <col min="15619" max="15619" width="8.1796875" style="221" bestFit="1" customWidth="1"/>
    <col min="15620" max="15621" width="8.26953125" style="221" bestFit="1" customWidth="1"/>
    <col min="15622" max="15622" width="7.26953125" style="221" bestFit="1" customWidth="1"/>
    <col min="15623" max="15623" width="26.1796875" style="221" bestFit="1" customWidth="1"/>
    <col min="15624" max="15624" width="20.7265625" style="221" bestFit="1" customWidth="1"/>
    <col min="15625" max="15625" width="20.81640625" style="221" bestFit="1" customWidth="1"/>
    <col min="15626" max="15626" width="19.54296875" style="221" bestFit="1" customWidth="1"/>
    <col min="15627" max="15627" width="17.1796875" style="221" bestFit="1" customWidth="1"/>
    <col min="15628" max="15628" width="22.1796875" style="221" customWidth="1"/>
    <col min="15629" max="15629" width="13.26953125" style="221" customWidth="1"/>
    <col min="15630" max="15630" width="11" style="221" customWidth="1"/>
    <col min="15631" max="15872" width="9.1796875" style="221"/>
    <col min="15873" max="15873" width="24.7265625" style="221" bestFit="1" customWidth="1"/>
    <col min="15874" max="15874" width="18.7265625" style="221" bestFit="1" customWidth="1"/>
    <col min="15875" max="15875" width="8.1796875" style="221" bestFit="1" customWidth="1"/>
    <col min="15876" max="15877" width="8.26953125" style="221" bestFit="1" customWidth="1"/>
    <col min="15878" max="15878" width="7.26953125" style="221" bestFit="1" customWidth="1"/>
    <col min="15879" max="15879" width="26.1796875" style="221" bestFit="1" customWidth="1"/>
    <col min="15880" max="15880" width="20.7265625" style="221" bestFit="1" customWidth="1"/>
    <col min="15881" max="15881" width="20.81640625" style="221" bestFit="1" customWidth="1"/>
    <col min="15882" max="15882" width="19.54296875" style="221" bestFit="1" customWidth="1"/>
    <col min="15883" max="15883" width="17.1796875" style="221" bestFit="1" customWidth="1"/>
    <col min="15884" max="15884" width="22.1796875" style="221" customWidth="1"/>
    <col min="15885" max="15885" width="13.26953125" style="221" customWidth="1"/>
    <col min="15886" max="15886" width="11" style="221" customWidth="1"/>
    <col min="15887" max="16128" width="9.1796875" style="221"/>
    <col min="16129" max="16129" width="24.7265625" style="221" bestFit="1" customWidth="1"/>
    <col min="16130" max="16130" width="18.7265625" style="221" bestFit="1" customWidth="1"/>
    <col min="16131" max="16131" width="8.1796875" style="221" bestFit="1" customWidth="1"/>
    <col min="16132" max="16133" width="8.26953125" style="221" bestFit="1" customWidth="1"/>
    <col min="16134" max="16134" width="7.26953125" style="221" bestFit="1" customWidth="1"/>
    <col min="16135" max="16135" width="26.1796875" style="221" bestFit="1" customWidth="1"/>
    <col min="16136" max="16136" width="20.7265625" style="221" bestFit="1" customWidth="1"/>
    <col min="16137" max="16137" width="20.81640625" style="221" bestFit="1" customWidth="1"/>
    <col min="16138" max="16138" width="19.54296875" style="221" bestFit="1" customWidth="1"/>
    <col min="16139" max="16139" width="17.1796875" style="221" bestFit="1" customWidth="1"/>
    <col min="16140" max="16140" width="22.1796875" style="221" customWidth="1"/>
    <col min="16141" max="16141" width="13.26953125" style="221" customWidth="1"/>
    <col min="16142" max="16142" width="11" style="221" customWidth="1"/>
    <col min="16143" max="16384" width="9.1796875" style="221"/>
  </cols>
  <sheetData>
    <row r="1" spans="1:14" s="214" customFormat="1" ht="40">
      <c r="A1" s="209" t="s">
        <v>0</v>
      </c>
      <c r="B1" s="210" t="s">
        <v>1</v>
      </c>
      <c r="C1" s="210" t="s">
        <v>2</v>
      </c>
      <c r="D1" s="210" t="s">
        <v>3</v>
      </c>
      <c r="E1" s="210" t="s">
        <v>4</v>
      </c>
      <c r="F1" s="210" t="s">
        <v>5</v>
      </c>
      <c r="G1" s="210" t="s">
        <v>6</v>
      </c>
      <c r="H1" s="210" t="s">
        <v>703</v>
      </c>
      <c r="I1" s="210" t="s">
        <v>704</v>
      </c>
      <c r="J1" s="210" t="s">
        <v>286</v>
      </c>
      <c r="K1" s="210" t="s">
        <v>10</v>
      </c>
      <c r="L1" s="211" t="s">
        <v>706</v>
      </c>
      <c r="M1" s="212" t="s">
        <v>12</v>
      </c>
      <c r="N1" s="213" t="s">
        <v>287</v>
      </c>
    </row>
    <row r="2" spans="1:14" ht="20">
      <c r="A2" s="215" t="s">
        <v>2120</v>
      </c>
      <c r="B2" s="216" t="s">
        <v>14</v>
      </c>
      <c r="C2" s="216"/>
      <c r="D2" s="216">
        <v>1</v>
      </c>
      <c r="E2" s="216">
        <f>E8</f>
        <v>50</v>
      </c>
      <c r="F2" s="216">
        <f>SUM(F3:F8)</f>
        <v>50</v>
      </c>
      <c r="G2" s="95" t="s">
        <v>2121</v>
      </c>
      <c r="H2" s="217"/>
      <c r="I2" s="217"/>
      <c r="J2" s="216"/>
      <c r="K2" s="216"/>
      <c r="L2" s="218"/>
      <c r="M2" s="219" t="s">
        <v>290</v>
      </c>
      <c r="N2" s="220"/>
    </row>
    <row r="3" spans="1:14" ht="21">
      <c r="A3" s="222" t="s">
        <v>17</v>
      </c>
      <c r="B3" s="223" t="s">
        <v>18</v>
      </c>
      <c r="C3" s="224">
        <v>1</v>
      </c>
      <c r="D3" s="225">
        <v>1</v>
      </c>
      <c r="E3" s="225">
        <f t="shared" ref="E3:E8" si="0">D3+F3-1</f>
        <v>1</v>
      </c>
      <c r="F3" s="225">
        <v>1</v>
      </c>
      <c r="G3" s="226" t="s">
        <v>19</v>
      </c>
      <c r="H3" s="226"/>
      <c r="I3" s="226"/>
      <c r="J3" s="225"/>
      <c r="K3" s="225"/>
      <c r="L3" s="227"/>
      <c r="M3" s="219" t="s">
        <v>290</v>
      </c>
      <c r="N3" s="220"/>
    </row>
    <row r="4" spans="1:14" s="23" customFormat="1">
      <c r="A4" s="18" t="s">
        <v>710</v>
      </c>
      <c r="B4" s="18" t="s">
        <v>711</v>
      </c>
      <c r="C4" s="19">
        <v>2</v>
      </c>
      <c r="D4" s="19">
        <f>E3+1</f>
        <v>2</v>
      </c>
      <c r="E4" s="19">
        <f t="shared" si="0"/>
        <v>16</v>
      </c>
      <c r="F4" s="19">
        <v>15</v>
      </c>
      <c r="G4" s="18" t="s">
        <v>2122</v>
      </c>
      <c r="H4" s="20"/>
      <c r="I4" s="20"/>
      <c r="J4" s="18"/>
      <c r="K4" s="19"/>
      <c r="L4" s="19"/>
      <c r="M4" s="21"/>
      <c r="N4" s="22"/>
    </row>
    <row r="5" spans="1:14" s="23" customFormat="1">
      <c r="A5" s="18" t="s">
        <v>713</v>
      </c>
      <c r="B5" s="18" t="s">
        <v>714</v>
      </c>
      <c r="C5" s="19">
        <v>3</v>
      </c>
      <c r="D5" s="19">
        <f>E4+1</f>
        <v>17</v>
      </c>
      <c r="E5" s="19">
        <f t="shared" si="0"/>
        <v>26</v>
      </c>
      <c r="F5" s="19">
        <v>10</v>
      </c>
      <c r="G5" s="18" t="s">
        <v>715</v>
      </c>
      <c r="H5" s="20"/>
      <c r="I5" s="20"/>
      <c r="J5" s="18"/>
      <c r="K5" s="19"/>
      <c r="L5" s="19"/>
      <c r="M5" s="21"/>
      <c r="N5" s="22"/>
    </row>
    <row r="6" spans="1:14" s="23" customFormat="1" ht="10.5">
      <c r="A6" s="18" t="s">
        <v>1001</v>
      </c>
      <c r="B6" s="18" t="s">
        <v>1002</v>
      </c>
      <c r="C6" s="19">
        <v>4</v>
      </c>
      <c r="D6" s="19">
        <f>E5+1</f>
        <v>27</v>
      </c>
      <c r="E6" s="19">
        <f t="shared" si="0"/>
        <v>34</v>
      </c>
      <c r="F6" s="19">
        <v>8</v>
      </c>
      <c r="G6" s="18" t="s">
        <v>716</v>
      </c>
      <c r="H6" s="24"/>
      <c r="I6" s="24"/>
      <c r="J6" s="18"/>
      <c r="K6" s="19"/>
      <c r="L6" s="19"/>
      <c r="M6" s="21"/>
      <c r="N6" s="22"/>
    </row>
    <row r="7" spans="1:14" s="235" customFormat="1" ht="10.5">
      <c r="A7" s="18" t="s">
        <v>717</v>
      </c>
      <c r="B7" s="18" t="s">
        <v>711</v>
      </c>
      <c r="C7" s="228">
        <v>5</v>
      </c>
      <c r="D7" s="19">
        <f>E6+1</f>
        <v>35</v>
      </c>
      <c r="E7" s="19">
        <f t="shared" si="0"/>
        <v>49</v>
      </c>
      <c r="F7" s="229">
        <v>15</v>
      </c>
      <c r="G7" s="231" t="s">
        <v>2123</v>
      </c>
      <c r="H7" s="231"/>
      <c r="I7" s="231"/>
      <c r="J7" s="229"/>
      <c r="K7" s="229"/>
      <c r="L7" s="232"/>
      <c r="M7" s="233" t="s">
        <v>290</v>
      </c>
      <c r="N7" s="234"/>
    </row>
    <row r="8" spans="1:14" s="23" customFormat="1">
      <c r="A8" s="18" t="s">
        <v>719</v>
      </c>
      <c r="B8" s="18" t="s">
        <v>720</v>
      </c>
      <c r="C8" s="19">
        <v>6</v>
      </c>
      <c r="D8" s="19">
        <f>E7+1</f>
        <v>50</v>
      </c>
      <c r="E8" s="19">
        <f t="shared" si="0"/>
        <v>50</v>
      </c>
      <c r="F8" s="19">
        <v>1</v>
      </c>
      <c r="G8" s="18" t="s">
        <v>721</v>
      </c>
      <c r="H8" s="20"/>
      <c r="I8" s="20"/>
      <c r="J8" s="18"/>
      <c r="K8" s="19"/>
      <c r="L8" s="19"/>
      <c r="M8" s="21"/>
      <c r="N8" s="22"/>
    </row>
    <row r="9" spans="1:14" ht="10.5">
      <c r="A9" s="215" t="s">
        <v>2124</v>
      </c>
      <c r="B9" s="216" t="s">
        <v>14</v>
      </c>
      <c r="C9" s="216"/>
      <c r="D9" s="216">
        <v>1</v>
      </c>
      <c r="E9" s="216">
        <f>E13</f>
        <v>10</v>
      </c>
      <c r="F9" s="216">
        <f>SUM(F10:F13)</f>
        <v>10</v>
      </c>
      <c r="G9" s="236"/>
      <c r="H9" s="236"/>
      <c r="I9" s="236"/>
      <c r="J9" s="216"/>
      <c r="K9" s="216"/>
      <c r="L9" s="218"/>
      <c r="M9" s="219" t="s">
        <v>290</v>
      </c>
      <c r="N9" s="220"/>
    </row>
    <row r="10" spans="1:14" s="235" customFormat="1" ht="20.5">
      <c r="A10" s="237" t="s">
        <v>723</v>
      </c>
      <c r="B10" s="238" t="s">
        <v>18</v>
      </c>
      <c r="C10" s="228">
        <v>7</v>
      </c>
      <c r="D10" s="228">
        <v>1</v>
      </c>
      <c r="E10" s="229">
        <f>D10+F10-1</f>
        <v>1</v>
      </c>
      <c r="F10" s="228">
        <v>1</v>
      </c>
      <c r="G10" s="239" t="s">
        <v>38</v>
      </c>
      <c r="H10" s="239"/>
      <c r="I10" s="239"/>
      <c r="J10" s="228"/>
      <c r="K10" s="228"/>
      <c r="L10" s="240"/>
      <c r="M10" s="233" t="s">
        <v>724</v>
      </c>
      <c r="N10" s="234"/>
    </row>
    <row r="11" spans="1:14" s="235" customFormat="1" ht="10.5">
      <c r="A11" s="474" t="s">
        <v>2125</v>
      </c>
      <c r="B11" s="474" t="s">
        <v>2126</v>
      </c>
      <c r="C11" s="475">
        <v>8</v>
      </c>
      <c r="D11" s="475">
        <f>E10+1</f>
        <v>2</v>
      </c>
      <c r="E11" s="475">
        <f>D11+F11-1</f>
        <v>7</v>
      </c>
      <c r="F11" s="475">
        <v>6</v>
      </c>
      <c r="G11" s="476" t="s">
        <v>2127</v>
      </c>
      <c r="H11" s="239" t="s">
        <v>798</v>
      </c>
      <c r="I11" s="239" t="s">
        <v>2128</v>
      </c>
      <c r="J11" s="477" t="s">
        <v>2129</v>
      </c>
      <c r="K11" s="228"/>
      <c r="L11" s="478" t="s">
        <v>2130</v>
      </c>
      <c r="M11" s="233" t="s">
        <v>724</v>
      </c>
      <c r="N11" s="234"/>
    </row>
    <row r="12" spans="1:14" s="235" customFormat="1">
      <c r="A12" s="238" t="s">
        <v>2131</v>
      </c>
      <c r="B12" s="238" t="s">
        <v>1128</v>
      </c>
      <c r="C12" s="229">
        <v>9</v>
      </c>
      <c r="D12" s="229">
        <f>E11+1</f>
        <v>8</v>
      </c>
      <c r="E12" s="229">
        <f>D12+F12-1</f>
        <v>9</v>
      </c>
      <c r="F12" s="229">
        <v>2</v>
      </c>
      <c r="G12" s="239"/>
      <c r="H12" s="239" t="s">
        <v>798</v>
      </c>
      <c r="I12" s="239" t="s">
        <v>2132</v>
      </c>
      <c r="J12" s="477" t="s">
        <v>2133</v>
      </c>
      <c r="K12" s="229"/>
      <c r="L12" s="478" t="s">
        <v>2130</v>
      </c>
      <c r="M12" s="233" t="s">
        <v>724</v>
      </c>
      <c r="N12" s="479"/>
    </row>
    <row r="13" spans="1:14" s="23" customFormat="1">
      <c r="A13" s="238" t="s">
        <v>719</v>
      </c>
      <c r="B13" s="238" t="s">
        <v>720</v>
      </c>
      <c r="C13" s="229">
        <v>10</v>
      </c>
      <c r="D13" s="229">
        <f>E12+1</f>
        <v>10</v>
      </c>
      <c r="E13" s="229">
        <f>D13+F13-1</f>
        <v>10</v>
      </c>
      <c r="F13" s="19">
        <v>1</v>
      </c>
      <c r="G13" s="18" t="s">
        <v>721</v>
      </c>
      <c r="H13" s="20"/>
      <c r="I13" s="20"/>
      <c r="J13" s="18"/>
      <c r="K13" s="19"/>
      <c r="L13" s="19"/>
      <c r="M13" s="21"/>
      <c r="N13" s="22"/>
    </row>
    <row r="14" spans="1:14" s="235" customFormat="1" ht="31.5">
      <c r="A14" s="215" t="s">
        <v>2134</v>
      </c>
      <c r="B14" s="249" t="s">
        <v>14</v>
      </c>
      <c r="C14" s="249"/>
      <c r="D14" s="249">
        <v>1</v>
      </c>
      <c r="E14" s="249">
        <f>E17</f>
        <v>11</v>
      </c>
      <c r="F14" s="249">
        <f>SUM(F15:F17)</f>
        <v>11</v>
      </c>
      <c r="G14" s="250"/>
      <c r="H14" s="250"/>
      <c r="I14" s="250"/>
      <c r="J14" s="250"/>
      <c r="K14" s="250" t="s">
        <v>204</v>
      </c>
      <c r="L14" s="250"/>
      <c r="M14" s="233" t="s">
        <v>290</v>
      </c>
      <c r="N14" s="234"/>
    </row>
    <row r="15" spans="1:14" s="235" customFormat="1" ht="20.5">
      <c r="A15" s="237" t="s">
        <v>723</v>
      </c>
      <c r="B15" s="251" t="s">
        <v>18</v>
      </c>
      <c r="C15" s="228">
        <v>11</v>
      </c>
      <c r="D15" s="229">
        <v>1</v>
      </c>
      <c r="E15" s="229">
        <v>1</v>
      </c>
      <c r="F15" s="229">
        <v>1</v>
      </c>
      <c r="G15" s="239" t="s">
        <v>205</v>
      </c>
      <c r="H15" s="239"/>
      <c r="I15" s="239"/>
      <c r="J15" s="229"/>
      <c r="K15" s="229"/>
      <c r="L15" s="232"/>
      <c r="M15" s="233" t="s">
        <v>290</v>
      </c>
      <c r="N15" s="234"/>
    </row>
    <row r="16" spans="1:14" s="235" customFormat="1">
      <c r="A16" s="252" t="s">
        <v>206</v>
      </c>
      <c r="B16" s="253" t="s">
        <v>207</v>
      </c>
      <c r="C16" s="229">
        <v>12</v>
      </c>
      <c r="D16" s="229">
        <v>2</v>
      </c>
      <c r="E16" s="229">
        <f>D16+F16-1</f>
        <v>10</v>
      </c>
      <c r="F16" s="229">
        <v>9</v>
      </c>
      <c r="G16" s="239" t="s">
        <v>233</v>
      </c>
      <c r="H16" s="239"/>
      <c r="I16" s="239"/>
      <c r="J16" s="229"/>
      <c r="K16" s="229"/>
      <c r="L16" s="232"/>
      <c r="M16" s="233" t="s">
        <v>290</v>
      </c>
      <c r="N16" s="234"/>
    </row>
    <row r="17" spans="1:14" s="23" customFormat="1">
      <c r="A17" s="254" t="s">
        <v>719</v>
      </c>
      <c r="B17" s="253" t="s">
        <v>720</v>
      </c>
      <c r="C17" s="19">
        <v>13</v>
      </c>
      <c r="D17" s="19">
        <f>E16+1</f>
        <v>11</v>
      </c>
      <c r="E17" s="19">
        <f>D17+F17-1</f>
        <v>11</v>
      </c>
      <c r="F17" s="19">
        <v>1</v>
      </c>
      <c r="G17" s="18" t="s">
        <v>721</v>
      </c>
      <c r="H17" s="20"/>
      <c r="I17" s="20"/>
      <c r="J17" s="18"/>
      <c r="K17" s="19"/>
      <c r="L17" s="19"/>
      <c r="M17" s="21"/>
      <c r="N17" s="22"/>
    </row>
    <row r="18" spans="1:14">
      <c r="M18" s="259"/>
    </row>
    <row r="19" spans="1:14">
      <c r="M19" s="259"/>
    </row>
    <row r="20" spans="1:14">
      <c r="M20" s="259"/>
    </row>
    <row r="21" spans="1:14">
      <c r="M21" s="259"/>
    </row>
    <row r="22" spans="1:14">
      <c r="M22" s="259"/>
    </row>
    <row r="23" spans="1:14">
      <c r="M23" s="259"/>
    </row>
    <row r="24" spans="1:14">
      <c r="M24" s="259"/>
    </row>
    <row r="25" spans="1:14">
      <c r="M25" s="259"/>
    </row>
    <row r="26" spans="1:14">
      <c r="M26" s="259"/>
    </row>
    <row r="27" spans="1:14">
      <c r="M27" s="259"/>
    </row>
    <row r="28" spans="1:14">
      <c r="M28" s="259"/>
    </row>
    <row r="29" spans="1:14">
      <c r="M29" s="259"/>
    </row>
    <row r="30" spans="1:14">
      <c r="M30" s="259"/>
    </row>
    <row r="31" spans="1:14">
      <c r="M31" s="259"/>
    </row>
    <row r="32" spans="1:14">
      <c r="M32" s="259"/>
    </row>
    <row r="33" spans="13:13">
      <c r="M33" s="259"/>
    </row>
    <row r="34" spans="13:13">
      <c r="M34" s="259"/>
    </row>
    <row r="35" spans="13:13">
      <c r="M35" s="259"/>
    </row>
    <row r="36" spans="13:13">
      <c r="M36" s="259"/>
    </row>
    <row r="37" spans="13:13">
      <c r="M37" s="259"/>
    </row>
    <row r="38" spans="13:13">
      <c r="M38" s="259"/>
    </row>
    <row r="39" spans="13:13">
      <c r="M39" s="259"/>
    </row>
    <row r="40" spans="13:13">
      <c r="M40" s="259"/>
    </row>
    <row r="41" spans="13:13">
      <c r="M41" s="259"/>
    </row>
    <row r="42" spans="13:13">
      <c r="M42" s="259"/>
    </row>
    <row r="43" spans="13:13">
      <c r="M43" s="259"/>
    </row>
    <row r="44" spans="13:13">
      <c r="M44" s="259"/>
    </row>
    <row r="45" spans="13:13">
      <c r="M45" s="259"/>
    </row>
    <row r="46" spans="13:13">
      <c r="M46" s="259"/>
    </row>
    <row r="47" spans="13:13">
      <c r="M47" s="259"/>
    </row>
    <row r="48" spans="13:13">
      <c r="M48" s="259"/>
    </row>
    <row r="49" spans="13:13">
      <c r="M49" s="259"/>
    </row>
    <row r="50" spans="13:13">
      <c r="M50" s="259"/>
    </row>
    <row r="51" spans="13:13">
      <c r="M51" s="259"/>
    </row>
    <row r="52" spans="13:13">
      <c r="M52" s="259"/>
    </row>
    <row r="53" spans="13:13">
      <c r="M53" s="259"/>
    </row>
    <row r="54" spans="13:13">
      <c r="M54" s="259"/>
    </row>
    <row r="55" spans="13:13">
      <c r="M55" s="259"/>
    </row>
    <row r="56" spans="13:13">
      <c r="M56" s="259"/>
    </row>
    <row r="57" spans="13:13">
      <c r="M57" s="259"/>
    </row>
    <row r="58" spans="13:13">
      <c r="M58" s="259"/>
    </row>
    <row r="59" spans="13:13">
      <c r="M59" s="259"/>
    </row>
    <row r="60" spans="13:13">
      <c r="M60" s="259"/>
    </row>
    <row r="61" spans="13:13">
      <c r="M61" s="259"/>
    </row>
    <row r="62" spans="13:13">
      <c r="M62" s="259"/>
    </row>
    <row r="63" spans="13:13">
      <c r="M63" s="259"/>
    </row>
    <row r="64" spans="13:13">
      <c r="M64" s="259"/>
    </row>
    <row r="65" spans="13:13">
      <c r="M65" s="259"/>
    </row>
    <row r="66" spans="13:13">
      <c r="M66" s="259"/>
    </row>
    <row r="67" spans="13:13">
      <c r="M67" s="259"/>
    </row>
    <row r="68" spans="13:13">
      <c r="M68" s="259"/>
    </row>
    <row r="69" spans="13:13">
      <c r="M69" s="259"/>
    </row>
    <row r="70" spans="13:13">
      <c r="M70" s="259"/>
    </row>
    <row r="71" spans="13:13">
      <c r="M71" s="259"/>
    </row>
    <row r="72" spans="13:13">
      <c r="M72" s="259"/>
    </row>
    <row r="73" spans="13:13">
      <c r="M73" s="259"/>
    </row>
    <row r="74" spans="13:13">
      <c r="M74" s="259"/>
    </row>
    <row r="75" spans="13:13">
      <c r="M75" s="259"/>
    </row>
    <row r="76" spans="13:13">
      <c r="M76" s="259"/>
    </row>
    <row r="77" spans="13:13">
      <c r="M77" s="259"/>
    </row>
    <row r="78" spans="13:13">
      <c r="M78" s="259"/>
    </row>
    <row r="79" spans="13:13">
      <c r="M79" s="259"/>
    </row>
    <row r="80" spans="13:13">
      <c r="M80" s="259"/>
    </row>
    <row r="81" spans="13:13">
      <c r="M81" s="259"/>
    </row>
    <row r="82" spans="13:13">
      <c r="M82" s="259"/>
    </row>
    <row r="83" spans="13:13">
      <c r="M83" s="259"/>
    </row>
    <row r="84" spans="13:13">
      <c r="M84" s="259"/>
    </row>
    <row r="85" spans="13:13">
      <c r="M85" s="259"/>
    </row>
    <row r="86" spans="13:13">
      <c r="M86" s="259"/>
    </row>
    <row r="87" spans="13:13">
      <c r="M87" s="259"/>
    </row>
    <row r="88" spans="13:13">
      <c r="M88" s="259"/>
    </row>
    <row r="89" spans="13:13">
      <c r="M89" s="259"/>
    </row>
    <row r="90" spans="13:13">
      <c r="M90" s="259"/>
    </row>
    <row r="91" spans="13:13">
      <c r="M91" s="259"/>
    </row>
    <row r="92" spans="13:13">
      <c r="M92" s="259"/>
    </row>
    <row r="93" spans="13:13">
      <c r="M93" s="259"/>
    </row>
    <row r="94" spans="13:13">
      <c r="M94" s="259"/>
    </row>
    <row r="95" spans="13:13">
      <c r="M95" s="259"/>
    </row>
    <row r="96" spans="13:13">
      <c r="M96" s="259"/>
    </row>
    <row r="97" spans="13:13">
      <c r="M97" s="259"/>
    </row>
    <row r="98" spans="13:13">
      <c r="M98" s="259"/>
    </row>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6CF5-328C-46CE-BF3D-BF027249A44E}">
  <sheetPr codeName="Sheet37"/>
  <dimension ref="A1:N98"/>
  <sheetViews>
    <sheetView topLeftCell="A3" workbookViewId="0">
      <selection activeCell="H29" sqref="H29"/>
    </sheetView>
  </sheetViews>
  <sheetFormatPr defaultRowHeight="10"/>
  <cols>
    <col min="1" max="1" width="24.7265625" style="255" bestFit="1" customWidth="1"/>
    <col min="2" max="2" width="18.7265625" style="256" bestFit="1" customWidth="1"/>
    <col min="3" max="3" width="8.1796875" style="256" bestFit="1" customWidth="1"/>
    <col min="4" max="5" width="8.26953125" style="256" bestFit="1" customWidth="1"/>
    <col min="6" max="6" width="7.26953125" style="256" bestFit="1" customWidth="1"/>
    <col min="7" max="7" width="26.1796875" style="257" bestFit="1" customWidth="1"/>
    <col min="8" max="8" width="20.7265625" style="257" bestFit="1" customWidth="1"/>
    <col min="9" max="9" width="20.81640625" style="257" bestFit="1" customWidth="1"/>
    <col min="10" max="10" width="19.54296875" style="256" bestFit="1" customWidth="1"/>
    <col min="11" max="11" width="17.1796875" style="256" bestFit="1" customWidth="1"/>
    <col min="12" max="12" width="22.1796875" style="258" customWidth="1"/>
    <col min="13" max="13" width="13.26953125" style="221" customWidth="1"/>
    <col min="14" max="14" width="11" style="221" customWidth="1"/>
    <col min="15" max="256" width="8.7265625" style="221"/>
    <col min="257" max="257" width="24.7265625" style="221" bestFit="1" customWidth="1"/>
    <col min="258" max="258" width="18.7265625" style="221" bestFit="1" customWidth="1"/>
    <col min="259" max="259" width="8.1796875" style="221" bestFit="1" customWidth="1"/>
    <col min="260" max="261" width="8.26953125" style="221" bestFit="1" customWidth="1"/>
    <col min="262" max="262" width="7.26953125" style="221" bestFit="1" customWidth="1"/>
    <col min="263" max="263" width="26.1796875" style="221" bestFit="1" customWidth="1"/>
    <col min="264" max="264" width="20.7265625" style="221" bestFit="1" customWidth="1"/>
    <col min="265" max="265" width="20.81640625" style="221" bestFit="1" customWidth="1"/>
    <col min="266" max="266" width="19.54296875" style="221" bestFit="1" customWidth="1"/>
    <col min="267" max="267" width="17.1796875" style="221" bestFit="1" customWidth="1"/>
    <col min="268" max="268" width="22.1796875" style="221" customWidth="1"/>
    <col min="269" max="269" width="13.26953125" style="221" customWidth="1"/>
    <col min="270" max="270" width="11" style="221" customWidth="1"/>
    <col min="271" max="512" width="8.7265625" style="221"/>
    <col min="513" max="513" width="24.7265625" style="221" bestFit="1" customWidth="1"/>
    <col min="514" max="514" width="18.7265625" style="221" bestFit="1" customWidth="1"/>
    <col min="515" max="515" width="8.1796875" style="221" bestFit="1" customWidth="1"/>
    <col min="516" max="517" width="8.26953125" style="221" bestFit="1" customWidth="1"/>
    <col min="518" max="518" width="7.26953125" style="221" bestFit="1" customWidth="1"/>
    <col min="519" max="519" width="26.1796875" style="221" bestFit="1" customWidth="1"/>
    <col min="520" max="520" width="20.7265625" style="221" bestFit="1" customWidth="1"/>
    <col min="521" max="521" width="20.81640625" style="221" bestFit="1" customWidth="1"/>
    <col min="522" max="522" width="19.54296875" style="221" bestFit="1" customWidth="1"/>
    <col min="523" max="523" width="17.1796875" style="221" bestFit="1" customWidth="1"/>
    <col min="524" max="524" width="22.1796875" style="221" customWidth="1"/>
    <col min="525" max="525" width="13.26953125" style="221" customWidth="1"/>
    <col min="526" max="526" width="11" style="221" customWidth="1"/>
    <col min="527" max="768" width="8.7265625" style="221"/>
    <col min="769" max="769" width="24.7265625" style="221" bestFit="1" customWidth="1"/>
    <col min="770" max="770" width="18.7265625" style="221" bestFit="1" customWidth="1"/>
    <col min="771" max="771" width="8.1796875" style="221" bestFit="1" customWidth="1"/>
    <col min="772" max="773" width="8.26953125" style="221" bestFit="1" customWidth="1"/>
    <col min="774" max="774" width="7.26953125" style="221" bestFit="1" customWidth="1"/>
    <col min="775" max="775" width="26.1796875" style="221" bestFit="1" customWidth="1"/>
    <col min="776" max="776" width="20.7265625" style="221" bestFit="1" customWidth="1"/>
    <col min="777" max="777" width="20.81640625" style="221" bestFit="1" customWidth="1"/>
    <col min="778" max="778" width="19.54296875" style="221" bestFit="1" customWidth="1"/>
    <col min="779" max="779" width="17.1796875" style="221" bestFit="1" customWidth="1"/>
    <col min="780" max="780" width="22.1796875" style="221" customWidth="1"/>
    <col min="781" max="781" width="13.26953125" style="221" customWidth="1"/>
    <col min="782" max="782" width="11" style="221" customWidth="1"/>
    <col min="783" max="1024" width="8.7265625" style="221"/>
    <col min="1025" max="1025" width="24.7265625" style="221" bestFit="1" customWidth="1"/>
    <col min="1026" max="1026" width="18.7265625" style="221" bestFit="1" customWidth="1"/>
    <col min="1027" max="1027" width="8.1796875" style="221" bestFit="1" customWidth="1"/>
    <col min="1028" max="1029" width="8.26953125" style="221" bestFit="1" customWidth="1"/>
    <col min="1030" max="1030" width="7.26953125" style="221" bestFit="1" customWidth="1"/>
    <col min="1031" max="1031" width="26.1796875" style="221" bestFit="1" customWidth="1"/>
    <col min="1032" max="1032" width="20.7265625" style="221" bestFit="1" customWidth="1"/>
    <col min="1033" max="1033" width="20.81640625" style="221" bestFit="1" customWidth="1"/>
    <col min="1034" max="1034" width="19.54296875" style="221" bestFit="1" customWidth="1"/>
    <col min="1035" max="1035" width="17.1796875" style="221" bestFit="1" customWidth="1"/>
    <col min="1036" max="1036" width="22.1796875" style="221" customWidth="1"/>
    <col min="1037" max="1037" width="13.26953125" style="221" customWidth="1"/>
    <col min="1038" max="1038" width="11" style="221" customWidth="1"/>
    <col min="1039" max="1280" width="8.7265625" style="221"/>
    <col min="1281" max="1281" width="24.7265625" style="221" bestFit="1" customWidth="1"/>
    <col min="1282" max="1282" width="18.7265625" style="221" bestFit="1" customWidth="1"/>
    <col min="1283" max="1283" width="8.1796875" style="221" bestFit="1" customWidth="1"/>
    <col min="1284" max="1285" width="8.26953125" style="221" bestFit="1" customWidth="1"/>
    <col min="1286" max="1286" width="7.26953125" style="221" bestFit="1" customWidth="1"/>
    <col min="1287" max="1287" width="26.1796875" style="221" bestFit="1" customWidth="1"/>
    <col min="1288" max="1288" width="20.7265625" style="221" bestFit="1" customWidth="1"/>
    <col min="1289" max="1289" width="20.81640625" style="221" bestFit="1" customWidth="1"/>
    <col min="1290" max="1290" width="19.54296875" style="221" bestFit="1" customWidth="1"/>
    <col min="1291" max="1291" width="17.1796875" style="221" bestFit="1" customWidth="1"/>
    <col min="1292" max="1292" width="22.1796875" style="221" customWidth="1"/>
    <col min="1293" max="1293" width="13.26953125" style="221" customWidth="1"/>
    <col min="1294" max="1294" width="11" style="221" customWidth="1"/>
    <col min="1295" max="1536" width="8.7265625" style="221"/>
    <col min="1537" max="1537" width="24.7265625" style="221" bestFit="1" customWidth="1"/>
    <col min="1538" max="1538" width="18.7265625" style="221" bestFit="1" customWidth="1"/>
    <col min="1539" max="1539" width="8.1796875" style="221" bestFit="1" customWidth="1"/>
    <col min="1540" max="1541" width="8.26953125" style="221" bestFit="1" customWidth="1"/>
    <col min="1542" max="1542" width="7.26953125" style="221" bestFit="1" customWidth="1"/>
    <col min="1543" max="1543" width="26.1796875" style="221" bestFit="1" customWidth="1"/>
    <col min="1544" max="1544" width="20.7265625" style="221" bestFit="1" customWidth="1"/>
    <col min="1545" max="1545" width="20.81640625" style="221" bestFit="1" customWidth="1"/>
    <col min="1546" max="1546" width="19.54296875" style="221" bestFit="1" customWidth="1"/>
    <col min="1547" max="1547" width="17.1796875" style="221" bestFit="1" customWidth="1"/>
    <col min="1548" max="1548" width="22.1796875" style="221" customWidth="1"/>
    <col min="1549" max="1549" width="13.26953125" style="221" customWidth="1"/>
    <col min="1550" max="1550" width="11" style="221" customWidth="1"/>
    <col min="1551" max="1792" width="8.7265625" style="221"/>
    <col min="1793" max="1793" width="24.7265625" style="221" bestFit="1" customWidth="1"/>
    <col min="1794" max="1794" width="18.7265625" style="221" bestFit="1" customWidth="1"/>
    <col min="1795" max="1795" width="8.1796875" style="221" bestFit="1" customWidth="1"/>
    <col min="1796" max="1797" width="8.26953125" style="221" bestFit="1" customWidth="1"/>
    <col min="1798" max="1798" width="7.26953125" style="221" bestFit="1" customWidth="1"/>
    <col min="1799" max="1799" width="26.1796875" style="221" bestFit="1" customWidth="1"/>
    <col min="1800" max="1800" width="20.7265625" style="221" bestFit="1" customWidth="1"/>
    <col min="1801" max="1801" width="20.81640625" style="221" bestFit="1" customWidth="1"/>
    <col min="1802" max="1802" width="19.54296875" style="221" bestFit="1" customWidth="1"/>
    <col min="1803" max="1803" width="17.1796875" style="221" bestFit="1" customWidth="1"/>
    <col min="1804" max="1804" width="22.1796875" style="221" customWidth="1"/>
    <col min="1805" max="1805" width="13.26953125" style="221" customWidth="1"/>
    <col min="1806" max="1806" width="11" style="221" customWidth="1"/>
    <col min="1807" max="2048" width="8.7265625" style="221"/>
    <col min="2049" max="2049" width="24.7265625" style="221" bestFit="1" customWidth="1"/>
    <col min="2050" max="2050" width="18.7265625" style="221" bestFit="1" customWidth="1"/>
    <col min="2051" max="2051" width="8.1796875" style="221" bestFit="1" customWidth="1"/>
    <col min="2052" max="2053" width="8.26953125" style="221" bestFit="1" customWidth="1"/>
    <col min="2054" max="2054" width="7.26953125" style="221" bestFit="1" customWidth="1"/>
    <col min="2055" max="2055" width="26.1796875" style="221" bestFit="1" customWidth="1"/>
    <col min="2056" max="2056" width="20.7265625" style="221" bestFit="1" customWidth="1"/>
    <col min="2057" max="2057" width="20.81640625" style="221" bestFit="1" customWidth="1"/>
    <col min="2058" max="2058" width="19.54296875" style="221" bestFit="1" customWidth="1"/>
    <col min="2059" max="2059" width="17.1796875" style="221" bestFit="1" customWidth="1"/>
    <col min="2060" max="2060" width="22.1796875" style="221" customWidth="1"/>
    <col min="2061" max="2061" width="13.26953125" style="221" customWidth="1"/>
    <col min="2062" max="2062" width="11" style="221" customWidth="1"/>
    <col min="2063" max="2304" width="8.7265625" style="221"/>
    <col min="2305" max="2305" width="24.7265625" style="221" bestFit="1" customWidth="1"/>
    <col min="2306" max="2306" width="18.7265625" style="221" bestFit="1" customWidth="1"/>
    <col min="2307" max="2307" width="8.1796875" style="221" bestFit="1" customWidth="1"/>
    <col min="2308" max="2309" width="8.26953125" style="221" bestFit="1" customWidth="1"/>
    <col min="2310" max="2310" width="7.26953125" style="221" bestFit="1" customWidth="1"/>
    <col min="2311" max="2311" width="26.1796875" style="221" bestFit="1" customWidth="1"/>
    <col min="2312" max="2312" width="20.7265625" style="221" bestFit="1" customWidth="1"/>
    <col min="2313" max="2313" width="20.81640625" style="221" bestFit="1" customWidth="1"/>
    <col min="2314" max="2314" width="19.54296875" style="221" bestFit="1" customWidth="1"/>
    <col min="2315" max="2315" width="17.1796875" style="221" bestFit="1" customWidth="1"/>
    <col min="2316" max="2316" width="22.1796875" style="221" customWidth="1"/>
    <col min="2317" max="2317" width="13.26953125" style="221" customWidth="1"/>
    <col min="2318" max="2318" width="11" style="221" customWidth="1"/>
    <col min="2319" max="2560" width="8.7265625" style="221"/>
    <col min="2561" max="2561" width="24.7265625" style="221" bestFit="1" customWidth="1"/>
    <col min="2562" max="2562" width="18.7265625" style="221" bestFit="1" customWidth="1"/>
    <col min="2563" max="2563" width="8.1796875" style="221" bestFit="1" customWidth="1"/>
    <col min="2564" max="2565" width="8.26953125" style="221" bestFit="1" customWidth="1"/>
    <col min="2566" max="2566" width="7.26953125" style="221" bestFit="1" customWidth="1"/>
    <col min="2567" max="2567" width="26.1796875" style="221" bestFit="1" customWidth="1"/>
    <col min="2568" max="2568" width="20.7265625" style="221" bestFit="1" customWidth="1"/>
    <col min="2569" max="2569" width="20.81640625" style="221" bestFit="1" customWidth="1"/>
    <col min="2570" max="2570" width="19.54296875" style="221" bestFit="1" customWidth="1"/>
    <col min="2571" max="2571" width="17.1796875" style="221" bestFit="1" customWidth="1"/>
    <col min="2572" max="2572" width="22.1796875" style="221" customWidth="1"/>
    <col min="2573" max="2573" width="13.26953125" style="221" customWidth="1"/>
    <col min="2574" max="2574" width="11" style="221" customWidth="1"/>
    <col min="2575" max="2816" width="8.7265625" style="221"/>
    <col min="2817" max="2817" width="24.7265625" style="221" bestFit="1" customWidth="1"/>
    <col min="2818" max="2818" width="18.7265625" style="221" bestFit="1" customWidth="1"/>
    <col min="2819" max="2819" width="8.1796875" style="221" bestFit="1" customWidth="1"/>
    <col min="2820" max="2821" width="8.26953125" style="221" bestFit="1" customWidth="1"/>
    <col min="2822" max="2822" width="7.26953125" style="221" bestFit="1" customWidth="1"/>
    <col min="2823" max="2823" width="26.1796875" style="221" bestFit="1" customWidth="1"/>
    <col min="2824" max="2824" width="20.7265625" style="221" bestFit="1" customWidth="1"/>
    <col min="2825" max="2825" width="20.81640625" style="221" bestFit="1" customWidth="1"/>
    <col min="2826" max="2826" width="19.54296875" style="221" bestFit="1" customWidth="1"/>
    <col min="2827" max="2827" width="17.1796875" style="221" bestFit="1" customWidth="1"/>
    <col min="2828" max="2828" width="22.1796875" style="221" customWidth="1"/>
    <col min="2829" max="2829" width="13.26953125" style="221" customWidth="1"/>
    <col min="2830" max="2830" width="11" style="221" customWidth="1"/>
    <col min="2831" max="3072" width="8.7265625" style="221"/>
    <col min="3073" max="3073" width="24.7265625" style="221" bestFit="1" customWidth="1"/>
    <col min="3074" max="3074" width="18.7265625" style="221" bestFit="1" customWidth="1"/>
    <col min="3075" max="3075" width="8.1796875" style="221" bestFit="1" customWidth="1"/>
    <col min="3076" max="3077" width="8.26953125" style="221" bestFit="1" customWidth="1"/>
    <col min="3078" max="3078" width="7.26953125" style="221" bestFit="1" customWidth="1"/>
    <col min="3079" max="3079" width="26.1796875" style="221" bestFit="1" customWidth="1"/>
    <col min="3080" max="3080" width="20.7265625" style="221" bestFit="1" customWidth="1"/>
    <col min="3081" max="3081" width="20.81640625" style="221" bestFit="1" customWidth="1"/>
    <col min="3082" max="3082" width="19.54296875" style="221" bestFit="1" customWidth="1"/>
    <col min="3083" max="3083" width="17.1796875" style="221" bestFit="1" customWidth="1"/>
    <col min="3084" max="3084" width="22.1796875" style="221" customWidth="1"/>
    <col min="3085" max="3085" width="13.26953125" style="221" customWidth="1"/>
    <col min="3086" max="3086" width="11" style="221" customWidth="1"/>
    <col min="3087" max="3328" width="8.7265625" style="221"/>
    <col min="3329" max="3329" width="24.7265625" style="221" bestFit="1" customWidth="1"/>
    <col min="3330" max="3330" width="18.7265625" style="221" bestFit="1" customWidth="1"/>
    <col min="3331" max="3331" width="8.1796875" style="221" bestFit="1" customWidth="1"/>
    <col min="3332" max="3333" width="8.26953125" style="221" bestFit="1" customWidth="1"/>
    <col min="3334" max="3334" width="7.26953125" style="221" bestFit="1" customWidth="1"/>
    <col min="3335" max="3335" width="26.1796875" style="221" bestFit="1" customWidth="1"/>
    <col min="3336" max="3336" width="20.7265625" style="221" bestFit="1" customWidth="1"/>
    <col min="3337" max="3337" width="20.81640625" style="221" bestFit="1" customWidth="1"/>
    <col min="3338" max="3338" width="19.54296875" style="221" bestFit="1" customWidth="1"/>
    <col min="3339" max="3339" width="17.1796875" style="221" bestFit="1" customWidth="1"/>
    <col min="3340" max="3340" width="22.1796875" style="221" customWidth="1"/>
    <col min="3341" max="3341" width="13.26953125" style="221" customWidth="1"/>
    <col min="3342" max="3342" width="11" style="221" customWidth="1"/>
    <col min="3343" max="3584" width="8.7265625" style="221"/>
    <col min="3585" max="3585" width="24.7265625" style="221" bestFit="1" customWidth="1"/>
    <col min="3586" max="3586" width="18.7265625" style="221" bestFit="1" customWidth="1"/>
    <col min="3587" max="3587" width="8.1796875" style="221" bestFit="1" customWidth="1"/>
    <col min="3588" max="3589" width="8.26953125" style="221" bestFit="1" customWidth="1"/>
    <col min="3590" max="3590" width="7.26953125" style="221" bestFit="1" customWidth="1"/>
    <col min="3591" max="3591" width="26.1796875" style="221" bestFit="1" customWidth="1"/>
    <col min="3592" max="3592" width="20.7265625" style="221" bestFit="1" customWidth="1"/>
    <col min="3593" max="3593" width="20.81640625" style="221" bestFit="1" customWidth="1"/>
    <col min="3594" max="3594" width="19.54296875" style="221" bestFit="1" customWidth="1"/>
    <col min="3595" max="3595" width="17.1796875" style="221" bestFit="1" customWidth="1"/>
    <col min="3596" max="3596" width="22.1796875" style="221" customWidth="1"/>
    <col min="3597" max="3597" width="13.26953125" style="221" customWidth="1"/>
    <col min="3598" max="3598" width="11" style="221" customWidth="1"/>
    <col min="3599" max="3840" width="8.7265625" style="221"/>
    <col min="3841" max="3841" width="24.7265625" style="221" bestFit="1" customWidth="1"/>
    <col min="3842" max="3842" width="18.7265625" style="221" bestFit="1" customWidth="1"/>
    <col min="3843" max="3843" width="8.1796875" style="221" bestFit="1" customWidth="1"/>
    <col min="3844" max="3845" width="8.26953125" style="221" bestFit="1" customWidth="1"/>
    <col min="3846" max="3846" width="7.26953125" style="221" bestFit="1" customWidth="1"/>
    <col min="3847" max="3847" width="26.1796875" style="221" bestFit="1" customWidth="1"/>
    <col min="3848" max="3848" width="20.7265625" style="221" bestFit="1" customWidth="1"/>
    <col min="3849" max="3849" width="20.81640625" style="221" bestFit="1" customWidth="1"/>
    <col min="3850" max="3850" width="19.54296875" style="221" bestFit="1" customWidth="1"/>
    <col min="3851" max="3851" width="17.1796875" style="221" bestFit="1" customWidth="1"/>
    <col min="3852" max="3852" width="22.1796875" style="221" customWidth="1"/>
    <col min="3853" max="3853" width="13.26953125" style="221" customWidth="1"/>
    <col min="3854" max="3854" width="11" style="221" customWidth="1"/>
    <col min="3855" max="4096" width="8.7265625" style="221"/>
    <col min="4097" max="4097" width="24.7265625" style="221" bestFit="1" customWidth="1"/>
    <col min="4098" max="4098" width="18.7265625" style="221" bestFit="1" customWidth="1"/>
    <col min="4099" max="4099" width="8.1796875" style="221" bestFit="1" customWidth="1"/>
    <col min="4100" max="4101" width="8.26953125" style="221" bestFit="1" customWidth="1"/>
    <col min="4102" max="4102" width="7.26953125" style="221" bestFit="1" customWidth="1"/>
    <col min="4103" max="4103" width="26.1796875" style="221" bestFit="1" customWidth="1"/>
    <col min="4104" max="4104" width="20.7265625" style="221" bestFit="1" customWidth="1"/>
    <col min="4105" max="4105" width="20.81640625" style="221" bestFit="1" customWidth="1"/>
    <col min="4106" max="4106" width="19.54296875" style="221" bestFit="1" customWidth="1"/>
    <col min="4107" max="4107" width="17.1796875" style="221" bestFit="1" customWidth="1"/>
    <col min="4108" max="4108" width="22.1796875" style="221" customWidth="1"/>
    <col min="4109" max="4109" width="13.26953125" style="221" customWidth="1"/>
    <col min="4110" max="4110" width="11" style="221" customWidth="1"/>
    <col min="4111" max="4352" width="8.7265625" style="221"/>
    <col min="4353" max="4353" width="24.7265625" style="221" bestFit="1" customWidth="1"/>
    <col min="4354" max="4354" width="18.7265625" style="221" bestFit="1" customWidth="1"/>
    <col min="4355" max="4355" width="8.1796875" style="221" bestFit="1" customWidth="1"/>
    <col min="4356" max="4357" width="8.26953125" style="221" bestFit="1" customWidth="1"/>
    <col min="4358" max="4358" width="7.26953125" style="221" bestFit="1" customWidth="1"/>
    <col min="4359" max="4359" width="26.1796875" style="221" bestFit="1" customWidth="1"/>
    <col min="4360" max="4360" width="20.7265625" style="221" bestFit="1" customWidth="1"/>
    <col min="4361" max="4361" width="20.81640625" style="221" bestFit="1" customWidth="1"/>
    <col min="4362" max="4362" width="19.54296875" style="221" bestFit="1" customWidth="1"/>
    <col min="4363" max="4363" width="17.1796875" style="221" bestFit="1" customWidth="1"/>
    <col min="4364" max="4364" width="22.1796875" style="221" customWidth="1"/>
    <col min="4365" max="4365" width="13.26953125" style="221" customWidth="1"/>
    <col min="4366" max="4366" width="11" style="221" customWidth="1"/>
    <col min="4367" max="4608" width="8.7265625" style="221"/>
    <col min="4609" max="4609" width="24.7265625" style="221" bestFit="1" customWidth="1"/>
    <col min="4610" max="4610" width="18.7265625" style="221" bestFit="1" customWidth="1"/>
    <col min="4611" max="4611" width="8.1796875" style="221" bestFit="1" customWidth="1"/>
    <col min="4612" max="4613" width="8.26953125" style="221" bestFit="1" customWidth="1"/>
    <col min="4614" max="4614" width="7.26953125" style="221" bestFit="1" customWidth="1"/>
    <col min="4615" max="4615" width="26.1796875" style="221" bestFit="1" customWidth="1"/>
    <col min="4616" max="4616" width="20.7265625" style="221" bestFit="1" customWidth="1"/>
    <col min="4617" max="4617" width="20.81640625" style="221" bestFit="1" customWidth="1"/>
    <col min="4618" max="4618" width="19.54296875" style="221" bestFit="1" customWidth="1"/>
    <col min="4619" max="4619" width="17.1796875" style="221" bestFit="1" customWidth="1"/>
    <col min="4620" max="4620" width="22.1796875" style="221" customWidth="1"/>
    <col min="4621" max="4621" width="13.26953125" style="221" customWidth="1"/>
    <col min="4622" max="4622" width="11" style="221" customWidth="1"/>
    <col min="4623" max="4864" width="8.7265625" style="221"/>
    <col min="4865" max="4865" width="24.7265625" style="221" bestFit="1" customWidth="1"/>
    <col min="4866" max="4866" width="18.7265625" style="221" bestFit="1" customWidth="1"/>
    <col min="4867" max="4867" width="8.1796875" style="221" bestFit="1" customWidth="1"/>
    <col min="4868" max="4869" width="8.26953125" style="221" bestFit="1" customWidth="1"/>
    <col min="4870" max="4870" width="7.26953125" style="221" bestFit="1" customWidth="1"/>
    <col min="4871" max="4871" width="26.1796875" style="221" bestFit="1" customWidth="1"/>
    <col min="4872" max="4872" width="20.7265625" style="221" bestFit="1" customWidth="1"/>
    <col min="4873" max="4873" width="20.81640625" style="221" bestFit="1" customWidth="1"/>
    <col min="4874" max="4874" width="19.54296875" style="221" bestFit="1" customWidth="1"/>
    <col min="4875" max="4875" width="17.1796875" style="221" bestFit="1" customWidth="1"/>
    <col min="4876" max="4876" width="22.1796875" style="221" customWidth="1"/>
    <col min="4877" max="4877" width="13.26953125" style="221" customWidth="1"/>
    <col min="4878" max="4878" width="11" style="221" customWidth="1"/>
    <col min="4879" max="5120" width="8.7265625" style="221"/>
    <col min="5121" max="5121" width="24.7265625" style="221" bestFit="1" customWidth="1"/>
    <col min="5122" max="5122" width="18.7265625" style="221" bestFit="1" customWidth="1"/>
    <col min="5123" max="5123" width="8.1796875" style="221" bestFit="1" customWidth="1"/>
    <col min="5124" max="5125" width="8.26953125" style="221" bestFit="1" customWidth="1"/>
    <col min="5126" max="5126" width="7.26953125" style="221" bestFit="1" customWidth="1"/>
    <col min="5127" max="5127" width="26.1796875" style="221" bestFit="1" customWidth="1"/>
    <col min="5128" max="5128" width="20.7265625" style="221" bestFit="1" customWidth="1"/>
    <col min="5129" max="5129" width="20.81640625" style="221" bestFit="1" customWidth="1"/>
    <col min="5130" max="5130" width="19.54296875" style="221" bestFit="1" customWidth="1"/>
    <col min="5131" max="5131" width="17.1796875" style="221" bestFit="1" customWidth="1"/>
    <col min="5132" max="5132" width="22.1796875" style="221" customWidth="1"/>
    <col min="5133" max="5133" width="13.26953125" style="221" customWidth="1"/>
    <col min="5134" max="5134" width="11" style="221" customWidth="1"/>
    <col min="5135" max="5376" width="8.7265625" style="221"/>
    <col min="5377" max="5377" width="24.7265625" style="221" bestFit="1" customWidth="1"/>
    <col min="5378" max="5378" width="18.7265625" style="221" bestFit="1" customWidth="1"/>
    <col min="5379" max="5379" width="8.1796875" style="221" bestFit="1" customWidth="1"/>
    <col min="5380" max="5381" width="8.26953125" style="221" bestFit="1" customWidth="1"/>
    <col min="5382" max="5382" width="7.26953125" style="221" bestFit="1" customWidth="1"/>
    <col min="5383" max="5383" width="26.1796875" style="221" bestFit="1" customWidth="1"/>
    <col min="5384" max="5384" width="20.7265625" style="221" bestFit="1" customWidth="1"/>
    <col min="5385" max="5385" width="20.81640625" style="221" bestFit="1" customWidth="1"/>
    <col min="5386" max="5386" width="19.54296875" style="221" bestFit="1" customWidth="1"/>
    <col min="5387" max="5387" width="17.1796875" style="221" bestFit="1" customWidth="1"/>
    <col min="5388" max="5388" width="22.1796875" style="221" customWidth="1"/>
    <col min="5389" max="5389" width="13.26953125" style="221" customWidth="1"/>
    <col min="5390" max="5390" width="11" style="221" customWidth="1"/>
    <col min="5391" max="5632" width="8.7265625" style="221"/>
    <col min="5633" max="5633" width="24.7265625" style="221" bestFit="1" customWidth="1"/>
    <col min="5634" max="5634" width="18.7265625" style="221" bestFit="1" customWidth="1"/>
    <col min="5635" max="5635" width="8.1796875" style="221" bestFit="1" customWidth="1"/>
    <col min="5636" max="5637" width="8.26953125" style="221" bestFit="1" customWidth="1"/>
    <col min="5638" max="5638" width="7.26953125" style="221" bestFit="1" customWidth="1"/>
    <col min="5639" max="5639" width="26.1796875" style="221" bestFit="1" customWidth="1"/>
    <col min="5640" max="5640" width="20.7265625" style="221" bestFit="1" customWidth="1"/>
    <col min="5641" max="5641" width="20.81640625" style="221" bestFit="1" customWidth="1"/>
    <col min="5642" max="5642" width="19.54296875" style="221" bestFit="1" customWidth="1"/>
    <col min="5643" max="5643" width="17.1796875" style="221" bestFit="1" customWidth="1"/>
    <col min="5644" max="5644" width="22.1796875" style="221" customWidth="1"/>
    <col min="5645" max="5645" width="13.26953125" style="221" customWidth="1"/>
    <col min="5646" max="5646" width="11" style="221" customWidth="1"/>
    <col min="5647" max="5888" width="8.7265625" style="221"/>
    <col min="5889" max="5889" width="24.7265625" style="221" bestFit="1" customWidth="1"/>
    <col min="5890" max="5890" width="18.7265625" style="221" bestFit="1" customWidth="1"/>
    <col min="5891" max="5891" width="8.1796875" style="221" bestFit="1" customWidth="1"/>
    <col min="5892" max="5893" width="8.26953125" style="221" bestFit="1" customWidth="1"/>
    <col min="5894" max="5894" width="7.26953125" style="221" bestFit="1" customWidth="1"/>
    <col min="5895" max="5895" width="26.1796875" style="221" bestFit="1" customWidth="1"/>
    <col min="5896" max="5896" width="20.7265625" style="221" bestFit="1" customWidth="1"/>
    <col min="5897" max="5897" width="20.81640625" style="221" bestFit="1" customWidth="1"/>
    <col min="5898" max="5898" width="19.54296875" style="221" bestFit="1" customWidth="1"/>
    <col min="5899" max="5899" width="17.1796875" style="221" bestFit="1" customWidth="1"/>
    <col min="5900" max="5900" width="22.1796875" style="221" customWidth="1"/>
    <col min="5901" max="5901" width="13.26953125" style="221" customWidth="1"/>
    <col min="5902" max="5902" width="11" style="221" customWidth="1"/>
    <col min="5903" max="6144" width="8.7265625" style="221"/>
    <col min="6145" max="6145" width="24.7265625" style="221" bestFit="1" customWidth="1"/>
    <col min="6146" max="6146" width="18.7265625" style="221" bestFit="1" customWidth="1"/>
    <col min="6147" max="6147" width="8.1796875" style="221" bestFit="1" customWidth="1"/>
    <col min="6148" max="6149" width="8.26953125" style="221" bestFit="1" customWidth="1"/>
    <col min="6150" max="6150" width="7.26953125" style="221" bestFit="1" customWidth="1"/>
    <col min="6151" max="6151" width="26.1796875" style="221" bestFit="1" customWidth="1"/>
    <col min="6152" max="6152" width="20.7265625" style="221" bestFit="1" customWidth="1"/>
    <col min="6153" max="6153" width="20.81640625" style="221" bestFit="1" customWidth="1"/>
    <col min="6154" max="6154" width="19.54296875" style="221" bestFit="1" customWidth="1"/>
    <col min="6155" max="6155" width="17.1796875" style="221" bestFit="1" customWidth="1"/>
    <col min="6156" max="6156" width="22.1796875" style="221" customWidth="1"/>
    <col min="6157" max="6157" width="13.26953125" style="221" customWidth="1"/>
    <col min="6158" max="6158" width="11" style="221" customWidth="1"/>
    <col min="6159" max="6400" width="8.7265625" style="221"/>
    <col min="6401" max="6401" width="24.7265625" style="221" bestFit="1" customWidth="1"/>
    <col min="6402" max="6402" width="18.7265625" style="221" bestFit="1" customWidth="1"/>
    <col min="6403" max="6403" width="8.1796875" style="221" bestFit="1" customWidth="1"/>
    <col min="6404" max="6405" width="8.26953125" style="221" bestFit="1" customWidth="1"/>
    <col min="6406" max="6406" width="7.26953125" style="221" bestFit="1" customWidth="1"/>
    <col min="6407" max="6407" width="26.1796875" style="221" bestFit="1" customWidth="1"/>
    <col min="6408" max="6408" width="20.7265625" style="221" bestFit="1" customWidth="1"/>
    <col min="6409" max="6409" width="20.81640625" style="221" bestFit="1" customWidth="1"/>
    <col min="6410" max="6410" width="19.54296875" style="221" bestFit="1" customWidth="1"/>
    <col min="6411" max="6411" width="17.1796875" style="221" bestFit="1" customWidth="1"/>
    <col min="6412" max="6412" width="22.1796875" style="221" customWidth="1"/>
    <col min="6413" max="6413" width="13.26953125" style="221" customWidth="1"/>
    <col min="6414" max="6414" width="11" style="221" customWidth="1"/>
    <col min="6415" max="6656" width="8.7265625" style="221"/>
    <col min="6657" max="6657" width="24.7265625" style="221" bestFit="1" customWidth="1"/>
    <col min="6658" max="6658" width="18.7265625" style="221" bestFit="1" customWidth="1"/>
    <col min="6659" max="6659" width="8.1796875" style="221" bestFit="1" customWidth="1"/>
    <col min="6660" max="6661" width="8.26953125" style="221" bestFit="1" customWidth="1"/>
    <col min="6662" max="6662" width="7.26953125" style="221" bestFit="1" customWidth="1"/>
    <col min="6663" max="6663" width="26.1796875" style="221" bestFit="1" customWidth="1"/>
    <col min="6664" max="6664" width="20.7265625" style="221" bestFit="1" customWidth="1"/>
    <col min="6665" max="6665" width="20.81640625" style="221" bestFit="1" customWidth="1"/>
    <col min="6666" max="6666" width="19.54296875" style="221" bestFit="1" customWidth="1"/>
    <col min="6667" max="6667" width="17.1796875" style="221" bestFit="1" customWidth="1"/>
    <col min="6668" max="6668" width="22.1796875" style="221" customWidth="1"/>
    <col min="6669" max="6669" width="13.26953125" style="221" customWidth="1"/>
    <col min="6670" max="6670" width="11" style="221" customWidth="1"/>
    <col min="6671" max="6912" width="8.7265625" style="221"/>
    <col min="6913" max="6913" width="24.7265625" style="221" bestFit="1" customWidth="1"/>
    <col min="6914" max="6914" width="18.7265625" style="221" bestFit="1" customWidth="1"/>
    <col min="6915" max="6915" width="8.1796875" style="221" bestFit="1" customWidth="1"/>
    <col min="6916" max="6917" width="8.26953125" style="221" bestFit="1" customWidth="1"/>
    <col min="6918" max="6918" width="7.26953125" style="221" bestFit="1" customWidth="1"/>
    <col min="6919" max="6919" width="26.1796875" style="221" bestFit="1" customWidth="1"/>
    <col min="6920" max="6920" width="20.7265625" style="221" bestFit="1" customWidth="1"/>
    <col min="6921" max="6921" width="20.81640625" style="221" bestFit="1" customWidth="1"/>
    <col min="6922" max="6922" width="19.54296875" style="221" bestFit="1" customWidth="1"/>
    <col min="6923" max="6923" width="17.1796875" style="221" bestFit="1" customWidth="1"/>
    <col min="6924" max="6924" width="22.1796875" style="221" customWidth="1"/>
    <col min="6925" max="6925" width="13.26953125" style="221" customWidth="1"/>
    <col min="6926" max="6926" width="11" style="221" customWidth="1"/>
    <col min="6927" max="7168" width="8.7265625" style="221"/>
    <col min="7169" max="7169" width="24.7265625" style="221" bestFit="1" customWidth="1"/>
    <col min="7170" max="7170" width="18.7265625" style="221" bestFit="1" customWidth="1"/>
    <col min="7171" max="7171" width="8.1796875" style="221" bestFit="1" customWidth="1"/>
    <col min="7172" max="7173" width="8.26953125" style="221" bestFit="1" customWidth="1"/>
    <col min="7174" max="7174" width="7.26953125" style="221" bestFit="1" customWidth="1"/>
    <col min="7175" max="7175" width="26.1796875" style="221" bestFit="1" customWidth="1"/>
    <col min="7176" max="7176" width="20.7265625" style="221" bestFit="1" customWidth="1"/>
    <col min="7177" max="7177" width="20.81640625" style="221" bestFit="1" customWidth="1"/>
    <col min="7178" max="7178" width="19.54296875" style="221" bestFit="1" customWidth="1"/>
    <col min="7179" max="7179" width="17.1796875" style="221" bestFit="1" customWidth="1"/>
    <col min="7180" max="7180" width="22.1796875" style="221" customWidth="1"/>
    <col min="7181" max="7181" width="13.26953125" style="221" customWidth="1"/>
    <col min="7182" max="7182" width="11" style="221" customWidth="1"/>
    <col min="7183" max="7424" width="8.7265625" style="221"/>
    <col min="7425" max="7425" width="24.7265625" style="221" bestFit="1" customWidth="1"/>
    <col min="7426" max="7426" width="18.7265625" style="221" bestFit="1" customWidth="1"/>
    <col min="7427" max="7427" width="8.1796875" style="221" bestFit="1" customWidth="1"/>
    <col min="7428" max="7429" width="8.26953125" style="221" bestFit="1" customWidth="1"/>
    <col min="7430" max="7430" width="7.26953125" style="221" bestFit="1" customWidth="1"/>
    <col min="7431" max="7431" width="26.1796875" style="221" bestFit="1" customWidth="1"/>
    <col min="7432" max="7432" width="20.7265625" style="221" bestFit="1" customWidth="1"/>
    <col min="7433" max="7433" width="20.81640625" style="221" bestFit="1" customWidth="1"/>
    <col min="7434" max="7434" width="19.54296875" style="221" bestFit="1" customWidth="1"/>
    <col min="7435" max="7435" width="17.1796875" style="221" bestFit="1" customWidth="1"/>
    <col min="7436" max="7436" width="22.1796875" style="221" customWidth="1"/>
    <col min="7437" max="7437" width="13.26953125" style="221" customWidth="1"/>
    <col min="7438" max="7438" width="11" style="221" customWidth="1"/>
    <col min="7439" max="7680" width="8.7265625" style="221"/>
    <col min="7681" max="7681" width="24.7265625" style="221" bestFit="1" customWidth="1"/>
    <col min="7682" max="7682" width="18.7265625" style="221" bestFit="1" customWidth="1"/>
    <col min="7683" max="7683" width="8.1796875" style="221" bestFit="1" customWidth="1"/>
    <col min="7684" max="7685" width="8.26953125" style="221" bestFit="1" customWidth="1"/>
    <col min="7686" max="7686" width="7.26953125" style="221" bestFit="1" customWidth="1"/>
    <col min="7687" max="7687" width="26.1796875" style="221" bestFit="1" customWidth="1"/>
    <col min="7688" max="7688" width="20.7265625" style="221" bestFit="1" customWidth="1"/>
    <col min="7689" max="7689" width="20.81640625" style="221" bestFit="1" customWidth="1"/>
    <col min="7690" max="7690" width="19.54296875" style="221" bestFit="1" customWidth="1"/>
    <col min="7691" max="7691" width="17.1796875" style="221" bestFit="1" customWidth="1"/>
    <col min="7692" max="7692" width="22.1796875" style="221" customWidth="1"/>
    <col min="7693" max="7693" width="13.26953125" style="221" customWidth="1"/>
    <col min="7694" max="7694" width="11" style="221" customWidth="1"/>
    <col min="7695" max="7936" width="8.7265625" style="221"/>
    <col min="7937" max="7937" width="24.7265625" style="221" bestFit="1" customWidth="1"/>
    <col min="7938" max="7938" width="18.7265625" style="221" bestFit="1" customWidth="1"/>
    <col min="7939" max="7939" width="8.1796875" style="221" bestFit="1" customWidth="1"/>
    <col min="7940" max="7941" width="8.26953125" style="221" bestFit="1" customWidth="1"/>
    <col min="7942" max="7942" width="7.26953125" style="221" bestFit="1" customWidth="1"/>
    <col min="7943" max="7943" width="26.1796875" style="221" bestFit="1" customWidth="1"/>
    <col min="7944" max="7944" width="20.7265625" style="221" bestFit="1" customWidth="1"/>
    <col min="7945" max="7945" width="20.81640625" style="221" bestFit="1" customWidth="1"/>
    <col min="7946" max="7946" width="19.54296875" style="221" bestFit="1" customWidth="1"/>
    <col min="7947" max="7947" width="17.1796875" style="221" bestFit="1" customWidth="1"/>
    <col min="7948" max="7948" width="22.1796875" style="221" customWidth="1"/>
    <col min="7949" max="7949" width="13.26953125" style="221" customWidth="1"/>
    <col min="7950" max="7950" width="11" style="221" customWidth="1"/>
    <col min="7951" max="8192" width="8.7265625" style="221"/>
    <col min="8193" max="8193" width="24.7265625" style="221" bestFit="1" customWidth="1"/>
    <col min="8194" max="8194" width="18.7265625" style="221" bestFit="1" customWidth="1"/>
    <col min="8195" max="8195" width="8.1796875" style="221" bestFit="1" customWidth="1"/>
    <col min="8196" max="8197" width="8.26953125" style="221" bestFit="1" customWidth="1"/>
    <col min="8198" max="8198" width="7.26953125" style="221" bestFit="1" customWidth="1"/>
    <col min="8199" max="8199" width="26.1796875" style="221" bestFit="1" customWidth="1"/>
    <col min="8200" max="8200" width="20.7265625" style="221" bestFit="1" customWidth="1"/>
    <col min="8201" max="8201" width="20.81640625" style="221" bestFit="1" customWidth="1"/>
    <col min="8202" max="8202" width="19.54296875" style="221" bestFit="1" customWidth="1"/>
    <col min="8203" max="8203" width="17.1796875" style="221" bestFit="1" customWidth="1"/>
    <col min="8204" max="8204" width="22.1796875" style="221" customWidth="1"/>
    <col min="8205" max="8205" width="13.26953125" style="221" customWidth="1"/>
    <col min="8206" max="8206" width="11" style="221" customWidth="1"/>
    <col min="8207" max="8448" width="8.7265625" style="221"/>
    <col min="8449" max="8449" width="24.7265625" style="221" bestFit="1" customWidth="1"/>
    <col min="8450" max="8450" width="18.7265625" style="221" bestFit="1" customWidth="1"/>
    <col min="8451" max="8451" width="8.1796875" style="221" bestFit="1" customWidth="1"/>
    <col min="8452" max="8453" width="8.26953125" style="221" bestFit="1" customWidth="1"/>
    <col min="8454" max="8454" width="7.26953125" style="221" bestFit="1" customWidth="1"/>
    <col min="8455" max="8455" width="26.1796875" style="221" bestFit="1" customWidth="1"/>
    <col min="8456" max="8456" width="20.7265625" style="221" bestFit="1" customWidth="1"/>
    <col min="8457" max="8457" width="20.81640625" style="221" bestFit="1" customWidth="1"/>
    <col min="8458" max="8458" width="19.54296875" style="221" bestFit="1" customWidth="1"/>
    <col min="8459" max="8459" width="17.1796875" style="221" bestFit="1" customWidth="1"/>
    <col min="8460" max="8460" width="22.1796875" style="221" customWidth="1"/>
    <col min="8461" max="8461" width="13.26953125" style="221" customWidth="1"/>
    <col min="8462" max="8462" width="11" style="221" customWidth="1"/>
    <col min="8463" max="8704" width="8.7265625" style="221"/>
    <col min="8705" max="8705" width="24.7265625" style="221" bestFit="1" customWidth="1"/>
    <col min="8706" max="8706" width="18.7265625" style="221" bestFit="1" customWidth="1"/>
    <col min="8707" max="8707" width="8.1796875" style="221" bestFit="1" customWidth="1"/>
    <col min="8708" max="8709" width="8.26953125" style="221" bestFit="1" customWidth="1"/>
    <col min="8710" max="8710" width="7.26953125" style="221" bestFit="1" customWidth="1"/>
    <col min="8711" max="8711" width="26.1796875" style="221" bestFit="1" customWidth="1"/>
    <col min="8712" max="8712" width="20.7265625" style="221" bestFit="1" customWidth="1"/>
    <col min="8713" max="8713" width="20.81640625" style="221" bestFit="1" customWidth="1"/>
    <col min="8714" max="8714" width="19.54296875" style="221" bestFit="1" customWidth="1"/>
    <col min="8715" max="8715" width="17.1796875" style="221" bestFit="1" customWidth="1"/>
    <col min="8716" max="8716" width="22.1796875" style="221" customWidth="1"/>
    <col min="8717" max="8717" width="13.26953125" style="221" customWidth="1"/>
    <col min="8718" max="8718" width="11" style="221" customWidth="1"/>
    <col min="8719" max="8960" width="8.7265625" style="221"/>
    <col min="8961" max="8961" width="24.7265625" style="221" bestFit="1" customWidth="1"/>
    <col min="8962" max="8962" width="18.7265625" style="221" bestFit="1" customWidth="1"/>
    <col min="8963" max="8963" width="8.1796875" style="221" bestFit="1" customWidth="1"/>
    <col min="8964" max="8965" width="8.26953125" style="221" bestFit="1" customWidth="1"/>
    <col min="8966" max="8966" width="7.26953125" style="221" bestFit="1" customWidth="1"/>
    <col min="8967" max="8967" width="26.1796875" style="221" bestFit="1" customWidth="1"/>
    <col min="8968" max="8968" width="20.7265625" style="221" bestFit="1" customWidth="1"/>
    <col min="8969" max="8969" width="20.81640625" style="221" bestFit="1" customWidth="1"/>
    <col min="8970" max="8970" width="19.54296875" style="221" bestFit="1" customWidth="1"/>
    <col min="8971" max="8971" width="17.1796875" style="221" bestFit="1" customWidth="1"/>
    <col min="8972" max="8972" width="22.1796875" style="221" customWidth="1"/>
    <col min="8973" max="8973" width="13.26953125" style="221" customWidth="1"/>
    <col min="8974" max="8974" width="11" style="221" customWidth="1"/>
    <col min="8975" max="9216" width="8.7265625" style="221"/>
    <col min="9217" max="9217" width="24.7265625" style="221" bestFit="1" customWidth="1"/>
    <col min="9218" max="9218" width="18.7265625" style="221" bestFit="1" customWidth="1"/>
    <col min="9219" max="9219" width="8.1796875" style="221" bestFit="1" customWidth="1"/>
    <col min="9220" max="9221" width="8.26953125" style="221" bestFit="1" customWidth="1"/>
    <col min="9222" max="9222" width="7.26953125" style="221" bestFit="1" customWidth="1"/>
    <col min="9223" max="9223" width="26.1796875" style="221" bestFit="1" customWidth="1"/>
    <col min="9224" max="9224" width="20.7265625" style="221" bestFit="1" customWidth="1"/>
    <col min="9225" max="9225" width="20.81640625" style="221" bestFit="1" customWidth="1"/>
    <col min="9226" max="9226" width="19.54296875" style="221" bestFit="1" customWidth="1"/>
    <col min="9227" max="9227" width="17.1796875" style="221" bestFit="1" customWidth="1"/>
    <col min="9228" max="9228" width="22.1796875" style="221" customWidth="1"/>
    <col min="9229" max="9229" width="13.26953125" style="221" customWidth="1"/>
    <col min="9230" max="9230" width="11" style="221" customWidth="1"/>
    <col min="9231" max="9472" width="8.7265625" style="221"/>
    <col min="9473" max="9473" width="24.7265625" style="221" bestFit="1" customWidth="1"/>
    <col min="9474" max="9474" width="18.7265625" style="221" bestFit="1" customWidth="1"/>
    <col min="9475" max="9475" width="8.1796875" style="221" bestFit="1" customWidth="1"/>
    <col min="9476" max="9477" width="8.26953125" style="221" bestFit="1" customWidth="1"/>
    <col min="9478" max="9478" width="7.26953125" style="221" bestFit="1" customWidth="1"/>
    <col min="9479" max="9479" width="26.1796875" style="221" bestFit="1" customWidth="1"/>
    <col min="9480" max="9480" width="20.7265625" style="221" bestFit="1" customWidth="1"/>
    <col min="9481" max="9481" width="20.81640625" style="221" bestFit="1" customWidth="1"/>
    <col min="9482" max="9482" width="19.54296875" style="221" bestFit="1" customWidth="1"/>
    <col min="9483" max="9483" width="17.1796875" style="221" bestFit="1" customWidth="1"/>
    <col min="9484" max="9484" width="22.1796875" style="221" customWidth="1"/>
    <col min="9485" max="9485" width="13.26953125" style="221" customWidth="1"/>
    <col min="9486" max="9486" width="11" style="221" customWidth="1"/>
    <col min="9487" max="9728" width="8.7265625" style="221"/>
    <col min="9729" max="9729" width="24.7265625" style="221" bestFit="1" customWidth="1"/>
    <col min="9730" max="9730" width="18.7265625" style="221" bestFit="1" customWidth="1"/>
    <col min="9731" max="9731" width="8.1796875" style="221" bestFit="1" customWidth="1"/>
    <col min="9732" max="9733" width="8.26953125" style="221" bestFit="1" customWidth="1"/>
    <col min="9734" max="9734" width="7.26953125" style="221" bestFit="1" customWidth="1"/>
    <col min="9735" max="9735" width="26.1796875" style="221" bestFit="1" customWidth="1"/>
    <col min="9736" max="9736" width="20.7265625" style="221" bestFit="1" customWidth="1"/>
    <col min="9737" max="9737" width="20.81640625" style="221" bestFit="1" customWidth="1"/>
    <col min="9738" max="9738" width="19.54296875" style="221" bestFit="1" customWidth="1"/>
    <col min="9739" max="9739" width="17.1796875" style="221" bestFit="1" customWidth="1"/>
    <col min="9740" max="9740" width="22.1796875" style="221" customWidth="1"/>
    <col min="9741" max="9741" width="13.26953125" style="221" customWidth="1"/>
    <col min="9742" max="9742" width="11" style="221" customWidth="1"/>
    <col min="9743" max="9984" width="8.7265625" style="221"/>
    <col min="9985" max="9985" width="24.7265625" style="221" bestFit="1" customWidth="1"/>
    <col min="9986" max="9986" width="18.7265625" style="221" bestFit="1" customWidth="1"/>
    <col min="9987" max="9987" width="8.1796875" style="221" bestFit="1" customWidth="1"/>
    <col min="9988" max="9989" width="8.26953125" style="221" bestFit="1" customWidth="1"/>
    <col min="9990" max="9990" width="7.26953125" style="221" bestFit="1" customWidth="1"/>
    <col min="9991" max="9991" width="26.1796875" style="221" bestFit="1" customWidth="1"/>
    <col min="9992" max="9992" width="20.7265625" style="221" bestFit="1" customWidth="1"/>
    <col min="9993" max="9993" width="20.81640625" style="221" bestFit="1" customWidth="1"/>
    <col min="9994" max="9994" width="19.54296875" style="221" bestFit="1" customWidth="1"/>
    <col min="9995" max="9995" width="17.1796875" style="221" bestFit="1" customWidth="1"/>
    <col min="9996" max="9996" width="22.1796875" style="221" customWidth="1"/>
    <col min="9997" max="9997" width="13.26953125" style="221" customWidth="1"/>
    <col min="9998" max="9998" width="11" style="221" customWidth="1"/>
    <col min="9999" max="10240" width="8.7265625" style="221"/>
    <col min="10241" max="10241" width="24.7265625" style="221" bestFit="1" customWidth="1"/>
    <col min="10242" max="10242" width="18.7265625" style="221" bestFit="1" customWidth="1"/>
    <col min="10243" max="10243" width="8.1796875" style="221" bestFit="1" customWidth="1"/>
    <col min="10244" max="10245" width="8.26953125" style="221" bestFit="1" customWidth="1"/>
    <col min="10246" max="10246" width="7.26953125" style="221" bestFit="1" customWidth="1"/>
    <col min="10247" max="10247" width="26.1796875" style="221" bestFit="1" customWidth="1"/>
    <col min="10248" max="10248" width="20.7265625" style="221" bestFit="1" customWidth="1"/>
    <col min="10249" max="10249" width="20.81640625" style="221" bestFit="1" customWidth="1"/>
    <col min="10250" max="10250" width="19.54296875" style="221" bestFit="1" customWidth="1"/>
    <col min="10251" max="10251" width="17.1796875" style="221" bestFit="1" customWidth="1"/>
    <col min="10252" max="10252" width="22.1796875" style="221" customWidth="1"/>
    <col min="10253" max="10253" width="13.26953125" style="221" customWidth="1"/>
    <col min="10254" max="10254" width="11" style="221" customWidth="1"/>
    <col min="10255" max="10496" width="8.7265625" style="221"/>
    <col min="10497" max="10497" width="24.7265625" style="221" bestFit="1" customWidth="1"/>
    <col min="10498" max="10498" width="18.7265625" style="221" bestFit="1" customWidth="1"/>
    <col min="10499" max="10499" width="8.1796875" style="221" bestFit="1" customWidth="1"/>
    <col min="10500" max="10501" width="8.26953125" style="221" bestFit="1" customWidth="1"/>
    <col min="10502" max="10502" width="7.26953125" style="221" bestFit="1" customWidth="1"/>
    <col min="10503" max="10503" width="26.1796875" style="221" bestFit="1" customWidth="1"/>
    <col min="10504" max="10504" width="20.7265625" style="221" bestFit="1" customWidth="1"/>
    <col min="10505" max="10505" width="20.81640625" style="221" bestFit="1" customWidth="1"/>
    <col min="10506" max="10506" width="19.54296875" style="221" bestFit="1" customWidth="1"/>
    <col min="10507" max="10507" width="17.1796875" style="221" bestFit="1" customWidth="1"/>
    <col min="10508" max="10508" width="22.1796875" style="221" customWidth="1"/>
    <col min="10509" max="10509" width="13.26953125" style="221" customWidth="1"/>
    <col min="10510" max="10510" width="11" style="221" customWidth="1"/>
    <col min="10511" max="10752" width="8.7265625" style="221"/>
    <col min="10753" max="10753" width="24.7265625" style="221" bestFit="1" customWidth="1"/>
    <col min="10754" max="10754" width="18.7265625" style="221" bestFit="1" customWidth="1"/>
    <col min="10755" max="10755" width="8.1796875" style="221" bestFit="1" customWidth="1"/>
    <col min="10756" max="10757" width="8.26953125" style="221" bestFit="1" customWidth="1"/>
    <col min="10758" max="10758" width="7.26953125" style="221" bestFit="1" customWidth="1"/>
    <col min="10759" max="10759" width="26.1796875" style="221" bestFit="1" customWidth="1"/>
    <col min="10760" max="10760" width="20.7265625" style="221" bestFit="1" customWidth="1"/>
    <col min="10761" max="10761" width="20.81640625" style="221" bestFit="1" customWidth="1"/>
    <col min="10762" max="10762" width="19.54296875" style="221" bestFit="1" customWidth="1"/>
    <col min="10763" max="10763" width="17.1796875" style="221" bestFit="1" customWidth="1"/>
    <col min="10764" max="10764" width="22.1796875" style="221" customWidth="1"/>
    <col min="10765" max="10765" width="13.26953125" style="221" customWidth="1"/>
    <col min="10766" max="10766" width="11" style="221" customWidth="1"/>
    <col min="10767" max="11008" width="8.7265625" style="221"/>
    <col min="11009" max="11009" width="24.7265625" style="221" bestFit="1" customWidth="1"/>
    <col min="11010" max="11010" width="18.7265625" style="221" bestFit="1" customWidth="1"/>
    <col min="11011" max="11011" width="8.1796875" style="221" bestFit="1" customWidth="1"/>
    <col min="11012" max="11013" width="8.26953125" style="221" bestFit="1" customWidth="1"/>
    <col min="11014" max="11014" width="7.26953125" style="221" bestFit="1" customWidth="1"/>
    <col min="11015" max="11015" width="26.1796875" style="221" bestFit="1" customWidth="1"/>
    <col min="11016" max="11016" width="20.7265625" style="221" bestFit="1" customWidth="1"/>
    <col min="11017" max="11017" width="20.81640625" style="221" bestFit="1" customWidth="1"/>
    <col min="11018" max="11018" width="19.54296875" style="221" bestFit="1" customWidth="1"/>
    <col min="11019" max="11019" width="17.1796875" style="221" bestFit="1" customWidth="1"/>
    <col min="11020" max="11020" width="22.1796875" style="221" customWidth="1"/>
    <col min="11021" max="11021" width="13.26953125" style="221" customWidth="1"/>
    <col min="11022" max="11022" width="11" style="221" customWidth="1"/>
    <col min="11023" max="11264" width="8.7265625" style="221"/>
    <col min="11265" max="11265" width="24.7265625" style="221" bestFit="1" customWidth="1"/>
    <col min="11266" max="11266" width="18.7265625" style="221" bestFit="1" customWidth="1"/>
    <col min="11267" max="11267" width="8.1796875" style="221" bestFit="1" customWidth="1"/>
    <col min="11268" max="11269" width="8.26953125" style="221" bestFit="1" customWidth="1"/>
    <col min="11270" max="11270" width="7.26953125" style="221" bestFit="1" customWidth="1"/>
    <col min="11271" max="11271" width="26.1796875" style="221" bestFit="1" customWidth="1"/>
    <col min="11272" max="11272" width="20.7265625" style="221" bestFit="1" customWidth="1"/>
    <col min="11273" max="11273" width="20.81640625" style="221" bestFit="1" customWidth="1"/>
    <col min="11274" max="11274" width="19.54296875" style="221" bestFit="1" customWidth="1"/>
    <col min="11275" max="11275" width="17.1796875" style="221" bestFit="1" customWidth="1"/>
    <col min="11276" max="11276" width="22.1796875" style="221" customWidth="1"/>
    <col min="11277" max="11277" width="13.26953125" style="221" customWidth="1"/>
    <col min="11278" max="11278" width="11" style="221" customWidth="1"/>
    <col min="11279" max="11520" width="8.7265625" style="221"/>
    <col min="11521" max="11521" width="24.7265625" style="221" bestFit="1" customWidth="1"/>
    <col min="11522" max="11522" width="18.7265625" style="221" bestFit="1" customWidth="1"/>
    <col min="11523" max="11523" width="8.1796875" style="221" bestFit="1" customWidth="1"/>
    <col min="11524" max="11525" width="8.26953125" style="221" bestFit="1" customWidth="1"/>
    <col min="11526" max="11526" width="7.26953125" style="221" bestFit="1" customWidth="1"/>
    <col min="11527" max="11527" width="26.1796875" style="221" bestFit="1" customWidth="1"/>
    <col min="11528" max="11528" width="20.7265625" style="221" bestFit="1" customWidth="1"/>
    <col min="11529" max="11529" width="20.81640625" style="221" bestFit="1" customWidth="1"/>
    <col min="11530" max="11530" width="19.54296875" style="221" bestFit="1" customWidth="1"/>
    <col min="11531" max="11531" width="17.1796875" style="221" bestFit="1" customWidth="1"/>
    <col min="11532" max="11532" width="22.1796875" style="221" customWidth="1"/>
    <col min="11533" max="11533" width="13.26953125" style="221" customWidth="1"/>
    <col min="11534" max="11534" width="11" style="221" customWidth="1"/>
    <col min="11535" max="11776" width="8.7265625" style="221"/>
    <col min="11777" max="11777" width="24.7265625" style="221" bestFit="1" customWidth="1"/>
    <col min="11778" max="11778" width="18.7265625" style="221" bestFit="1" customWidth="1"/>
    <col min="11779" max="11779" width="8.1796875" style="221" bestFit="1" customWidth="1"/>
    <col min="11780" max="11781" width="8.26953125" style="221" bestFit="1" customWidth="1"/>
    <col min="11782" max="11782" width="7.26953125" style="221" bestFit="1" customWidth="1"/>
    <col min="11783" max="11783" width="26.1796875" style="221" bestFit="1" customWidth="1"/>
    <col min="11784" max="11784" width="20.7265625" style="221" bestFit="1" customWidth="1"/>
    <col min="11785" max="11785" width="20.81640625" style="221" bestFit="1" customWidth="1"/>
    <col min="11786" max="11786" width="19.54296875" style="221" bestFit="1" customWidth="1"/>
    <col min="11787" max="11787" width="17.1796875" style="221" bestFit="1" customWidth="1"/>
    <col min="11788" max="11788" width="22.1796875" style="221" customWidth="1"/>
    <col min="11789" max="11789" width="13.26953125" style="221" customWidth="1"/>
    <col min="11790" max="11790" width="11" style="221" customWidth="1"/>
    <col min="11791" max="12032" width="8.7265625" style="221"/>
    <col min="12033" max="12033" width="24.7265625" style="221" bestFit="1" customWidth="1"/>
    <col min="12034" max="12034" width="18.7265625" style="221" bestFit="1" customWidth="1"/>
    <col min="12035" max="12035" width="8.1796875" style="221" bestFit="1" customWidth="1"/>
    <col min="12036" max="12037" width="8.26953125" style="221" bestFit="1" customWidth="1"/>
    <col min="12038" max="12038" width="7.26953125" style="221" bestFit="1" customWidth="1"/>
    <col min="12039" max="12039" width="26.1796875" style="221" bestFit="1" customWidth="1"/>
    <col min="12040" max="12040" width="20.7265625" style="221" bestFit="1" customWidth="1"/>
    <col min="12041" max="12041" width="20.81640625" style="221" bestFit="1" customWidth="1"/>
    <col min="12042" max="12042" width="19.54296875" style="221" bestFit="1" customWidth="1"/>
    <col min="12043" max="12043" width="17.1796875" style="221" bestFit="1" customWidth="1"/>
    <col min="12044" max="12044" width="22.1796875" style="221" customWidth="1"/>
    <col min="12045" max="12045" width="13.26953125" style="221" customWidth="1"/>
    <col min="12046" max="12046" width="11" style="221" customWidth="1"/>
    <col min="12047" max="12288" width="8.7265625" style="221"/>
    <col min="12289" max="12289" width="24.7265625" style="221" bestFit="1" customWidth="1"/>
    <col min="12290" max="12290" width="18.7265625" style="221" bestFit="1" customWidth="1"/>
    <col min="12291" max="12291" width="8.1796875" style="221" bestFit="1" customWidth="1"/>
    <col min="12292" max="12293" width="8.26953125" style="221" bestFit="1" customWidth="1"/>
    <col min="12294" max="12294" width="7.26953125" style="221" bestFit="1" customWidth="1"/>
    <col min="12295" max="12295" width="26.1796875" style="221" bestFit="1" customWidth="1"/>
    <col min="12296" max="12296" width="20.7265625" style="221" bestFit="1" customWidth="1"/>
    <col min="12297" max="12297" width="20.81640625" style="221" bestFit="1" customWidth="1"/>
    <col min="12298" max="12298" width="19.54296875" style="221" bestFit="1" customWidth="1"/>
    <col min="12299" max="12299" width="17.1796875" style="221" bestFit="1" customWidth="1"/>
    <col min="12300" max="12300" width="22.1796875" style="221" customWidth="1"/>
    <col min="12301" max="12301" width="13.26953125" style="221" customWidth="1"/>
    <col min="12302" max="12302" width="11" style="221" customWidth="1"/>
    <col min="12303" max="12544" width="8.7265625" style="221"/>
    <col min="12545" max="12545" width="24.7265625" style="221" bestFit="1" customWidth="1"/>
    <col min="12546" max="12546" width="18.7265625" style="221" bestFit="1" customWidth="1"/>
    <col min="12547" max="12547" width="8.1796875" style="221" bestFit="1" customWidth="1"/>
    <col min="12548" max="12549" width="8.26953125" style="221" bestFit="1" customWidth="1"/>
    <col min="12550" max="12550" width="7.26953125" style="221" bestFit="1" customWidth="1"/>
    <col min="12551" max="12551" width="26.1796875" style="221" bestFit="1" customWidth="1"/>
    <col min="12552" max="12552" width="20.7265625" style="221" bestFit="1" customWidth="1"/>
    <col min="12553" max="12553" width="20.81640625" style="221" bestFit="1" customWidth="1"/>
    <col min="12554" max="12554" width="19.54296875" style="221" bestFit="1" customWidth="1"/>
    <col min="12555" max="12555" width="17.1796875" style="221" bestFit="1" customWidth="1"/>
    <col min="12556" max="12556" width="22.1796875" style="221" customWidth="1"/>
    <col min="12557" max="12557" width="13.26953125" style="221" customWidth="1"/>
    <col min="12558" max="12558" width="11" style="221" customWidth="1"/>
    <col min="12559" max="12800" width="8.7265625" style="221"/>
    <col min="12801" max="12801" width="24.7265625" style="221" bestFit="1" customWidth="1"/>
    <col min="12802" max="12802" width="18.7265625" style="221" bestFit="1" customWidth="1"/>
    <col min="12803" max="12803" width="8.1796875" style="221" bestFit="1" customWidth="1"/>
    <col min="12804" max="12805" width="8.26953125" style="221" bestFit="1" customWidth="1"/>
    <col min="12806" max="12806" width="7.26953125" style="221" bestFit="1" customWidth="1"/>
    <col min="12807" max="12807" width="26.1796875" style="221" bestFit="1" customWidth="1"/>
    <col min="12808" max="12808" width="20.7265625" style="221" bestFit="1" customWidth="1"/>
    <col min="12809" max="12809" width="20.81640625" style="221" bestFit="1" customWidth="1"/>
    <col min="12810" max="12810" width="19.54296875" style="221" bestFit="1" customWidth="1"/>
    <col min="12811" max="12811" width="17.1796875" style="221" bestFit="1" customWidth="1"/>
    <col min="12812" max="12812" width="22.1796875" style="221" customWidth="1"/>
    <col min="12813" max="12813" width="13.26953125" style="221" customWidth="1"/>
    <col min="12814" max="12814" width="11" style="221" customWidth="1"/>
    <col min="12815" max="13056" width="8.7265625" style="221"/>
    <col min="13057" max="13057" width="24.7265625" style="221" bestFit="1" customWidth="1"/>
    <col min="13058" max="13058" width="18.7265625" style="221" bestFit="1" customWidth="1"/>
    <col min="13059" max="13059" width="8.1796875" style="221" bestFit="1" customWidth="1"/>
    <col min="13060" max="13061" width="8.26953125" style="221" bestFit="1" customWidth="1"/>
    <col min="13062" max="13062" width="7.26953125" style="221" bestFit="1" customWidth="1"/>
    <col min="13063" max="13063" width="26.1796875" style="221" bestFit="1" customWidth="1"/>
    <col min="13064" max="13064" width="20.7265625" style="221" bestFit="1" customWidth="1"/>
    <col min="13065" max="13065" width="20.81640625" style="221" bestFit="1" customWidth="1"/>
    <col min="13066" max="13066" width="19.54296875" style="221" bestFit="1" customWidth="1"/>
    <col min="13067" max="13067" width="17.1796875" style="221" bestFit="1" customWidth="1"/>
    <col min="13068" max="13068" width="22.1796875" style="221" customWidth="1"/>
    <col min="13069" max="13069" width="13.26953125" style="221" customWidth="1"/>
    <col min="13070" max="13070" width="11" style="221" customWidth="1"/>
    <col min="13071" max="13312" width="8.7265625" style="221"/>
    <col min="13313" max="13313" width="24.7265625" style="221" bestFit="1" customWidth="1"/>
    <col min="13314" max="13314" width="18.7265625" style="221" bestFit="1" customWidth="1"/>
    <col min="13315" max="13315" width="8.1796875" style="221" bestFit="1" customWidth="1"/>
    <col min="13316" max="13317" width="8.26953125" style="221" bestFit="1" customWidth="1"/>
    <col min="13318" max="13318" width="7.26953125" style="221" bestFit="1" customWidth="1"/>
    <col min="13319" max="13319" width="26.1796875" style="221" bestFit="1" customWidth="1"/>
    <col min="13320" max="13320" width="20.7265625" style="221" bestFit="1" customWidth="1"/>
    <col min="13321" max="13321" width="20.81640625" style="221" bestFit="1" customWidth="1"/>
    <col min="13322" max="13322" width="19.54296875" style="221" bestFit="1" customWidth="1"/>
    <col min="13323" max="13323" width="17.1796875" style="221" bestFit="1" customWidth="1"/>
    <col min="13324" max="13324" width="22.1796875" style="221" customWidth="1"/>
    <col min="13325" max="13325" width="13.26953125" style="221" customWidth="1"/>
    <col min="13326" max="13326" width="11" style="221" customWidth="1"/>
    <col min="13327" max="13568" width="8.7265625" style="221"/>
    <col min="13569" max="13569" width="24.7265625" style="221" bestFit="1" customWidth="1"/>
    <col min="13570" max="13570" width="18.7265625" style="221" bestFit="1" customWidth="1"/>
    <col min="13571" max="13571" width="8.1796875" style="221" bestFit="1" customWidth="1"/>
    <col min="13572" max="13573" width="8.26953125" style="221" bestFit="1" customWidth="1"/>
    <col min="13574" max="13574" width="7.26953125" style="221" bestFit="1" customWidth="1"/>
    <col min="13575" max="13575" width="26.1796875" style="221" bestFit="1" customWidth="1"/>
    <col min="13576" max="13576" width="20.7265625" style="221" bestFit="1" customWidth="1"/>
    <col min="13577" max="13577" width="20.81640625" style="221" bestFit="1" customWidth="1"/>
    <col min="13578" max="13578" width="19.54296875" style="221" bestFit="1" customWidth="1"/>
    <col min="13579" max="13579" width="17.1796875" style="221" bestFit="1" customWidth="1"/>
    <col min="13580" max="13580" width="22.1796875" style="221" customWidth="1"/>
    <col min="13581" max="13581" width="13.26953125" style="221" customWidth="1"/>
    <col min="13582" max="13582" width="11" style="221" customWidth="1"/>
    <col min="13583" max="13824" width="8.7265625" style="221"/>
    <col min="13825" max="13825" width="24.7265625" style="221" bestFit="1" customWidth="1"/>
    <col min="13826" max="13826" width="18.7265625" style="221" bestFit="1" customWidth="1"/>
    <col min="13827" max="13827" width="8.1796875" style="221" bestFit="1" customWidth="1"/>
    <col min="13828" max="13829" width="8.26953125" style="221" bestFit="1" customWidth="1"/>
    <col min="13830" max="13830" width="7.26953125" style="221" bestFit="1" customWidth="1"/>
    <col min="13831" max="13831" width="26.1796875" style="221" bestFit="1" customWidth="1"/>
    <col min="13832" max="13832" width="20.7265625" style="221" bestFit="1" customWidth="1"/>
    <col min="13833" max="13833" width="20.81640625" style="221" bestFit="1" customWidth="1"/>
    <col min="13834" max="13834" width="19.54296875" style="221" bestFit="1" customWidth="1"/>
    <col min="13835" max="13835" width="17.1796875" style="221" bestFit="1" customWidth="1"/>
    <col min="13836" max="13836" width="22.1796875" style="221" customWidth="1"/>
    <col min="13837" max="13837" width="13.26953125" style="221" customWidth="1"/>
    <col min="13838" max="13838" width="11" style="221" customWidth="1"/>
    <col min="13839" max="14080" width="8.7265625" style="221"/>
    <col min="14081" max="14081" width="24.7265625" style="221" bestFit="1" customWidth="1"/>
    <col min="14082" max="14082" width="18.7265625" style="221" bestFit="1" customWidth="1"/>
    <col min="14083" max="14083" width="8.1796875" style="221" bestFit="1" customWidth="1"/>
    <col min="14084" max="14085" width="8.26953125" style="221" bestFit="1" customWidth="1"/>
    <col min="14086" max="14086" width="7.26953125" style="221" bestFit="1" customWidth="1"/>
    <col min="14087" max="14087" width="26.1796875" style="221" bestFit="1" customWidth="1"/>
    <col min="14088" max="14088" width="20.7265625" style="221" bestFit="1" customWidth="1"/>
    <col min="14089" max="14089" width="20.81640625" style="221" bestFit="1" customWidth="1"/>
    <col min="14090" max="14090" width="19.54296875" style="221" bestFit="1" customWidth="1"/>
    <col min="14091" max="14091" width="17.1796875" style="221" bestFit="1" customWidth="1"/>
    <col min="14092" max="14092" width="22.1796875" style="221" customWidth="1"/>
    <col min="14093" max="14093" width="13.26953125" style="221" customWidth="1"/>
    <col min="14094" max="14094" width="11" style="221" customWidth="1"/>
    <col min="14095" max="14336" width="8.7265625" style="221"/>
    <col min="14337" max="14337" width="24.7265625" style="221" bestFit="1" customWidth="1"/>
    <col min="14338" max="14338" width="18.7265625" style="221" bestFit="1" customWidth="1"/>
    <col min="14339" max="14339" width="8.1796875" style="221" bestFit="1" customWidth="1"/>
    <col min="14340" max="14341" width="8.26953125" style="221" bestFit="1" customWidth="1"/>
    <col min="14342" max="14342" width="7.26953125" style="221" bestFit="1" customWidth="1"/>
    <col min="14343" max="14343" width="26.1796875" style="221" bestFit="1" customWidth="1"/>
    <col min="14344" max="14344" width="20.7265625" style="221" bestFit="1" customWidth="1"/>
    <col min="14345" max="14345" width="20.81640625" style="221" bestFit="1" customWidth="1"/>
    <col min="14346" max="14346" width="19.54296875" style="221" bestFit="1" customWidth="1"/>
    <col min="14347" max="14347" width="17.1796875" style="221" bestFit="1" customWidth="1"/>
    <col min="14348" max="14348" width="22.1796875" style="221" customWidth="1"/>
    <col min="14349" max="14349" width="13.26953125" style="221" customWidth="1"/>
    <col min="14350" max="14350" width="11" style="221" customWidth="1"/>
    <col min="14351" max="14592" width="8.7265625" style="221"/>
    <col min="14593" max="14593" width="24.7265625" style="221" bestFit="1" customWidth="1"/>
    <col min="14594" max="14594" width="18.7265625" style="221" bestFit="1" customWidth="1"/>
    <col min="14595" max="14595" width="8.1796875" style="221" bestFit="1" customWidth="1"/>
    <col min="14596" max="14597" width="8.26953125" style="221" bestFit="1" customWidth="1"/>
    <col min="14598" max="14598" width="7.26953125" style="221" bestFit="1" customWidth="1"/>
    <col min="14599" max="14599" width="26.1796875" style="221" bestFit="1" customWidth="1"/>
    <col min="14600" max="14600" width="20.7265625" style="221" bestFit="1" customWidth="1"/>
    <col min="14601" max="14601" width="20.81640625" style="221" bestFit="1" customWidth="1"/>
    <col min="14602" max="14602" width="19.54296875" style="221" bestFit="1" customWidth="1"/>
    <col min="14603" max="14603" width="17.1796875" style="221" bestFit="1" customWidth="1"/>
    <col min="14604" max="14604" width="22.1796875" style="221" customWidth="1"/>
    <col min="14605" max="14605" width="13.26953125" style="221" customWidth="1"/>
    <col min="14606" max="14606" width="11" style="221" customWidth="1"/>
    <col min="14607" max="14848" width="8.7265625" style="221"/>
    <col min="14849" max="14849" width="24.7265625" style="221" bestFit="1" customWidth="1"/>
    <col min="14850" max="14850" width="18.7265625" style="221" bestFit="1" customWidth="1"/>
    <col min="14851" max="14851" width="8.1796875" style="221" bestFit="1" customWidth="1"/>
    <col min="14852" max="14853" width="8.26953125" style="221" bestFit="1" customWidth="1"/>
    <col min="14854" max="14854" width="7.26953125" style="221" bestFit="1" customWidth="1"/>
    <col min="14855" max="14855" width="26.1796875" style="221" bestFit="1" customWidth="1"/>
    <col min="14856" max="14856" width="20.7265625" style="221" bestFit="1" customWidth="1"/>
    <col min="14857" max="14857" width="20.81640625" style="221" bestFit="1" customWidth="1"/>
    <col min="14858" max="14858" width="19.54296875" style="221" bestFit="1" customWidth="1"/>
    <col min="14859" max="14859" width="17.1796875" style="221" bestFit="1" customWidth="1"/>
    <col min="14860" max="14860" width="22.1796875" style="221" customWidth="1"/>
    <col min="14861" max="14861" width="13.26953125" style="221" customWidth="1"/>
    <col min="14862" max="14862" width="11" style="221" customWidth="1"/>
    <col min="14863" max="15104" width="8.7265625" style="221"/>
    <col min="15105" max="15105" width="24.7265625" style="221" bestFit="1" customWidth="1"/>
    <col min="15106" max="15106" width="18.7265625" style="221" bestFit="1" customWidth="1"/>
    <col min="15107" max="15107" width="8.1796875" style="221" bestFit="1" customWidth="1"/>
    <col min="15108" max="15109" width="8.26953125" style="221" bestFit="1" customWidth="1"/>
    <col min="15110" max="15110" width="7.26953125" style="221" bestFit="1" customWidth="1"/>
    <col min="15111" max="15111" width="26.1796875" style="221" bestFit="1" customWidth="1"/>
    <col min="15112" max="15112" width="20.7265625" style="221" bestFit="1" customWidth="1"/>
    <col min="15113" max="15113" width="20.81640625" style="221" bestFit="1" customWidth="1"/>
    <col min="15114" max="15114" width="19.54296875" style="221" bestFit="1" customWidth="1"/>
    <col min="15115" max="15115" width="17.1796875" style="221" bestFit="1" customWidth="1"/>
    <col min="15116" max="15116" width="22.1796875" style="221" customWidth="1"/>
    <col min="15117" max="15117" width="13.26953125" style="221" customWidth="1"/>
    <col min="15118" max="15118" width="11" style="221" customWidth="1"/>
    <col min="15119" max="15360" width="8.7265625" style="221"/>
    <col min="15361" max="15361" width="24.7265625" style="221" bestFit="1" customWidth="1"/>
    <col min="15362" max="15362" width="18.7265625" style="221" bestFit="1" customWidth="1"/>
    <col min="15363" max="15363" width="8.1796875" style="221" bestFit="1" customWidth="1"/>
    <col min="15364" max="15365" width="8.26953125" style="221" bestFit="1" customWidth="1"/>
    <col min="15366" max="15366" width="7.26953125" style="221" bestFit="1" customWidth="1"/>
    <col min="15367" max="15367" width="26.1796875" style="221" bestFit="1" customWidth="1"/>
    <col min="15368" max="15368" width="20.7265625" style="221" bestFit="1" customWidth="1"/>
    <col min="15369" max="15369" width="20.81640625" style="221" bestFit="1" customWidth="1"/>
    <col min="15370" max="15370" width="19.54296875" style="221" bestFit="1" customWidth="1"/>
    <col min="15371" max="15371" width="17.1796875" style="221" bestFit="1" customWidth="1"/>
    <col min="15372" max="15372" width="22.1796875" style="221" customWidth="1"/>
    <col min="15373" max="15373" width="13.26953125" style="221" customWidth="1"/>
    <col min="15374" max="15374" width="11" style="221" customWidth="1"/>
    <col min="15375" max="15616" width="8.7265625" style="221"/>
    <col min="15617" max="15617" width="24.7265625" style="221" bestFit="1" customWidth="1"/>
    <col min="15618" max="15618" width="18.7265625" style="221" bestFit="1" customWidth="1"/>
    <col min="15619" max="15619" width="8.1796875" style="221" bestFit="1" customWidth="1"/>
    <col min="15620" max="15621" width="8.26953125" style="221" bestFit="1" customWidth="1"/>
    <col min="15622" max="15622" width="7.26953125" style="221" bestFit="1" customWidth="1"/>
    <col min="15623" max="15623" width="26.1796875" style="221" bestFit="1" customWidth="1"/>
    <col min="15624" max="15624" width="20.7265625" style="221" bestFit="1" customWidth="1"/>
    <col min="15625" max="15625" width="20.81640625" style="221" bestFit="1" customWidth="1"/>
    <col min="15626" max="15626" width="19.54296875" style="221" bestFit="1" customWidth="1"/>
    <col min="15627" max="15627" width="17.1796875" style="221" bestFit="1" customWidth="1"/>
    <col min="15628" max="15628" width="22.1796875" style="221" customWidth="1"/>
    <col min="15629" max="15629" width="13.26953125" style="221" customWidth="1"/>
    <col min="15630" max="15630" width="11" style="221" customWidth="1"/>
    <col min="15631" max="15872" width="8.7265625" style="221"/>
    <col min="15873" max="15873" width="24.7265625" style="221" bestFit="1" customWidth="1"/>
    <col min="15874" max="15874" width="18.7265625" style="221" bestFit="1" customWidth="1"/>
    <col min="15875" max="15875" width="8.1796875" style="221" bestFit="1" customWidth="1"/>
    <col min="15876" max="15877" width="8.26953125" style="221" bestFit="1" customWidth="1"/>
    <col min="15878" max="15878" width="7.26953125" style="221" bestFit="1" customWidth="1"/>
    <col min="15879" max="15879" width="26.1796875" style="221" bestFit="1" customWidth="1"/>
    <col min="15880" max="15880" width="20.7265625" style="221" bestFit="1" customWidth="1"/>
    <col min="15881" max="15881" width="20.81640625" style="221" bestFit="1" customWidth="1"/>
    <col min="15882" max="15882" width="19.54296875" style="221" bestFit="1" customWidth="1"/>
    <col min="15883" max="15883" width="17.1796875" style="221" bestFit="1" customWidth="1"/>
    <col min="15884" max="15884" width="22.1796875" style="221" customWidth="1"/>
    <col min="15885" max="15885" width="13.26953125" style="221" customWidth="1"/>
    <col min="15886" max="15886" width="11" style="221" customWidth="1"/>
    <col min="15887" max="16128" width="8.7265625" style="221"/>
    <col min="16129" max="16129" width="24.7265625" style="221" bestFit="1" customWidth="1"/>
    <col min="16130" max="16130" width="18.7265625" style="221" bestFit="1" customWidth="1"/>
    <col min="16131" max="16131" width="8.1796875" style="221" bestFit="1" customWidth="1"/>
    <col min="16132" max="16133" width="8.26953125" style="221" bestFit="1" customWidth="1"/>
    <col min="16134" max="16134" width="7.26953125" style="221" bestFit="1" customWidth="1"/>
    <col min="16135" max="16135" width="26.1796875" style="221" bestFit="1" customWidth="1"/>
    <col min="16136" max="16136" width="20.7265625" style="221" bestFit="1" customWidth="1"/>
    <col min="16137" max="16137" width="20.81640625" style="221" bestFit="1" customWidth="1"/>
    <col min="16138" max="16138" width="19.54296875" style="221" bestFit="1" customWidth="1"/>
    <col min="16139" max="16139" width="17.1796875" style="221" bestFit="1" customWidth="1"/>
    <col min="16140" max="16140" width="22.1796875" style="221" customWidth="1"/>
    <col min="16141" max="16141" width="13.26953125" style="221" customWidth="1"/>
    <col min="16142" max="16142" width="11" style="221" customWidth="1"/>
    <col min="16143" max="16384" width="8.7265625" style="221"/>
  </cols>
  <sheetData>
    <row r="1" spans="1:14" s="214" customFormat="1" ht="40">
      <c r="A1" s="209" t="s">
        <v>0</v>
      </c>
      <c r="B1" s="210" t="s">
        <v>1</v>
      </c>
      <c r="C1" s="210" t="s">
        <v>2</v>
      </c>
      <c r="D1" s="210" t="s">
        <v>3</v>
      </c>
      <c r="E1" s="210" t="s">
        <v>4</v>
      </c>
      <c r="F1" s="210" t="s">
        <v>5</v>
      </c>
      <c r="G1" s="210" t="s">
        <v>6</v>
      </c>
      <c r="H1" s="210" t="s">
        <v>505</v>
      </c>
      <c r="I1" s="210" t="s">
        <v>506</v>
      </c>
      <c r="J1" s="210" t="s">
        <v>286</v>
      </c>
      <c r="K1" s="210" t="s">
        <v>10</v>
      </c>
      <c r="L1" s="211" t="s">
        <v>507</v>
      </c>
      <c r="M1" s="212" t="s">
        <v>12</v>
      </c>
      <c r="N1" s="213" t="s">
        <v>287</v>
      </c>
    </row>
    <row r="2" spans="1:14" ht="20">
      <c r="A2" s="215" t="s">
        <v>859</v>
      </c>
      <c r="B2" s="216" t="s">
        <v>14</v>
      </c>
      <c r="C2" s="216"/>
      <c r="D2" s="216">
        <v>1</v>
      </c>
      <c r="E2" s="216">
        <f>E8</f>
        <v>50</v>
      </c>
      <c r="F2" s="216">
        <f>SUM(F3:F8)</f>
        <v>50</v>
      </c>
      <c r="G2" s="95" t="s">
        <v>510</v>
      </c>
      <c r="H2" s="217"/>
      <c r="I2" s="217"/>
      <c r="J2" s="216"/>
      <c r="K2" s="216"/>
      <c r="L2" s="218"/>
      <c r="M2" s="219" t="s">
        <v>511</v>
      </c>
      <c r="N2" s="220"/>
    </row>
    <row r="3" spans="1:14" ht="21">
      <c r="A3" s="222" t="s">
        <v>17</v>
      </c>
      <c r="B3" s="223" t="s">
        <v>18</v>
      </c>
      <c r="C3" s="224">
        <v>1</v>
      </c>
      <c r="D3" s="225">
        <v>1</v>
      </c>
      <c r="E3" s="225">
        <f t="shared" ref="E3:E8" si="0">D3+F3-1</f>
        <v>1</v>
      </c>
      <c r="F3" s="225">
        <v>1</v>
      </c>
      <c r="G3" s="226" t="s">
        <v>19</v>
      </c>
      <c r="H3" s="226"/>
      <c r="I3" s="226"/>
      <c r="J3" s="225"/>
      <c r="K3" s="225"/>
      <c r="L3" s="227"/>
      <c r="M3" s="219" t="s">
        <v>511</v>
      </c>
      <c r="N3" s="220"/>
    </row>
    <row r="4" spans="1:14" s="23" customFormat="1">
      <c r="A4" s="18" t="s">
        <v>513</v>
      </c>
      <c r="B4" s="18" t="s">
        <v>514</v>
      </c>
      <c r="C4" s="19">
        <v>2</v>
      </c>
      <c r="D4" s="19">
        <f>E3+1</f>
        <v>2</v>
      </c>
      <c r="E4" s="19">
        <f t="shared" si="0"/>
        <v>16</v>
      </c>
      <c r="F4" s="19">
        <v>15</v>
      </c>
      <c r="G4" s="18" t="s">
        <v>515</v>
      </c>
      <c r="H4" s="20"/>
      <c r="I4" s="20"/>
      <c r="J4" s="18"/>
      <c r="K4" s="19"/>
      <c r="L4" s="19"/>
      <c r="M4" s="21"/>
      <c r="N4" s="22"/>
    </row>
    <row r="5" spans="1:14" s="23" customFormat="1">
      <c r="A5" s="18" t="s">
        <v>516</v>
      </c>
      <c r="B5" s="18" t="s">
        <v>517</v>
      </c>
      <c r="C5" s="19">
        <v>3</v>
      </c>
      <c r="D5" s="19">
        <f>E4+1</f>
        <v>17</v>
      </c>
      <c r="E5" s="19">
        <f t="shared" si="0"/>
        <v>26</v>
      </c>
      <c r="F5" s="19">
        <v>10</v>
      </c>
      <c r="G5" s="18" t="s">
        <v>518</v>
      </c>
      <c r="H5" s="20"/>
      <c r="I5" s="20"/>
      <c r="J5" s="18"/>
      <c r="K5" s="19"/>
      <c r="L5" s="19"/>
      <c r="M5" s="21"/>
      <c r="N5" s="22"/>
    </row>
    <row r="6" spans="1:14" s="23" customFormat="1" ht="10.5">
      <c r="A6" s="18" t="s">
        <v>215</v>
      </c>
      <c r="B6" s="18" t="s">
        <v>216</v>
      </c>
      <c r="C6" s="19">
        <v>4</v>
      </c>
      <c r="D6" s="19">
        <f>E5+1</f>
        <v>27</v>
      </c>
      <c r="E6" s="19">
        <f t="shared" si="0"/>
        <v>34</v>
      </c>
      <c r="F6" s="19">
        <v>8</v>
      </c>
      <c r="G6" s="18" t="s">
        <v>519</v>
      </c>
      <c r="H6" s="24"/>
      <c r="I6" s="24"/>
      <c r="J6" s="18"/>
      <c r="K6" s="19"/>
      <c r="L6" s="19"/>
      <c r="M6" s="21"/>
      <c r="N6" s="22"/>
    </row>
    <row r="7" spans="1:14" s="235" customFormat="1" ht="10.5">
      <c r="A7" s="18" t="s">
        <v>520</v>
      </c>
      <c r="B7" s="18" t="s">
        <v>514</v>
      </c>
      <c r="C7" s="228">
        <v>5</v>
      </c>
      <c r="D7" s="19">
        <f>E6+1</f>
        <v>35</v>
      </c>
      <c r="E7" s="19">
        <f t="shared" si="0"/>
        <v>49</v>
      </c>
      <c r="F7" s="229">
        <v>15</v>
      </c>
      <c r="G7" s="231" t="s">
        <v>3055</v>
      </c>
      <c r="H7" s="231"/>
      <c r="I7" s="231"/>
      <c r="J7" s="229"/>
      <c r="K7" s="229"/>
      <c r="L7" s="232"/>
      <c r="M7" s="233" t="s">
        <v>511</v>
      </c>
      <c r="N7" s="234"/>
    </row>
    <row r="8" spans="1:14" s="23" customFormat="1">
      <c r="A8" s="18" t="s">
        <v>522</v>
      </c>
      <c r="B8" s="18" t="s">
        <v>18</v>
      </c>
      <c r="C8" s="19">
        <v>6</v>
      </c>
      <c r="D8" s="19">
        <f>E7+1</f>
        <v>50</v>
      </c>
      <c r="E8" s="19">
        <f t="shared" si="0"/>
        <v>50</v>
      </c>
      <c r="F8" s="19">
        <v>1</v>
      </c>
      <c r="G8" s="18" t="s">
        <v>523</v>
      </c>
      <c r="H8" s="20"/>
      <c r="I8" s="20"/>
      <c r="J8" s="18"/>
      <c r="K8" s="19"/>
      <c r="L8" s="19"/>
      <c r="M8" s="21"/>
      <c r="N8" s="22"/>
    </row>
    <row r="9" spans="1:14" ht="10.5">
      <c r="A9" s="215" t="s">
        <v>861</v>
      </c>
      <c r="B9" s="216" t="s">
        <v>14</v>
      </c>
      <c r="C9" s="216"/>
      <c r="D9" s="216">
        <v>1</v>
      </c>
      <c r="E9" s="216">
        <f>E13</f>
        <v>34</v>
      </c>
      <c r="F9" s="216">
        <f>SUM(F10:F13)</f>
        <v>34</v>
      </c>
      <c r="G9" s="236"/>
      <c r="H9" s="236"/>
      <c r="I9" s="236"/>
      <c r="J9" s="216"/>
      <c r="K9" s="216"/>
      <c r="L9" s="218"/>
      <c r="M9" s="219" t="s">
        <v>511</v>
      </c>
      <c r="N9" s="220"/>
    </row>
    <row r="10" spans="1:14" s="235" customFormat="1" ht="20.5">
      <c r="A10" s="237" t="s">
        <v>17</v>
      </c>
      <c r="B10" s="238" t="s">
        <v>18</v>
      </c>
      <c r="C10" s="228">
        <v>7</v>
      </c>
      <c r="D10" s="228">
        <v>1</v>
      </c>
      <c r="E10" s="229">
        <f>D10+F10-1</f>
        <v>1</v>
      </c>
      <c r="F10" s="228">
        <v>1</v>
      </c>
      <c r="G10" s="239" t="s">
        <v>38</v>
      </c>
      <c r="H10" s="239"/>
      <c r="I10" s="239"/>
      <c r="J10" s="228"/>
      <c r="K10" s="228"/>
      <c r="L10" s="240"/>
      <c r="M10" s="233" t="s">
        <v>511</v>
      </c>
      <c r="N10" s="234"/>
    </row>
    <row r="11" spans="1:14" s="235" customFormat="1" ht="10.5">
      <c r="A11" s="614" t="s">
        <v>3056</v>
      </c>
      <c r="B11" s="614" t="s">
        <v>547</v>
      </c>
      <c r="C11" s="228">
        <v>8</v>
      </c>
      <c r="D11" s="228">
        <f>E10+1</f>
        <v>2</v>
      </c>
      <c r="E11" s="228">
        <f>D11+F11-1</f>
        <v>3</v>
      </c>
      <c r="F11" s="228">
        <v>2</v>
      </c>
      <c r="G11" s="231" t="s">
        <v>1157</v>
      </c>
      <c r="H11" s="239" t="s">
        <v>526</v>
      </c>
      <c r="I11" s="239" t="s">
        <v>3057</v>
      </c>
      <c r="J11" s="477" t="s">
        <v>3058</v>
      </c>
      <c r="K11" s="228"/>
      <c r="L11" s="478" t="s">
        <v>3059</v>
      </c>
      <c r="M11" s="233" t="s">
        <v>511</v>
      </c>
      <c r="N11" s="234"/>
    </row>
    <row r="12" spans="1:14" s="235" customFormat="1" ht="30">
      <c r="A12" s="238" t="s">
        <v>3060</v>
      </c>
      <c r="B12" s="238" t="s">
        <v>540</v>
      </c>
      <c r="C12" s="229">
        <v>9</v>
      </c>
      <c r="D12" s="229">
        <f>E11+1</f>
        <v>4</v>
      </c>
      <c r="E12" s="229">
        <f>D12+F12-1</f>
        <v>33</v>
      </c>
      <c r="F12" s="229">
        <v>30</v>
      </c>
      <c r="G12" s="66" t="s">
        <v>3061</v>
      </c>
      <c r="H12" s="239" t="s">
        <v>526</v>
      </c>
      <c r="I12" s="239" t="s">
        <v>3057</v>
      </c>
      <c r="J12" s="477" t="s">
        <v>3062</v>
      </c>
      <c r="K12" s="229"/>
      <c r="L12" s="478" t="s">
        <v>3059</v>
      </c>
      <c r="M12" s="233" t="s">
        <v>511</v>
      </c>
      <c r="N12" s="479"/>
    </row>
    <row r="13" spans="1:14" s="23" customFormat="1">
      <c r="A13" s="238" t="s">
        <v>522</v>
      </c>
      <c r="B13" s="238" t="s">
        <v>18</v>
      </c>
      <c r="C13" s="229">
        <v>10</v>
      </c>
      <c r="D13" s="229">
        <f>E12+1</f>
        <v>34</v>
      </c>
      <c r="E13" s="229">
        <f>D13+F13-1</f>
        <v>34</v>
      </c>
      <c r="F13" s="19">
        <v>1</v>
      </c>
      <c r="G13" s="18" t="s">
        <v>523</v>
      </c>
      <c r="H13" s="20"/>
      <c r="I13" s="20"/>
      <c r="J13" s="18"/>
      <c r="K13" s="19"/>
      <c r="L13" s="19"/>
      <c r="M13" s="21"/>
      <c r="N13" s="22"/>
    </row>
    <row r="14" spans="1:14" s="235" customFormat="1" ht="31.5">
      <c r="A14" s="215" t="s">
        <v>877</v>
      </c>
      <c r="B14" s="249" t="s">
        <v>14</v>
      </c>
      <c r="C14" s="249"/>
      <c r="D14" s="249">
        <v>1</v>
      </c>
      <c r="E14" s="249">
        <f>E17</f>
        <v>11</v>
      </c>
      <c r="F14" s="249">
        <f>SUM(F15:F17)</f>
        <v>11</v>
      </c>
      <c r="G14" s="250"/>
      <c r="H14" s="250"/>
      <c r="I14" s="250"/>
      <c r="J14" s="250"/>
      <c r="K14" s="250" t="s">
        <v>204</v>
      </c>
      <c r="L14" s="250"/>
      <c r="M14" s="233" t="s">
        <v>511</v>
      </c>
      <c r="N14" s="234"/>
    </row>
    <row r="15" spans="1:14" s="235" customFormat="1" ht="20.5">
      <c r="A15" s="237" t="s">
        <v>17</v>
      </c>
      <c r="B15" s="251" t="s">
        <v>18</v>
      </c>
      <c r="C15" s="228">
        <v>11</v>
      </c>
      <c r="D15" s="229">
        <v>1</v>
      </c>
      <c r="E15" s="229">
        <v>1</v>
      </c>
      <c r="F15" s="229">
        <v>1</v>
      </c>
      <c r="G15" s="239" t="s">
        <v>701</v>
      </c>
      <c r="H15" s="239"/>
      <c r="I15" s="239"/>
      <c r="J15" s="229"/>
      <c r="K15" s="229"/>
      <c r="L15" s="232"/>
      <c r="M15" s="233" t="s">
        <v>511</v>
      </c>
      <c r="N15" s="234"/>
    </row>
    <row r="16" spans="1:14" s="235" customFormat="1">
      <c r="A16" s="252" t="s">
        <v>206</v>
      </c>
      <c r="B16" s="253" t="s">
        <v>207</v>
      </c>
      <c r="C16" s="229">
        <v>12</v>
      </c>
      <c r="D16" s="229">
        <v>2</v>
      </c>
      <c r="E16" s="229">
        <f>D16+F16-1</f>
        <v>10</v>
      </c>
      <c r="F16" s="229">
        <v>9</v>
      </c>
      <c r="G16" s="239" t="s">
        <v>233</v>
      </c>
      <c r="H16" s="239"/>
      <c r="I16" s="239"/>
      <c r="J16" s="229"/>
      <c r="K16" s="229"/>
      <c r="L16" s="232"/>
      <c r="M16" s="233" t="s">
        <v>511</v>
      </c>
      <c r="N16" s="234"/>
    </row>
    <row r="17" spans="1:14" s="23" customFormat="1">
      <c r="A17" s="254" t="s">
        <v>522</v>
      </c>
      <c r="B17" s="253" t="s">
        <v>18</v>
      </c>
      <c r="C17" s="19">
        <v>13</v>
      </c>
      <c r="D17" s="19">
        <f>E16+1</f>
        <v>11</v>
      </c>
      <c r="E17" s="19">
        <f>D17+F17-1</f>
        <v>11</v>
      </c>
      <c r="F17" s="19">
        <v>1</v>
      </c>
      <c r="G17" s="18" t="s">
        <v>523</v>
      </c>
      <c r="H17" s="20"/>
      <c r="I17" s="20"/>
      <c r="J17" s="18"/>
      <c r="K17" s="19"/>
      <c r="L17" s="19"/>
      <c r="M17" s="21"/>
      <c r="N17" s="22"/>
    </row>
    <row r="18" spans="1:14">
      <c r="M18" s="259"/>
    </row>
    <row r="19" spans="1:14">
      <c r="M19" s="259"/>
    </row>
    <row r="20" spans="1:14">
      <c r="M20" s="259"/>
    </row>
    <row r="21" spans="1:14">
      <c r="M21" s="259"/>
    </row>
    <row r="22" spans="1:14">
      <c r="M22" s="259"/>
    </row>
    <row r="23" spans="1:14">
      <c r="M23" s="259"/>
    </row>
    <row r="24" spans="1:14">
      <c r="M24" s="259"/>
    </row>
    <row r="25" spans="1:14">
      <c r="M25" s="259"/>
    </row>
    <row r="26" spans="1:14">
      <c r="M26" s="259"/>
    </row>
    <row r="27" spans="1:14">
      <c r="M27" s="259"/>
    </row>
    <row r="28" spans="1:14">
      <c r="M28" s="259"/>
    </row>
    <row r="29" spans="1:14">
      <c r="M29" s="259"/>
    </row>
    <row r="30" spans="1:14">
      <c r="M30" s="259"/>
    </row>
    <row r="31" spans="1:14">
      <c r="M31" s="259"/>
    </row>
    <row r="32" spans="1:14">
      <c r="M32" s="259"/>
    </row>
    <row r="33" spans="13:13">
      <c r="M33" s="259"/>
    </row>
    <row r="34" spans="13:13">
      <c r="M34" s="259"/>
    </row>
    <row r="35" spans="13:13">
      <c r="M35" s="259"/>
    </row>
    <row r="36" spans="13:13">
      <c r="M36" s="259"/>
    </row>
    <row r="37" spans="13:13">
      <c r="M37" s="259"/>
    </row>
    <row r="38" spans="13:13">
      <c r="M38" s="259"/>
    </row>
    <row r="39" spans="13:13">
      <c r="M39" s="259"/>
    </row>
    <row r="40" spans="13:13">
      <c r="M40" s="259"/>
    </row>
    <row r="41" spans="13:13">
      <c r="M41" s="259"/>
    </row>
    <row r="42" spans="13:13">
      <c r="M42" s="259"/>
    </row>
    <row r="43" spans="13:13">
      <c r="M43" s="259"/>
    </row>
    <row r="44" spans="13:13">
      <c r="M44" s="259"/>
    </row>
    <row r="45" spans="13:13">
      <c r="M45" s="259"/>
    </row>
    <row r="46" spans="13:13">
      <c r="M46" s="259"/>
    </row>
    <row r="47" spans="13:13">
      <c r="M47" s="259"/>
    </row>
    <row r="48" spans="13:13">
      <c r="M48" s="259"/>
    </row>
    <row r="49" spans="13:13">
      <c r="M49" s="259"/>
    </row>
    <row r="50" spans="13:13">
      <c r="M50" s="259"/>
    </row>
    <row r="51" spans="13:13">
      <c r="M51" s="259"/>
    </row>
    <row r="52" spans="13:13">
      <c r="M52" s="259"/>
    </row>
    <row r="53" spans="13:13">
      <c r="M53" s="259"/>
    </row>
    <row r="54" spans="13:13">
      <c r="M54" s="259"/>
    </row>
    <row r="55" spans="13:13">
      <c r="M55" s="259"/>
    </row>
    <row r="56" spans="13:13">
      <c r="M56" s="259"/>
    </row>
    <row r="57" spans="13:13">
      <c r="M57" s="259"/>
    </row>
    <row r="58" spans="13:13">
      <c r="M58" s="259"/>
    </row>
    <row r="59" spans="13:13">
      <c r="M59" s="259"/>
    </row>
    <row r="60" spans="13:13">
      <c r="M60" s="259"/>
    </row>
    <row r="61" spans="13:13">
      <c r="M61" s="259"/>
    </row>
    <row r="62" spans="13:13">
      <c r="M62" s="259"/>
    </row>
    <row r="63" spans="13:13">
      <c r="M63" s="259"/>
    </row>
    <row r="64" spans="13:13">
      <c r="M64" s="259"/>
    </row>
    <row r="65" spans="13:13">
      <c r="M65" s="259"/>
    </row>
    <row r="66" spans="13:13">
      <c r="M66" s="259"/>
    </row>
    <row r="67" spans="13:13">
      <c r="M67" s="259"/>
    </row>
    <row r="68" spans="13:13">
      <c r="M68" s="259"/>
    </row>
    <row r="69" spans="13:13">
      <c r="M69" s="259"/>
    </row>
    <row r="70" spans="13:13">
      <c r="M70" s="259"/>
    </row>
    <row r="71" spans="13:13">
      <c r="M71" s="259"/>
    </row>
    <row r="72" spans="13:13">
      <c r="M72" s="259"/>
    </row>
    <row r="73" spans="13:13">
      <c r="M73" s="259"/>
    </row>
    <row r="74" spans="13:13">
      <c r="M74" s="259"/>
    </row>
    <row r="75" spans="13:13">
      <c r="M75" s="259"/>
    </row>
    <row r="76" spans="13:13">
      <c r="M76" s="259"/>
    </row>
    <row r="77" spans="13:13">
      <c r="M77" s="259"/>
    </row>
    <row r="78" spans="13:13">
      <c r="M78" s="259"/>
    </row>
    <row r="79" spans="13:13">
      <c r="M79" s="259"/>
    </row>
    <row r="80" spans="13:13">
      <c r="M80" s="259"/>
    </row>
    <row r="81" spans="13:13">
      <c r="M81" s="259"/>
    </row>
    <row r="82" spans="13:13">
      <c r="M82" s="259"/>
    </row>
    <row r="83" spans="13:13">
      <c r="M83" s="259"/>
    </row>
    <row r="84" spans="13:13">
      <c r="M84" s="259"/>
    </row>
    <row r="85" spans="13:13">
      <c r="M85" s="259"/>
    </row>
    <row r="86" spans="13:13">
      <c r="M86" s="259"/>
    </row>
    <row r="87" spans="13:13">
      <c r="M87" s="259"/>
    </row>
    <row r="88" spans="13:13">
      <c r="M88" s="259"/>
    </row>
    <row r="89" spans="13:13">
      <c r="M89" s="259"/>
    </row>
    <row r="90" spans="13:13">
      <c r="M90" s="259"/>
    </row>
    <row r="91" spans="13:13">
      <c r="M91" s="259"/>
    </row>
    <row r="92" spans="13:13">
      <c r="M92" s="259"/>
    </row>
    <row r="93" spans="13:13">
      <c r="M93" s="259"/>
    </row>
    <row r="94" spans="13:13">
      <c r="M94" s="259"/>
    </row>
    <row r="95" spans="13:13">
      <c r="M95" s="259"/>
    </row>
    <row r="96" spans="13:13">
      <c r="M96" s="259"/>
    </row>
    <row r="97" spans="13:13">
      <c r="M97" s="259"/>
    </row>
    <row r="98" spans="13:13">
      <c r="M98" s="259"/>
    </row>
  </sheetData>
  <pageMargins left="0.75" right="0.75" top="1" bottom="1" header="0.5" footer="0.5"/>
  <pageSetup paperSize="9" orientation="portrait" verticalDpi="300" r:id="rId1"/>
  <headerFooter alignWithMargins="0">
    <oddHeader>&amp;L&amp;"Arial"&amp;9&amp;K0078D7 INTERNAL&amp;1#_x000D_</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AF21-1375-48A7-9CAA-9487E08E23E1}">
  <sheetPr codeName="Sheet38">
    <tabColor indexed="45"/>
  </sheetPr>
  <dimension ref="A1:E28"/>
  <sheetViews>
    <sheetView workbookViewId="0">
      <selection activeCell="P14" sqref="P14"/>
    </sheetView>
  </sheetViews>
  <sheetFormatPr defaultRowHeight="12.5"/>
  <cols>
    <col min="1" max="1" width="20.26953125" customWidth="1"/>
    <col min="2" max="2" width="25.81640625" customWidth="1"/>
    <col min="3" max="3" width="28" customWidth="1"/>
    <col min="4" max="4" width="21.453125" customWidth="1"/>
    <col min="5" max="5" width="25.81640625" customWidth="1"/>
    <col min="257" max="257" width="20.26953125" customWidth="1"/>
    <col min="258" max="258" width="25.81640625" customWidth="1"/>
    <col min="259" max="259" width="28" customWidth="1"/>
    <col min="260" max="260" width="21.453125" customWidth="1"/>
    <col min="261" max="261" width="25.81640625" customWidth="1"/>
    <col min="513" max="513" width="20.26953125" customWidth="1"/>
    <col min="514" max="514" width="25.81640625" customWidth="1"/>
    <col min="515" max="515" width="28" customWidth="1"/>
    <col min="516" max="516" width="21.453125" customWidth="1"/>
    <col min="517" max="517" width="25.81640625" customWidth="1"/>
    <col min="769" max="769" width="20.26953125" customWidth="1"/>
    <col min="770" max="770" width="25.81640625" customWidth="1"/>
    <col min="771" max="771" width="28" customWidth="1"/>
    <col min="772" max="772" width="21.453125" customWidth="1"/>
    <col min="773" max="773" width="25.81640625" customWidth="1"/>
    <col min="1025" max="1025" width="20.26953125" customWidth="1"/>
    <col min="1026" max="1026" width="25.81640625" customWidth="1"/>
    <col min="1027" max="1027" width="28" customWidth="1"/>
    <col min="1028" max="1028" width="21.453125" customWidth="1"/>
    <col min="1029" max="1029" width="25.81640625" customWidth="1"/>
    <col min="1281" max="1281" width="20.26953125" customWidth="1"/>
    <col min="1282" max="1282" width="25.81640625" customWidth="1"/>
    <col min="1283" max="1283" width="28" customWidth="1"/>
    <col min="1284" max="1284" width="21.453125" customWidth="1"/>
    <col min="1285" max="1285" width="25.81640625" customWidth="1"/>
    <col min="1537" max="1537" width="20.26953125" customWidth="1"/>
    <col min="1538" max="1538" width="25.81640625" customWidth="1"/>
    <col min="1539" max="1539" width="28" customWidth="1"/>
    <col min="1540" max="1540" width="21.453125" customWidth="1"/>
    <col min="1541" max="1541" width="25.81640625" customWidth="1"/>
    <col min="1793" max="1793" width="20.26953125" customWidth="1"/>
    <col min="1794" max="1794" width="25.81640625" customWidth="1"/>
    <col min="1795" max="1795" width="28" customWidth="1"/>
    <col min="1796" max="1796" width="21.453125" customWidth="1"/>
    <col min="1797" max="1797" width="25.81640625" customWidth="1"/>
    <col min="2049" max="2049" width="20.26953125" customWidth="1"/>
    <col min="2050" max="2050" width="25.81640625" customWidth="1"/>
    <col min="2051" max="2051" width="28" customWidth="1"/>
    <col min="2052" max="2052" width="21.453125" customWidth="1"/>
    <col min="2053" max="2053" width="25.81640625" customWidth="1"/>
    <col min="2305" max="2305" width="20.26953125" customWidth="1"/>
    <col min="2306" max="2306" width="25.81640625" customWidth="1"/>
    <col min="2307" max="2307" width="28" customWidth="1"/>
    <col min="2308" max="2308" width="21.453125" customWidth="1"/>
    <col min="2309" max="2309" width="25.81640625" customWidth="1"/>
    <col min="2561" max="2561" width="20.26953125" customWidth="1"/>
    <col min="2562" max="2562" width="25.81640625" customWidth="1"/>
    <col min="2563" max="2563" width="28" customWidth="1"/>
    <col min="2564" max="2564" width="21.453125" customWidth="1"/>
    <col min="2565" max="2565" width="25.81640625" customWidth="1"/>
    <col min="2817" max="2817" width="20.26953125" customWidth="1"/>
    <col min="2818" max="2818" width="25.81640625" customWidth="1"/>
    <col min="2819" max="2819" width="28" customWidth="1"/>
    <col min="2820" max="2820" width="21.453125" customWidth="1"/>
    <col min="2821" max="2821" width="25.81640625" customWidth="1"/>
    <col min="3073" max="3073" width="20.26953125" customWidth="1"/>
    <col min="3074" max="3074" width="25.81640625" customWidth="1"/>
    <col min="3075" max="3075" width="28" customWidth="1"/>
    <col min="3076" max="3076" width="21.453125" customWidth="1"/>
    <col min="3077" max="3077" width="25.81640625" customWidth="1"/>
    <col min="3329" max="3329" width="20.26953125" customWidth="1"/>
    <col min="3330" max="3330" width="25.81640625" customWidth="1"/>
    <col min="3331" max="3331" width="28" customWidth="1"/>
    <col min="3332" max="3332" width="21.453125" customWidth="1"/>
    <col min="3333" max="3333" width="25.81640625" customWidth="1"/>
    <col min="3585" max="3585" width="20.26953125" customWidth="1"/>
    <col min="3586" max="3586" width="25.81640625" customWidth="1"/>
    <col min="3587" max="3587" width="28" customWidth="1"/>
    <col min="3588" max="3588" width="21.453125" customWidth="1"/>
    <col min="3589" max="3589" width="25.81640625" customWidth="1"/>
    <col min="3841" max="3841" width="20.26953125" customWidth="1"/>
    <col min="3842" max="3842" width="25.81640625" customWidth="1"/>
    <col min="3843" max="3843" width="28" customWidth="1"/>
    <col min="3844" max="3844" width="21.453125" customWidth="1"/>
    <col min="3845" max="3845" width="25.81640625" customWidth="1"/>
    <col min="4097" max="4097" width="20.26953125" customWidth="1"/>
    <col min="4098" max="4098" width="25.81640625" customWidth="1"/>
    <col min="4099" max="4099" width="28" customWidth="1"/>
    <col min="4100" max="4100" width="21.453125" customWidth="1"/>
    <col min="4101" max="4101" width="25.81640625" customWidth="1"/>
    <col min="4353" max="4353" width="20.26953125" customWidth="1"/>
    <col min="4354" max="4354" width="25.81640625" customWidth="1"/>
    <col min="4355" max="4355" width="28" customWidth="1"/>
    <col min="4356" max="4356" width="21.453125" customWidth="1"/>
    <col min="4357" max="4357" width="25.81640625" customWidth="1"/>
    <col min="4609" max="4609" width="20.26953125" customWidth="1"/>
    <col min="4610" max="4610" width="25.81640625" customWidth="1"/>
    <col min="4611" max="4611" width="28" customWidth="1"/>
    <col min="4612" max="4612" width="21.453125" customWidth="1"/>
    <col min="4613" max="4613" width="25.81640625" customWidth="1"/>
    <col min="4865" max="4865" width="20.26953125" customWidth="1"/>
    <col min="4866" max="4866" width="25.81640625" customWidth="1"/>
    <col min="4867" max="4867" width="28" customWidth="1"/>
    <col min="4868" max="4868" width="21.453125" customWidth="1"/>
    <col min="4869" max="4869" width="25.81640625" customWidth="1"/>
    <col min="5121" max="5121" width="20.26953125" customWidth="1"/>
    <col min="5122" max="5122" width="25.81640625" customWidth="1"/>
    <col min="5123" max="5123" width="28" customWidth="1"/>
    <col min="5124" max="5124" width="21.453125" customWidth="1"/>
    <col min="5125" max="5125" width="25.81640625" customWidth="1"/>
    <col min="5377" max="5377" width="20.26953125" customWidth="1"/>
    <col min="5378" max="5378" width="25.81640625" customWidth="1"/>
    <col min="5379" max="5379" width="28" customWidth="1"/>
    <col min="5380" max="5380" width="21.453125" customWidth="1"/>
    <col min="5381" max="5381" width="25.81640625" customWidth="1"/>
    <col min="5633" max="5633" width="20.26953125" customWidth="1"/>
    <col min="5634" max="5634" width="25.81640625" customWidth="1"/>
    <col min="5635" max="5635" width="28" customWidth="1"/>
    <col min="5636" max="5636" width="21.453125" customWidth="1"/>
    <col min="5637" max="5637" width="25.81640625" customWidth="1"/>
    <col min="5889" max="5889" width="20.26953125" customWidth="1"/>
    <col min="5890" max="5890" width="25.81640625" customWidth="1"/>
    <col min="5891" max="5891" width="28" customWidth="1"/>
    <col min="5892" max="5892" width="21.453125" customWidth="1"/>
    <col min="5893" max="5893" width="25.81640625" customWidth="1"/>
    <col min="6145" max="6145" width="20.26953125" customWidth="1"/>
    <col min="6146" max="6146" width="25.81640625" customWidth="1"/>
    <col min="6147" max="6147" width="28" customWidth="1"/>
    <col min="6148" max="6148" width="21.453125" customWidth="1"/>
    <col min="6149" max="6149" width="25.81640625" customWidth="1"/>
    <col min="6401" max="6401" width="20.26953125" customWidth="1"/>
    <col min="6402" max="6402" width="25.81640625" customWidth="1"/>
    <col min="6403" max="6403" width="28" customWidth="1"/>
    <col min="6404" max="6404" width="21.453125" customWidth="1"/>
    <col min="6405" max="6405" width="25.81640625" customWidth="1"/>
    <col min="6657" max="6657" width="20.26953125" customWidth="1"/>
    <col min="6658" max="6658" width="25.81640625" customWidth="1"/>
    <col min="6659" max="6659" width="28" customWidth="1"/>
    <col min="6660" max="6660" width="21.453125" customWidth="1"/>
    <col min="6661" max="6661" width="25.81640625" customWidth="1"/>
    <col min="6913" max="6913" width="20.26953125" customWidth="1"/>
    <col min="6914" max="6914" width="25.81640625" customWidth="1"/>
    <col min="6915" max="6915" width="28" customWidth="1"/>
    <col min="6916" max="6916" width="21.453125" customWidth="1"/>
    <col min="6917" max="6917" width="25.81640625" customWidth="1"/>
    <col min="7169" max="7169" width="20.26953125" customWidth="1"/>
    <col min="7170" max="7170" width="25.81640625" customWidth="1"/>
    <col min="7171" max="7171" width="28" customWidth="1"/>
    <col min="7172" max="7172" width="21.453125" customWidth="1"/>
    <col min="7173" max="7173" width="25.81640625" customWidth="1"/>
    <col min="7425" max="7425" width="20.26953125" customWidth="1"/>
    <col min="7426" max="7426" width="25.81640625" customWidth="1"/>
    <col min="7427" max="7427" width="28" customWidth="1"/>
    <col min="7428" max="7428" width="21.453125" customWidth="1"/>
    <col min="7429" max="7429" width="25.81640625" customWidth="1"/>
    <col min="7681" max="7681" width="20.26953125" customWidth="1"/>
    <col min="7682" max="7682" width="25.81640625" customWidth="1"/>
    <col min="7683" max="7683" width="28" customWidth="1"/>
    <col min="7684" max="7684" width="21.453125" customWidth="1"/>
    <col min="7685" max="7685" width="25.81640625" customWidth="1"/>
    <col min="7937" max="7937" width="20.26953125" customWidth="1"/>
    <col min="7938" max="7938" width="25.81640625" customWidth="1"/>
    <col min="7939" max="7939" width="28" customWidth="1"/>
    <col min="7940" max="7940" width="21.453125" customWidth="1"/>
    <col min="7941" max="7941" width="25.81640625" customWidth="1"/>
    <col min="8193" max="8193" width="20.26953125" customWidth="1"/>
    <col min="8194" max="8194" width="25.81640625" customWidth="1"/>
    <col min="8195" max="8195" width="28" customWidth="1"/>
    <col min="8196" max="8196" width="21.453125" customWidth="1"/>
    <col min="8197" max="8197" width="25.81640625" customWidth="1"/>
    <col min="8449" max="8449" width="20.26953125" customWidth="1"/>
    <col min="8450" max="8450" width="25.81640625" customWidth="1"/>
    <col min="8451" max="8451" width="28" customWidth="1"/>
    <col min="8452" max="8452" width="21.453125" customWidth="1"/>
    <col min="8453" max="8453" width="25.81640625" customWidth="1"/>
    <col min="8705" max="8705" width="20.26953125" customWidth="1"/>
    <col min="8706" max="8706" width="25.81640625" customWidth="1"/>
    <col min="8707" max="8707" width="28" customWidth="1"/>
    <col min="8708" max="8708" width="21.453125" customWidth="1"/>
    <col min="8709" max="8709" width="25.81640625" customWidth="1"/>
    <col min="8961" max="8961" width="20.26953125" customWidth="1"/>
    <col min="8962" max="8962" width="25.81640625" customWidth="1"/>
    <col min="8963" max="8963" width="28" customWidth="1"/>
    <col min="8964" max="8964" width="21.453125" customWidth="1"/>
    <col min="8965" max="8965" width="25.81640625" customWidth="1"/>
    <col min="9217" max="9217" width="20.26953125" customWidth="1"/>
    <col min="9218" max="9218" width="25.81640625" customWidth="1"/>
    <col min="9219" max="9219" width="28" customWidth="1"/>
    <col min="9220" max="9220" width="21.453125" customWidth="1"/>
    <col min="9221" max="9221" width="25.81640625" customWidth="1"/>
    <col min="9473" max="9473" width="20.26953125" customWidth="1"/>
    <col min="9474" max="9474" width="25.81640625" customWidth="1"/>
    <col min="9475" max="9475" width="28" customWidth="1"/>
    <col min="9476" max="9476" width="21.453125" customWidth="1"/>
    <col min="9477" max="9477" width="25.81640625" customWidth="1"/>
    <col min="9729" max="9729" width="20.26953125" customWidth="1"/>
    <col min="9730" max="9730" width="25.81640625" customWidth="1"/>
    <col min="9731" max="9731" width="28" customWidth="1"/>
    <col min="9732" max="9732" width="21.453125" customWidth="1"/>
    <col min="9733" max="9733" width="25.81640625" customWidth="1"/>
    <col min="9985" max="9985" width="20.26953125" customWidth="1"/>
    <col min="9986" max="9986" width="25.81640625" customWidth="1"/>
    <col min="9987" max="9987" width="28" customWidth="1"/>
    <col min="9988" max="9988" width="21.453125" customWidth="1"/>
    <col min="9989" max="9989" width="25.81640625" customWidth="1"/>
    <col min="10241" max="10241" width="20.26953125" customWidth="1"/>
    <col min="10242" max="10242" width="25.81640625" customWidth="1"/>
    <col min="10243" max="10243" width="28" customWidth="1"/>
    <col min="10244" max="10244" width="21.453125" customWidth="1"/>
    <col min="10245" max="10245" width="25.81640625" customWidth="1"/>
    <col min="10497" max="10497" width="20.26953125" customWidth="1"/>
    <col min="10498" max="10498" width="25.81640625" customWidth="1"/>
    <col min="10499" max="10499" width="28" customWidth="1"/>
    <col min="10500" max="10500" width="21.453125" customWidth="1"/>
    <col min="10501" max="10501" width="25.81640625" customWidth="1"/>
    <col min="10753" max="10753" width="20.26953125" customWidth="1"/>
    <col min="10754" max="10754" width="25.81640625" customWidth="1"/>
    <col min="10755" max="10755" width="28" customWidth="1"/>
    <col min="10756" max="10756" width="21.453125" customWidth="1"/>
    <col min="10757" max="10757" width="25.81640625" customWidth="1"/>
    <col min="11009" max="11009" width="20.26953125" customWidth="1"/>
    <col min="11010" max="11010" width="25.81640625" customWidth="1"/>
    <col min="11011" max="11011" width="28" customWidth="1"/>
    <col min="11012" max="11012" width="21.453125" customWidth="1"/>
    <col min="11013" max="11013" width="25.81640625" customWidth="1"/>
    <col min="11265" max="11265" width="20.26953125" customWidth="1"/>
    <col min="11266" max="11266" width="25.81640625" customWidth="1"/>
    <col min="11267" max="11267" width="28" customWidth="1"/>
    <col min="11268" max="11268" width="21.453125" customWidth="1"/>
    <col min="11269" max="11269" width="25.81640625" customWidth="1"/>
    <col min="11521" max="11521" width="20.26953125" customWidth="1"/>
    <col min="11522" max="11522" width="25.81640625" customWidth="1"/>
    <col min="11523" max="11523" width="28" customWidth="1"/>
    <col min="11524" max="11524" width="21.453125" customWidth="1"/>
    <col min="11525" max="11525" width="25.81640625" customWidth="1"/>
    <col min="11777" max="11777" width="20.26953125" customWidth="1"/>
    <col min="11778" max="11778" width="25.81640625" customWidth="1"/>
    <col min="11779" max="11779" width="28" customWidth="1"/>
    <col min="11780" max="11780" width="21.453125" customWidth="1"/>
    <col min="11781" max="11781" width="25.81640625" customWidth="1"/>
    <col min="12033" max="12033" width="20.26953125" customWidth="1"/>
    <col min="12034" max="12034" width="25.81640625" customWidth="1"/>
    <col min="12035" max="12035" width="28" customWidth="1"/>
    <col min="12036" max="12036" width="21.453125" customWidth="1"/>
    <col min="12037" max="12037" width="25.81640625" customWidth="1"/>
    <col min="12289" max="12289" width="20.26953125" customWidth="1"/>
    <col min="12290" max="12290" width="25.81640625" customWidth="1"/>
    <col min="12291" max="12291" width="28" customWidth="1"/>
    <col min="12292" max="12292" width="21.453125" customWidth="1"/>
    <col min="12293" max="12293" width="25.81640625" customWidth="1"/>
    <col min="12545" max="12545" width="20.26953125" customWidth="1"/>
    <col min="12546" max="12546" width="25.81640625" customWidth="1"/>
    <col min="12547" max="12547" width="28" customWidth="1"/>
    <col min="12548" max="12548" width="21.453125" customWidth="1"/>
    <col min="12549" max="12549" width="25.81640625" customWidth="1"/>
    <col min="12801" max="12801" width="20.26953125" customWidth="1"/>
    <col min="12802" max="12802" width="25.81640625" customWidth="1"/>
    <col min="12803" max="12803" width="28" customWidth="1"/>
    <col min="12804" max="12804" width="21.453125" customWidth="1"/>
    <col min="12805" max="12805" width="25.81640625" customWidth="1"/>
    <col min="13057" max="13057" width="20.26953125" customWidth="1"/>
    <col min="13058" max="13058" width="25.81640625" customWidth="1"/>
    <col min="13059" max="13059" width="28" customWidth="1"/>
    <col min="13060" max="13060" width="21.453125" customWidth="1"/>
    <col min="13061" max="13061" width="25.81640625" customWidth="1"/>
    <col min="13313" max="13313" width="20.26953125" customWidth="1"/>
    <col min="13314" max="13314" width="25.81640625" customWidth="1"/>
    <col min="13315" max="13315" width="28" customWidth="1"/>
    <col min="13316" max="13316" width="21.453125" customWidth="1"/>
    <col min="13317" max="13317" width="25.81640625" customWidth="1"/>
    <col min="13569" max="13569" width="20.26953125" customWidth="1"/>
    <col min="13570" max="13570" width="25.81640625" customWidth="1"/>
    <col min="13571" max="13571" width="28" customWidth="1"/>
    <col min="13572" max="13572" width="21.453125" customWidth="1"/>
    <col min="13573" max="13573" width="25.81640625" customWidth="1"/>
    <col min="13825" max="13825" width="20.26953125" customWidth="1"/>
    <col min="13826" max="13826" width="25.81640625" customWidth="1"/>
    <col min="13827" max="13827" width="28" customWidth="1"/>
    <col min="13828" max="13828" width="21.453125" customWidth="1"/>
    <col min="13829" max="13829" width="25.81640625" customWidth="1"/>
    <col min="14081" max="14081" width="20.26953125" customWidth="1"/>
    <col min="14082" max="14082" width="25.81640625" customWidth="1"/>
    <col min="14083" max="14083" width="28" customWidth="1"/>
    <col min="14084" max="14084" width="21.453125" customWidth="1"/>
    <col min="14085" max="14085" width="25.81640625" customWidth="1"/>
    <col min="14337" max="14337" width="20.26953125" customWidth="1"/>
    <col min="14338" max="14338" width="25.81640625" customWidth="1"/>
    <col min="14339" max="14339" width="28" customWidth="1"/>
    <col min="14340" max="14340" width="21.453125" customWidth="1"/>
    <col min="14341" max="14341" width="25.81640625" customWidth="1"/>
    <col min="14593" max="14593" width="20.26953125" customWidth="1"/>
    <col min="14594" max="14594" width="25.81640625" customWidth="1"/>
    <col min="14595" max="14595" width="28" customWidth="1"/>
    <col min="14596" max="14596" width="21.453125" customWidth="1"/>
    <col min="14597" max="14597" width="25.81640625" customWidth="1"/>
    <col min="14849" max="14849" width="20.26953125" customWidth="1"/>
    <col min="14850" max="14850" width="25.81640625" customWidth="1"/>
    <col min="14851" max="14851" width="28" customWidth="1"/>
    <col min="14852" max="14852" width="21.453125" customWidth="1"/>
    <col min="14853" max="14853" width="25.81640625" customWidth="1"/>
    <col min="15105" max="15105" width="20.26953125" customWidth="1"/>
    <col min="15106" max="15106" width="25.81640625" customWidth="1"/>
    <col min="15107" max="15107" width="28" customWidth="1"/>
    <col min="15108" max="15108" width="21.453125" customWidth="1"/>
    <col min="15109" max="15109" width="25.81640625" customWidth="1"/>
    <col min="15361" max="15361" width="20.26953125" customWidth="1"/>
    <col min="15362" max="15362" width="25.81640625" customWidth="1"/>
    <col min="15363" max="15363" width="28" customWidth="1"/>
    <col min="15364" max="15364" width="21.453125" customWidth="1"/>
    <col min="15365" max="15365" width="25.81640625" customWidth="1"/>
    <col min="15617" max="15617" width="20.26953125" customWidth="1"/>
    <col min="15618" max="15618" width="25.81640625" customWidth="1"/>
    <col min="15619" max="15619" width="28" customWidth="1"/>
    <col min="15620" max="15620" width="21.453125" customWidth="1"/>
    <col min="15621" max="15621" width="25.81640625" customWidth="1"/>
    <col min="15873" max="15873" width="20.26953125" customWidth="1"/>
    <col min="15874" max="15874" width="25.81640625" customWidth="1"/>
    <col min="15875" max="15875" width="28" customWidth="1"/>
    <col min="15876" max="15876" width="21.453125" customWidth="1"/>
    <col min="15877" max="15877" width="25.81640625" customWidth="1"/>
    <col min="16129" max="16129" width="20.26953125" customWidth="1"/>
    <col min="16130" max="16130" width="25.81640625" customWidth="1"/>
    <col min="16131" max="16131" width="28" customWidth="1"/>
    <col min="16132" max="16132" width="21.453125" customWidth="1"/>
    <col min="16133" max="16133" width="25.81640625" customWidth="1"/>
  </cols>
  <sheetData>
    <row r="1" spans="1:5">
      <c r="A1" s="615" t="s">
        <v>3063</v>
      </c>
      <c r="B1" s="615" t="s">
        <v>3064</v>
      </c>
      <c r="C1" s="616" t="s">
        <v>6</v>
      </c>
      <c r="D1" s="615" t="s">
        <v>3065</v>
      </c>
      <c r="E1" s="615"/>
    </row>
    <row r="2" spans="1:5" ht="13">
      <c r="A2" s="617" t="s">
        <v>3066</v>
      </c>
      <c r="B2" s="33"/>
      <c r="C2" s="38"/>
      <c r="D2" s="38"/>
      <c r="E2" s="38"/>
    </row>
    <row r="3" spans="1:5">
      <c r="A3" s="767"/>
      <c r="B3" s="618" t="s">
        <v>1065</v>
      </c>
      <c r="C3" s="619" t="s">
        <v>3067</v>
      </c>
      <c r="D3" s="426" t="s">
        <v>1884</v>
      </c>
      <c r="E3" s="38"/>
    </row>
    <row r="4" spans="1:5">
      <c r="A4" s="767"/>
      <c r="B4" s="33"/>
      <c r="C4" s="620"/>
      <c r="D4" s="621"/>
      <c r="E4" s="38"/>
    </row>
    <row r="5" spans="1:5">
      <c r="A5" s="767"/>
      <c r="B5" s="33"/>
      <c r="C5" s="620"/>
      <c r="D5" s="621"/>
      <c r="E5" s="38"/>
    </row>
    <row r="6" spans="1:5">
      <c r="A6" s="767"/>
      <c r="B6" s="33"/>
      <c r="C6" s="620"/>
      <c r="D6" s="621"/>
      <c r="E6" s="38"/>
    </row>
    <row r="7" spans="1:5">
      <c r="A7" s="767"/>
      <c r="B7" s="622"/>
      <c r="C7" s="620"/>
      <c r="D7" s="623"/>
      <c r="E7" s="38"/>
    </row>
    <row r="8" spans="1:5" ht="13">
      <c r="A8" s="617" t="s">
        <v>2345</v>
      </c>
      <c r="B8" s="624" t="s">
        <v>3068</v>
      </c>
      <c r="C8" s="620"/>
      <c r="D8" s="620"/>
      <c r="E8" s="38"/>
    </row>
    <row r="9" spans="1:5">
      <c r="A9" s="767" t="s">
        <v>3069</v>
      </c>
      <c r="B9" s="33" t="s">
        <v>3070</v>
      </c>
      <c r="C9" s="451" t="s">
        <v>3071</v>
      </c>
      <c r="D9" s="426" t="s">
        <v>3072</v>
      </c>
      <c r="E9" s="38"/>
    </row>
    <row r="10" spans="1:5">
      <c r="A10" s="767"/>
      <c r="B10" s="33" t="s">
        <v>3073</v>
      </c>
      <c r="C10" s="450" t="s">
        <v>3074</v>
      </c>
      <c r="D10" s="426" t="s">
        <v>3075</v>
      </c>
      <c r="E10" s="38"/>
    </row>
    <row r="11" spans="1:5">
      <c r="A11" s="767"/>
      <c r="B11" s="33" t="s">
        <v>224</v>
      </c>
      <c r="C11" s="450" t="s">
        <v>3076</v>
      </c>
      <c r="D11" s="426" t="s">
        <v>1898</v>
      </c>
      <c r="E11" s="38"/>
    </row>
    <row r="12" spans="1:5">
      <c r="A12" s="767"/>
      <c r="B12" s="33" t="s">
        <v>1900</v>
      </c>
      <c r="C12" s="450" t="s">
        <v>3077</v>
      </c>
      <c r="D12" s="426" t="s">
        <v>3078</v>
      </c>
      <c r="E12" s="38"/>
    </row>
    <row r="13" spans="1:5">
      <c r="A13" s="767"/>
      <c r="B13" s="33" t="s">
        <v>1835</v>
      </c>
      <c r="C13" s="450" t="s">
        <v>3079</v>
      </c>
      <c r="D13" s="426" t="s">
        <v>1904</v>
      </c>
      <c r="E13" s="38"/>
    </row>
    <row r="14" spans="1:5">
      <c r="A14" s="767"/>
      <c r="B14" s="33" t="s">
        <v>1843</v>
      </c>
      <c r="C14" s="451" t="s">
        <v>3080</v>
      </c>
      <c r="D14" s="426" t="s">
        <v>1908</v>
      </c>
      <c r="E14" s="38"/>
    </row>
    <row r="15" spans="1:5">
      <c r="A15" s="767"/>
      <c r="B15" s="33" t="s">
        <v>1848</v>
      </c>
      <c r="C15" s="451" t="s">
        <v>3081</v>
      </c>
      <c r="D15" s="426" t="s">
        <v>3082</v>
      </c>
      <c r="E15" s="38"/>
    </row>
    <row r="16" spans="1:5">
      <c r="A16" s="767"/>
      <c r="B16" s="430" t="s">
        <v>3083</v>
      </c>
      <c r="C16" s="450" t="s">
        <v>3084</v>
      </c>
      <c r="D16" s="426" t="s">
        <v>3085</v>
      </c>
      <c r="E16" s="38"/>
    </row>
    <row r="17" spans="1:5">
      <c r="A17" s="767"/>
      <c r="B17" s="61" t="s">
        <v>1860</v>
      </c>
      <c r="C17" s="450" t="s">
        <v>3086</v>
      </c>
      <c r="D17" s="426" t="s">
        <v>3087</v>
      </c>
      <c r="E17" s="38"/>
    </row>
    <row r="18" spans="1:5">
      <c r="A18" s="767"/>
      <c r="B18" s="33" t="s">
        <v>1919</v>
      </c>
      <c r="C18" s="457" t="s">
        <v>3088</v>
      </c>
      <c r="D18" s="426" t="s">
        <v>1959</v>
      </c>
      <c r="E18" s="38"/>
    </row>
    <row r="19" spans="1:5">
      <c r="A19" s="767"/>
      <c r="B19" s="33" t="s">
        <v>1923</v>
      </c>
      <c r="C19" s="449" t="s">
        <v>3089</v>
      </c>
      <c r="D19" s="426" t="s">
        <v>3090</v>
      </c>
      <c r="E19" s="38"/>
    </row>
    <row r="20" spans="1:5">
      <c r="A20" s="767"/>
      <c r="B20" s="33" t="s">
        <v>1927</v>
      </c>
      <c r="C20" s="449" t="s">
        <v>3091</v>
      </c>
      <c r="D20" s="426" t="s">
        <v>3092</v>
      </c>
      <c r="E20" s="38"/>
    </row>
    <row r="21" spans="1:5">
      <c r="A21" s="767"/>
      <c r="B21" s="624" t="s">
        <v>3093</v>
      </c>
      <c r="C21" s="38"/>
      <c r="D21" s="38"/>
      <c r="E21" s="38"/>
    </row>
    <row r="22" spans="1:5">
      <c r="A22" s="767"/>
      <c r="B22" s="625" t="s">
        <v>3094</v>
      </c>
      <c r="C22" s="38"/>
      <c r="D22" s="38" t="s">
        <v>3095</v>
      </c>
      <c r="E22" s="38"/>
    </row>
    <row r="23" spans="1:5" ht="25">
      <c r="A23" s="767"/>
      <c r="B23" s="625" t="s">
        <v>1769</v>
      </c>
      <c r="C23" s="38"/>
      <c r="D23" s="184" t="s">
        <v>3096</v>
      </c>
      <c r="E23" s="38"/>
    </row>
    <row r="27" spans="1:5">
      <c r="A27" s="694" t="s">
        <v>3140</v>
      </c>
    </row>
    <row r="28" spans="1:5">
      <c r="A28" t="s">
        <v>3141</v>
      </c>
    </row>
  </sheetData>
  <mergeCells count="2">
    <mergeCell ref="A3:A7"/>
    <mergeCell ref="A9:A23"/>
  </mergeCells>
  <pageMargins left="0.75" right="0.75" top="1" bottom="1" header="0.5" footer="0.5"/>
  <headerFooter alignWithMargins="0">
    <oddHeader>&amp;L&amp;"Arial"&amp;9&amp;K0078D7 INTERNAL&amp;1#_x000D_</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702D1-EF59-42B7-8843-E61E802DF531}">
  <dimension ref="A1:N99"/>
  <sheetViews>
    <sheetView topLeftCell="A5" workbookViewId="0">
      <selection activeCell="E14" sqref="E14"/>
    </sheetView>
  </sheetViews>
  <sheetFormatPr defaultRowHeight="10"/>
  <cols>
    <col min="1" max="1" width="24.7265625" style="690" bestFit="1" customWidth="1"/>
    <col min="2" max="2" width="18.7265625" style="691" bestFit="1" customWidth="1"/>
    <col min="3" max="3" width="8.1796875" style="691" bestFit="1" customWidth="1"/>
    <col min="4" max="5" width="8.26953125" style="691" bestFit="1" customWidth="1"/>
    <col min="6" max="6" width="7.26953125" style="691" bestFit="1" customWidth="1"/>
    <col min="7" max="7" width="23.26953125" style="692" customWidth="1"/>
    <col min="8" max="8" width="17.1796875" style="692" bestFit="1" customWidth="1"/>
    <col min="9" max="9" width="23.26953125" style="692" customWidth="1"/>
    <col min="10" max="10" width="28.7265625" style="691" bestFit="1" customWidth="1"/>
    <col min="11" max="12" width="8.7265625" style="691"/>
    <col min="13" max="13" width="13.26953125" style="660" customWidth="1"/>
    <col min="14" max="256" width="8.7265625" style="660"/>
    <col min="257" max="257" width="24.7265625" style="660" bestFit="1" customWidth="1"/>
    <col min="258" max="258" width="18.7265625" style="660" bestFit="1" customWidth="1"/>
    <col min="259" max="259" width="8.1796875" style="660" bestFit="1" customWidth="1"/>
    <col min="260" max="261" width="8.26953125" style="660" bestFit="1" customWidth="1"/>
    <col min="262" max="262" width="7.26953125" style="660" bestFit="1" customWidth="1"/>
    <col min="263" max="263" width="23.26953125" style="660" customWidth="1"/>
    <col min="264" max="264" width="17.1796875" style="660" bestFit="1" customWidth="1"/>
    <col min="265" max="265" width="23.26953125" style="660" customWidth="1"/>
    <col min="266" max="266" width="28.7265625" style="660" bestFit="1" customWidth="1"/>
    <col min="267" max="268" width="8.7265625" style="660"/>
    <col min="269" max="269" width="13.26953125" style="660" customWidth="1"/>
    <col min="270" max="512" width="8.7265625" style="660"/>
    <col min="513" max="513" width="24.7265625" style="660" bestFit="1" customWidth="1"/>
    <col min="514" max="514" width="18.7265625" style="660" bestFit="1" customWidth="1"/>
    <col min="515" max="515" width="8.1796875" style="660" bestFit="1" customWidth="1"/>
    <col min="516" max="517" width="8.26953125" style="660" bestFit="1" customWidth="1"/>
    <col min="518" max="518" width="7.26953125" style="660" bestFit="1" customWidth="1"/>
    <col min="519" max="519" width="23.26953125" style="660" customWidth="1"/>
    <col min="520" max="520" width="17.1796875" style="660" bestFit="1" customWidth="1"/>
    <col min="521" max="521" width="23.26953125" style="660" customWidth="1"/>
    <col min="522" max="522" width="28.7265625" style="660" bestFit="1" customWidth="1"/>
    <col min="523" max="524" width="8.7265625" style="660"/>
    <col min="525" max="525" width="13.26953125" style="660" customWidth="1"/>
    <col min="526" max="768" width="8.7265625" style="660"/>
    <col min="769" max="769" width="24.7265625" style="660" bestFit="1" customWidth="1"/>
    <col min="770" max="770" width="18.7265625" style="660" bestFit="1" customWidth="1"/>
    <col min="771" max="771" width="8.1796875" style="660" bestFit="1" customWidth="1"/>
    <col min="772" max="773" width="8.26953125" style="660" bestFit="1" customWidth="1"/>
    <col min="774" max="774" width="7.26953125" style="660" bestFit="1" customWidth="1"/>
    <col min="775" max="775" width="23.26953125" style="660" customWidth="1"/>
    <col min="776" max="776" width="17.1796875" style="660" bestFit="1" customWidth="1"/>
    <col min="777" max="777" width="23.26953125" style="660" customWidth="1"/>
    <col min="778" max="778" width="28.7265625" style="660" bestFit="1" customWidth="1"/>
    <col min="779" max="780" width="8.7265625" style="660"/>
    <col min="781" max="781" width="13.26953125" style="660" customWidth="1"/>
    <col min="782" max="1024" width="8.7265625" style="660"/>
    <col min="1025" max="1025" width="24.7265625" style="660" bestFit="1" customWidth="1"/>
    <col min="1026" max="1026" width="18.7265625" style="660" bestFit="1" customWidth="1"/>
    <col min="1027" max="1027" width="8.1796875" style="660" bestFit="1" customWidth="1"/>
    <col min="1028" max="1029" width="8.26953125" style="660" bestFit="1" customWidth="1"/>
    <col min="1030" max="1030" width="7.26953125" style="660" bestFit="1" customWidth="1"/>
    <col min="1031" max="1031" width="23.26953125" style="660" customWidth="1"/>
    <col min="1032" max="1032" width="17.1796875" style="660" bestFit="1" customWidth="1"/>
    <col min="1033" max="1033" width="23.26953125" style="660" customWidth="1"/>
    <col min="1034" max="1034" width="28.7265625" style="660" bestFit="1" customWidth="1"/>
    <col min="1035" max="1036" width="8.7265625" style="660"/>
    <col min="1037" max="1037" width="13.26953125" style="660" customWidth="1"/>
    <col min="1038" max="1280" width="8.7265625" style="660"/>
    <col min="1281" max="1281" width="24.7265625" style="660" bestFit="1" customWidth="1"/>
    <col min="1282" max="1282" width="18.7265625" style="660" bestFit="1" customWidth="1"/>
    <col min="1283" max="1283" width="8.1796875" style="660" bestFit="1" customWidth="1"/>
    <col min="1284" max="1285" width="8.26953125" style="660" bestFit="1" customWidth="1"/>
    <col min="1286" max="1286" width="7.26953125" style="660" bestFit="1" customWidth="1"/>
    <col min="1287" max="1287" width="23.26953125" style="660" customWidth="1"/>
    <col min="1288" max="1288" width="17.1796875" style="660" bestFit="1" customWidth="1"/>
    <col min="1289" max="1289" width="23.26953125" style="660" customWidth="1"/>
    <col min="1290" max="1290" width="28.7265625" style="660" bestFit="1" customWidth="1"/>
    <col min="1291" max="1292" width="8.7265625" style="660"/>
    <col min="1293" max="1293" width="13.26953125" style="660" customWidth="1"/>
    <col min="1294" max="1536" width="8.7265625" style="660"/>
    <col min="1537" max="1537" width="24.7265625" style="660" bestFit="1" customWidth="1"/>
    <col min="1538" max="1538" width="18.7265625" style="660" bestFit="1" customWidth="1"/>
    <col min="1539" max="1539" width="8.1796875" style="660" bestFit="1" customWidth="1"/>
    <col min="1540" max="1541" width="8.26953125" style="660" bestFit="1" customWidth="1"/>
    <col min="1542" max="1542" width="7.26953125" style="660" bestFit="1" customWidth="1"/>
    <col min="1543" max="1543" width="23.26953125" style="660" customWidth="1"/>
    <col min="1544" max="1544" width="17.1796875" style="660" bestFit="1" customWidth="1"/>
    <col min="1545" max="1545" width="23.26953125" style="660" customWidth="1"/>
    <col min="1546" max="1546" width="28.7265625" style="660" bestFit="1" customWidth="1"/>
    <col min="1547" max="1548" width="8.7265625" style="660"/>
    <col min="1549" max="1549" width="13.26953125" style="660" customWidth="1"/>
    <col min="1550" max="1792" width="8.7265625" style="660"/>
    <col min="1793" max="1793" width="24.7265625" style="660" bestFit="1" customWidth="1"/>
    <col min="1794" max="1794" width="18.7265625" style="660" bestFit="1" customWidth="1"/>
    <col min="1795" max="1795" width="8.1796875" style="660" bestFit="1" customWidth="1"/>
    <col min="1796" max="1797" width="8.26953125" style="660" bestFit="1" customWidth="1"/>
    <col min="1798" max="1798" width="7.26953125" style="660" bestFit="1" customWidth="1"/>
    <col min="1799" max="1799" width="23.26953125" style="660" customWidth="1"/>
    <col min="1800" max="1800" width="17.1796875" style="660" bestFit="1" customWidth="1"/>
    <col min="1801" max="1801" width="23.26953125" style="660" customWidth="1"/>
    <col min="1802" max="1802" width="28.7265625" style="660" bestFit="1" customWidth="1"/>
    <col min="1803" max="1804" width="8.7265625" style="660"/>
    <col min="1805" max="1805" width="13.26953125" style="660" customWidth="1"/>
    <col min="1806" max="2048" width="8.7265625" style="660"/>
    <col min="2049" max="2049" width="24.7265625" style="660" bestFit="1" customWidth="1"/>
    <col min="2050" max="2050" width="18.7265625" style="660" bestFit="1" customWidth="1"/>
    <col min="2051" max="2051" width="8.1796875" style="660" bestFit="1" customWidth="1"/>
    <col min="2052" max="2053" width="8.26953125" style="660" bestFit="1" customWidth="1"/>
    <col min="2054" max="2054" width="7.26953125" style="660" bestFit="1" customWidth="1"/>
    <col min="2055" max="2055" width="23.26953125" style="660" customWidth="1"/>
    <col min="2056" max="2056" width="17.1796875" style="660" bestFit="1" customWidth="1"/>
    <col min="2057" max="2057" width="23.26953125" style="660" customWidth="1"/>
    <col min="2058" max="2058" width="28.7265625" style="660" bestFit="1" customWidth="1"/>
    <col min="2059" max="2060" width="8.7265625" style="660"/>
    <col min="2061" max="2061" width="13.26953125" style="660" customWidth="1"/>
    <col min="2062" max="2304" width="8.7265625" style="660"/>
    <col min="2305" max="2305" width="24.7265625" style="660" bestFit="1" customWidth="1"/>
    <col min="2306" max="2306" width="18.7265625" style="660" bestFit="1" customWidth="1"/>
    <col min="2307" max="2307" width="8.1796875" style="660" bestFit="1" customWidth="1"/>
    <col min="2308" max="2309" width="8.26953125" style="660" bestFit="1" customWidth="1"/>
    <col min="2310" max="2310" width="7.26953125" style="660" bestFit="1" customWidth="1"/>
    <col min="2311" max="2311" width="23.26953125" style="660" customWidth="1"/>
    <col min="2312" max="2312" width="17.1796875" style="660" bestFit="1" customWidth="1"/>
    <col min="2313" max="2313" width="23.26953125" style="660" customWidth="1"/>
    <col min="2314" max="2314" width="28.7265625" style="660" bestFit="1" customWidth="1"/>
    <col min="2315" max="2316" width="8.7265625" style="660"/>
    <col min="2317" max="2317" width="13.26953125" style="660" customWidth="1"/>
    <col min="2318" max="2560" width="8.7265625" style="660"/>
    <col min="2561" max="2561" width="24.7265625" style="660" bestFit="1" customWidth="1"/>
    <col min="2562" max="2562" width="18.7265625" style="660" bestFit="1" customWidth="1"/>
    <col min="2563" max="2563" width="8.1796875" style="660" bestFit="1" customWidth="1"/>
    <col min="2564" max="2565" width="8.26953125" style="660" bestFit="1" customWidth="1"/>
    <col min="2566" max="2566" width="7.26953125" style="660" bestFit="1" customWidth="1"/>
    <col min="2567" max="2567" width="23.26953125" style="660" customWidth="1"/>
    <col min="2568" max="2568" width="17.1796875" style="660" bestFit="1" customWidth="1"/>
    <col min="2569" max="2569" width="23.26953125" style="660" customWidth="1"/>
    <col min="2570" max="2570" width="28.7265625" style="660" bestFit="1" customWidth="1"/>
    <col min="2571" max="2572" width="8.7265625" style="660"/>
    <col min="2573" max="2573" width="13.26953125" style="660" customWidth="1"/>
    <col min="2574" max="2816" width="8.7265625" style="660"/>
    <col min="2817" max="2817" width="24.7265625" style="660" bestFit="1" customWidth="1"/>
    <col min="2818" max="2818" width="18.7265625" style="660" bestFit="1" customWidth="1"/>
    <col min="2819" max="2819" width="8.1796875" style="660" bestFit="1" customWidth="1"/>
    <col min="2820" max="2821" width="8.26953125" style="660" bestFit="1" customWidth="1"/>
    <col min="2822" max="2822" width="7.26953125" style="660" bestFit="1" customWidth="1"/>
    <col min="2823" max="2823" width="23.26953125" style="660" customWidth="1"/>
    <col min="2824" max="2824" width="17.1796875" style="660" bestFit="1" customWidth="1"/>
    <col min="2825" max="2825" width="23.26953125" style="660" customWidth="1"/>
    <col min="2826" max="2826" width="28.7265625" style="660" bestFit="1" customWidth="1"/>
    <col min="2827" max="2828" width="8.7265625" style="660"/>
    <col min="2829" max="2829" width="13.26953125" style="660" customWidth="1"/>
    <col min="2830" max="3072" width="8.7265625" style="660"/>
    <col min="3073" max="3073" width="24.7265625" style="660" bestFit="1" customWidth="1"/>
    <col min="3074" max="3074" width="18.7265625" style="660" bestFit="1" customWidth="1"/>
    <col min="3075" max="3075" width="8.1796875" style="660" bestFit="1" customWidth="1"/>
    <col min="3076" max="3077" width="8.26953125" style="660" bestFit="1" customWidth="1"/>
    <col min="3078" max="3078" width="7.26953125" style="660" bestFit="1" customWidth="1"/>
    <col min="3079" max="3079" width="23.26953125" style="660" customWidth="1"/>
    <col min="3080" max="3080" width="17.1796875" style="660" bestFit="1" customWidth="1"/>
    <col min="3081" max="3081" width="23.26953125" style="660" customWidth="1"/>
    <col min="3082" max="3082" width="28.7265625" style="660" bestFit="1" customWidth="1"/>
    <col min="3083" max="3084" width="8.7265625" style="660"/>
    <col min="3085" max="3085" width="13.26953125" style="660" customWidth="1"/>
    <col min="3086" max="3328" width="8.7265625" style="660"/>
    <col min="3329" max="3329" width="24.7265625" style="660" bestFit="1" customWidth="1"/>
    <col min="3330" max="3330" width="18.7265625" style="660" bestFit="1" customWidth="1"/>
    <col min="3331" max="3331" width="8.1796875" style="660" bestFit="1" customWidth="1"/>
    <col min="3332" max="3333" width="8.26953125" style="660" bestFit="1" customWidth="1"/>
    <col min="3334" max="3334" width="7.26953125" style="660" bestFit="1" customWidth="1"/>
    <col min="3335" max="3335" width="23.26953125" style="660" customWidth="1"/>
    <col min="3336" max="3336" width="17.1796875" style="660" bestFit="1" customWidth="1"/>
    <col min="3337" max="3337" width="23.26953125" style="660" customWidth="1"/>
    <col min="3338" max="3338" width="28.7265625" style="660" bestFit="1" customWidth="1"/>
    <col min="3339" max="3340" width="8.7265625" style="660"/>
    <col min="3341" max="3341" width="13.26953125" style="660" customWidth="1"/>
    <col min="3342" max="3584" width="8.7265625" style="660"/>
    <col min="3585" max="3585" width="24.7265625" style="660" bestFit="1" customWidth="1"/>
    <col min="3586" max="3586" width="18.7265625" style="660" bestFit="1" customWidth="1"/>
    <col min="3587" max="3587" width="8.1796875" style="660" bestFit="1" customWidth="1"/>
    <col min="3588" max="3589" width="8.26953125" style="660" bestFit="1" customWidth="1"/>
    <col min="3590" max="3590" width="7.26953125" style="660" bestFit="1" customWidth="1"/>
    <col min="3591" max="3591" width="23.26953125" style="660" customWidth="1"/>
    <col min="3592" max="3592" width="17.1796875" style="660" bestFit="1" customWidth="1"/>
    <col min="3593" max="3593" width="23.26953125" style="660" customWidth="1"/>
    <col min="3594" max="3594" width="28.7265625" style="660" bestFit="1" customWidth="1"/>
    <col min="3595" max="3596" width="8.7265625" style="660"/>
    <col min="3597" max="3597" width="13.26953125" style="660" customWidth="1"/>
    <col min="3598" max="3840" width="8.7265625" style="660"/>
    <col min="3841" max="3841" width="24.7265625" style="660" bestFit="1" customWidth="1"/>
    <col min="3842" max="3842" width="18.7265625" style="660" bestFit="1" customWidth="1"/>
    <col min="3843" max="3843" width="8.1796875" style="660" bestFit="1" customWidth="1"/>
    <col min="3844" max="3845" width="8.26953125" style="660" bestFit="1" customWidth="1"/>
    <col min="3846" max="3846" width="7.26953125" style="660" bestFit="1" customWidth="1"/>
    <col min="3847" max="3847" width="23.26953125" style="660" customWidth="1"/>
    <col min="3848" max="3848" width="17.1796875" style="660" bestFit="1" customWidth="1"/>
    <col min="3849" max="3849" width="23.26953125" style="660" customWidth="1"/>
    <col min="3850" max="3850" width="28.7265625" style="660" bestFit="1" customWidth="1"/>
    <col min="3851" max="3852" width="8.7265625" style="660"/>
    <col min="3853" max="3853" width="13.26953125" style="660" customWidth="1"/>
    <col min="3854" max="4096" width="8.7265625" style="660"/>
    <col min="4097" max="4097" width="24.7265625" style="660" bestFit="1" customWidth="1"/>
    <col min="4098" max="4098" width="18.7265625" style="660" bestFit="1" customWidth="1"/>
    <col min="4099" max="4099" width="8.1796875" style="660" bestFit="1" customWidth="1"/>
    <col min="4100" max="4101" width="8.26953125" style="660" bestFit="1" customWidth="1"/>
    <col min="4102" max="4102" width="7.26953125" style="660" bestFit="1" customWidth="1"/>
    <col min="4103" max="4103" width="23.26953125" style="660" customWidth="1"/>
    <col min="4104" max="4104" width="17.1796875" style="660" bestFit="1" customWidth="1"/>
    <col min="4105" max="4105" width="23.26953125" style="660" customWidth="1"/>
    <col min="4106" max="4106" width="28.7265625" style="660" bestFit="1" customWidth="1"/>
    <col min="4107" max="4108" width="8.7265625" style="660"/>
    <col min="4109" max="4109" width="13.26953125" style="660" customWidth="1"/>
    <col min="4110" max="4352" width="8.7265625" style="660"/>
    <col min="4353" max="4353" width="24.7265625" style="660" bestFit="1" customWidth="1"/>
    <col min="4354" max="4354" width="18.7265625" style="660" bestFit="1" customWidth="1"/>
    <col min="4355" max="4355" width="8.1796875" style="660" bestFit="1" customWidth="1"/>
    <col min="4356" max="4357" width="8.26953125" style="660" bestFit="1" customWidth="1"/>
    <col min="4358" max="4358" width="7.26953125" style="660" bestFit="1" customWidth="1"/>
    <col min="4359" max="4359" width="23.26953125" style="660" customWidth="1"/>
    <col min="4360" max="4360" width="17.1796875" style="660" bestFit="1" customWidth="1"/>
    <col min="4361" max="4361" width="23.26953125" style="660" customWidth="1"/>
    <col min="4362" max="4362" width="28.7265625" style="660" bestFit="1" customWidth="1"/>
    <col min="4363" max="4364" width="8.7265625" style="660"/>
    <col min="4365" max="4365" width="13.26953125" style="660" customWidth="1"/>
    <col min="4366" max="4608" width="8.7265625" style="660"/>
    <col min="4609" max="4609" width="24.7265625" style="660" bestFit="1" customWidth="1"/>
    <col min="4610" max="4610" width="18.7265625" style="660" bestFit="1" customWidth="1"/>
    <col min="4611" max="4611" width="8.1796875" style="660" bestFit="1" customWidth="1"/>
    <col min="4612" max="4613" width="8.26953125" style="660" bestFit="1" customWidth="1"/>
    <col min="4614" max="4614" width="7.26953125" style="660" bestFit="1" customWidth="1"/>
    <col min="4615" max="4615" width="23.26953125" style="660" customWidth="1"/>
    <col min="4616" max="4616" width="17.1796875" style="660" bestFit="1" customWidth="1"/>
    <col min="4617" max="4617" width="23.26953125" style="660" customWidth="1"/>
    <col min="4618" max="4618" width="28.7265625" style="660" bestFit="1" customWidth="1"/>
    <col min="4619" max="4620" width="8.7265625" style="660"/>
    <col min="4621" max="4621" width="13.26953125" style="660" customWidth="1"/>
    <col min="4622" max="4864" width="8.7265625" style="660"/>
    <col min="4865" max="4865" width="24.7265625" style="660" bestFit="1" customWidth="1"/>
    <col min="4866" max="4866" width="18.7265625" style="660" bestFit="1" customWidth="1"/>
    <col min="4867" max="4867" width="8.1796875" style="660" bestFit="1" customWidth="1"/>
    <col min="4868" max="4869" width="8.26953125" style="660" bestFit="1" customWidth="1"/>
    <col min="4870" max="4870" width="7.26953125" style="660" bestFit="1" customWidth="1"/>
    <col min="4871" max="4871" width="23.26953125" style="660" customWidth="1"/>
    <col min="4872" max="4872" width="17.1796875" style="660" bestFit="1" customWidth="1"/>
    <col min="4873" max="4873" width="23.26953125" style="660" customWidth="1"/>
    <col min="4874" max="4874" width="28.7265625" style="660" bestFit="1" customWidth="1"/>
    <col min="4875" max="4876" width="8.7265625" style="660"/>
    <col min="4877" max="4877" width="13.26953125" style="660" customWidth="1"/>
    <col min="4878" max="5120" width="8.7265625" style="660"/>
    <col min="5121" max="5121" width="24.7265625" style="660" bestFit="1" customWidth="1"/>
    <col min="5122" max="5122" width="18.7265625" style="660" bestFit="1" customWidth="1"/>
    <col min="5123" max="5123" width="8.1796875" style="660" bestFit="1" customWidth="1"/>
    <col min="5124" max="5125" width="8.26953125" style="660" bestFit="1" customWidth="1"/>
    <col min="5126" max="5126" width="7.26953125" style="660" bestFit="1" customWidth="1"/>
    <col min="5127" max="5127" width="23.26953125" style="660" customWidth="1"/>
    <col min="5128" max="5128" width="17.1796875" style="660" bestFit="1" customWidth="1"/>
    <col min="5129" max="5129" width="23.26953125" style="660" customWidth="1"/>
    <col min="5130" max="5130" width="28.7265625" style="660" bestFit="1" customWidth="1"/>
    <col min="5131" max="5132" width="8.7265625" style="660"/>
    <col min="5133" max="5133" width="13.26953125" style="660" customWidth="1"/>
    <col min="5134" max="5376" width="8.7265625" style="660"/>
    <col min="5377" max="5377" width="24.7265625" style="660" bestFit="1" customWidth="1"/>
    <col min="5378" max="5378" width="18.7265625" style="660" bestFit="1" customWidth="1"/>
    <col min="5379" max="5379" width="8.1796875" style="660" bestFit="1" customWidth="1"/>
    <col min="5380" max="5381" width="8.26953125" style="660" bestFit="1" customWidth="1"/>
    <col min="5382" max="5382" width="7.26953125" style="660" bestFit="1" customWidth="1"/>
    <col min="5383" max="5383" width="23.26953125" style="660" customWidth="1"/>
    <col min="5384" max="5384" width="17.1796875" style="660" bestFit="1" customWidth="1"/>
    <col min="5385" max="5385" width="23.26953125" style="660" customWidth="1"/>
    <col min="5386" max="5386" width="28.7265625" style="660" bestFit="1" customWidth="1"/>
    <col min="5387" max="5388" width="8.7265625" style="660"/>
    <col min="5389" max="5389" width="13.26953125" style="660" customWidth="1"/>
    <col min="5390" max="5632" width="8.7265625" style="660"/>
    <col min="5633" max="5633" width="24.7265625" style="660" bestFit="1" customWidth="1"/>
    <col min="5634" max="5634" width="18.7265625" style="660" bestFit="1" customWidth="1"/>
    <col min="5635" max="5635" width="8.1796875" style="660" bestFit="1" customWidth="1"/>
    <col min="5636" max="5637" width="8.26953125" style="660" bestFit="1" customWidth="1"/>
    <col min="5638" max="5638" width="7.26953125" style="660" bestFit="1" customWidth="1"/>
    <col min="5639" max="5639" width="23.26953125" style="660" customWidth="1"/>
    <col min="5640" max="5640" width="17.1796875" style="660" bestFit="1" customWidth="1"/>
    <col min="5641" max="5641" width="23.26953125" style="660" customWidth="1"/>
    <col min="5642" max="5642" width="28.7265625" style="660" bestFit="1" customWidth="1"/>
    <col min="5643" max="5644" width="8.7265625" style="660"/>
    <col min="5645" max="5645" width="13.26953125" style="660" customWidth="1"/>
    <col min="5646" max="5888" width="8.7265625" style="660"/>
    <col min="5889" max="5889" width="24.7265625" style="660" bestFit="1" customWidth="1"/>
    <col min="5890" max="5890" width="18.7265625" style="660" bestFit="1" customWidth="1"/>
    <col min="5891" max="5891" width="8.1796875" style="660" bestFit="1" customWidth="1"/>
    <col min="5892" max="5893" width="8.26953125" style="660" bestFit="1" customWidth="1"/>
    <col min="5894" max="5894" width="7.26953125" style="660" bestFit="1" customWidth="1"/>
    <col min="5895" max="5895" width="23.26953125" style="660" customWidth="1"/>
    <col min="5896" max="5896" width="17.1796875" style="660" bestFit="1" customWidth="1"/>
    <col min="5897" max="5897" width="23.26953125" style="660" customWidth="1"/>
    <col min="5898" max="5898" width="28.7265625" style="660" bestFit="1" customWidth="1"/>
    <col min="5899" max="5900" width="8.7265625" style="660"/>
    <col min="5901" max="5901" width="13.26953125" style="660" customWidth="1"/>
    <col min="5902" max="6144" width="8.7265625" style="660"/>
    <col min="6145" max="6145" width="24.7265625" style="660" bestFit="1" customWidth="1"/>
    <col min="6146" max="6146" width="18.7265625" style="660" bestFit="1" customWidth="1"/>
    <col min="6147" max="6147" width="8.1796875" style="660" bestFit="1" customWidth="1"/>
    <col min="6148" max="6149" width="8.26953125" style="660" bestFit="1" customWidth="1"/>
    <col min="6150" max="6150" width="7.26953125" style="660" bestFit="1" customWidth="1"/>
    <col min="6151" max="6151" width="23.26953125" style="660" customWidth="1"/>
    <col min="6152" max="6152" width="17.1796875" style="660" bestFit="1" customWidth="1"/>
    <col min="6153" max="6153" width="23.26953125" style="660" customWidth="1"/>
    <col min="6154" max="6154" width="28.7265625" style="660" bestFit="1" customWidth="1"/>
    <col min="6155" max="6156" width="8.7265625" style="660"/>
    <col min="6157" max="6157" width="13.26953125" style="660" customWidth="1"/>
    <col min="6158" max="6400" width="8.7265625" style="660"/>
    <col min="6401" max="6401" width="24.7265625" style="660" bestFit="1" customWidth="1"/>
    <col min="6402" max="6402" width="18.7265625" style="660" bestFit="1" customWidth="1"/>
    <col min="6403" max="6403" width="8.1796875" style="660" bestFit="1" customWidth="1"/>
    <col min="6404" max="6405" width="8.26953125" style="660" bestFit="1" customWidth="1"/>
    <col min="6406" max="6406" width="7.26953125" style="660" bestFit="1" customWidth="1"/>
    <col min="6407" max="6407" width="23.26953125" style="660" customWidth="1"/>
    <col min="6408" max="6408" width="17.1796875" style="660" bestFit="1" customWidth="1"/>
    <col min="6409" max="6409" width="23.26953125" style="660" customWidth="1"/>
    <col min="6410" max="6410" width="28.7265625" style="660" bestFit="1" customWidth="1"/>
    <col min="6411" max="6412" width="8.7265625" style="660"/>
    <col min="6413" max="6413" width="13.26953125" style="660" customWidth="1"/>
    <col min="6414" max="6656" width="8.7265625" style="660"/>
    <col min="6657" max="6657" width="24.7265625" style="660" bestFit="1" customWidth="1"/>
    <col min="6658" max="6658" width="18.7265625" style="660" bestFit="1" customWidth="1"/>
    <col min="6659" max="6659" width="8.1796875" style="660" bestFit="1" customWidth="1"/>
    <col min="6660" max="6661" width="8.26953125" style="660" bestFit="1" customWidth="1"/>
    <col min="6662" max="6662" width="7.26953125" style="660" bestFit="1" customWidth="1"/>
    <col min="6663" max="6663" width="23.26953125" style="660" customWidth="1"/>
    <col min="6664" max="6664" width="17.1796875" style="660" bestFit="1" customWidth="1"/>
    <col min="6665" max="6665" width="23.26953125" style="660" customWidth="1"/>
    <col min="6666" max="6666" width="28.7265625" style="660" bestFit="1" customWidth="1"/>
    <col min="6667" max="6668" width="8.7265625" style="660"/>
    <col min="6669" max="6669" width="13.26953125" style="660" customWidth="1"/>
    <col min="6670" max="6912" width="8.7265625" style="660"/>
    <col min="6913" max="6913" width="24.7265625" style="660" bestFit="1" customWidth="1"/>
    <col min="6914" max="6914" width="18.7265625" style="660" bestFit="1" customWidth="1"/>
    <col min="6915" max="6915" width="8.1796875" style="660" bestFit="1" customWidth="1"/>
    <col min="6916" max="6917" width="8.26953125" style="660" bestFit="1" customWidth="1"/>
    <col min="6918" max="6918" width="7.26953125" style="660" bestFit="1" customWidth="1"/>
    <col min="6919" max="6919" width="23.26953125" style="660" customWidth="1"/>
    <col min="6920" max="6920" width="17.1796875" style="660" bestFit="1" customWidth="1"/>
    <col min="6921" max="6921" width="23.26953125" style="660" customWidth="1"/>
    <col min="6922" max="6922" width="28.7265625" style="660" bestFit="1" customWidth="1"/>
    <col min="6923" max="6924" width="8.7265625" style="660"/>
    <col min="6925" max="6925" width="13.26953125" style="660" customWidth="1"/>
    <col min="6926" max="7168" width="8.7265625" style="660"/>
    <col min="7169" max="7169" width="24.7265625" style="660" bestFit="1" customWidth="1"/>
    <col min="7170" max="7170" width="18.7265625" style="660" bestFit="1" customWidth="1"/>
    <col min="7171" max="7171" width="8.1796875" style="660" bestFit="1" customWidth="1"/>
    <col min="7172" max="7173" width="8.26953125" style="660" bestFit="1" customWidth="1"/>
    <col min="7174" max="7174" width="7.26953125" style="660" bestFit="1" customWidth="1"/>
    <col min="7175" max="7175" width="23.26953125" style="660" customWidth="1"/>
    <col min="7176" max="7176" width="17.1796875" style="660" bestFit="1" customWidth="1"/>
    <col min="7177" max="7177" width="23.26953125" style="660" customWidth="1"/>
    <col min="7178" max="7178" width="28.7265625" style="660" bestFit="1" customWidth="1"/>
    <col min="7179" max="7180" width="8.7265625" style="660"/>
    <col min="7181" max="7181" width="13.26953125" style="660" customWidth="1"/>
    <col min="7182" max="7424" width="8.7265625" style="660"/>
    <col min="7425" max="7425" width="24.7265625" style="660" bestFit="1" customWidth="1"/>
    <col min="7426" max="7426" width="18.7265625" style="660" bestFit="1" customWidth="1"/>
    <col min="7427" max="7427" width="8.1796875" style="660" bestFit="1" customWidth="1"/>
    <col min="7428" max="7429" width="8.26953125" style="660" bestFit="1" customWidth="1"/>
    <col min="7430" max="7430" width="7.26953125" style="660" bestFit="1" customWidth="1"/>
    <col min="7431" max="7431" width="23.26953125" style="660" customWidth="1"/>
    <col min="7432" max="7432" width="17.1796875" style="660" bestFit="1" customWidth="1"/>
    <col min="7433" max="7433" width="23.26953125" style="660" customWidth="1"/>
    <col min="7434" max="7434" width="28.7265625" style="660" bestFit="1" customWidth="1"/>
    <col min="7435" max="7436" width="8.7265625" style="660"/>
    <col min="7437" max="7437" width="13.26953125" style="660" customWidth="1"/>
    <col min="7438" max="7680" width="8.7265625" style="660"/>
    <col min="7681" max="7681" width="24.7265625" style="660" bestFit="1" customWidth="1"/>
    <col min="7682" max="7682" width="18.7265625" style="660" bestFit="1" customWidth="1"/>
    <col min="7683" max="7683" width="8.1796875" style="660" bestFit="1" customWidth="1"/>
    <col min="7684" max="7685" width="8.26953125" style="660" bestFit="1" customWidth="1"/>
    <col min="7686" max="7686" width="7.26953125" style="660" bestFit="1" customWidth="1"/>
    <col min="7687" max="7687" width="23.26953125" style="660" customWidth="1"/>
    <col min="7688" max="7688" width="17.1796875" style="660" bestFit="1" customWidth="1"/>
    <col min="7689" max="7689" width="23.26953125" style="660" customWidth="1"/>
    <col min="7690" max="7690" width="28.7265625" style="660" bestFit="1" customWidth="1"/>
    <col min="7691" max="7692" width="8.7265625" style="660"/>
    <col min="7693" max="7693" width="13.26953125" style="660" customWidth="1"/>
    <col min="7694" max="7936" width="8.7265625" style="660"/>
    <col min="7937" max="7937" width="24.7265625" style="660" bestFit="1" customWidth="1"/>
    <col min="7938" max="7938" width="18.7265625" style="660" bestFit="1" customWidth="1"/>
    <col min="7939" max="7939" width="8.1796875" style="660" bestFit="1" customWidth="1"/>
    <col min="7940" max="7941" width="8.26953125" style="660" bestFit="1" customWidth="1"/>
    <col min="7942" max="7942" width="7.26953125" style="660" bestFit="1" customWidth="1"/>
    <col min="7943" max="7943" width="23.26953125" style="660" customWidth="1"/>
    <col min="7944" max="7944" width="17.1796875" style="660" bestFit="1" customWidth="1"/>
    <col min="7945" max="7945" width="23.26953125" style="660" customWidth="1"/>
    <col min="7946" max="7946" width="28.7265625" style="660" bestFit="1" customWidth="1"/>
    <col min="7947" max="7948" width="8.7265625" style="660"/>
    <col min="7949" max="7949" width="13.26953125" style="660" customWidth="1"/>
    <col min="7950" max="8192" width="8.7265625" style="660"/>
    <col min="8193" max="8193" width="24.7265625" style="660" bestFit="1" customWidth="1"/>
    <col min="8194" max="8194" width="18.7265625" style="660" bestFit="1" customWidth="1"/>
    <col min="8195" max="8195" width="8.1796875" style="660" bestFit="1" customWidth="1"/>
    <col min="8196" max="8197" width="8.26953125" style="660" bestFit="1" customWidth="1"/>
    <col min="8198" max="8198" width="7.26953125" style="660" bestFit="1" customWidth="1"/>
    <col min="8199" max="8199" width="23.26953125" style="660" customWidth="1"/>
    <col min="8200" max="8200" width="17.1796875" style="660" bestFit="1" customWidth="1"/>
    <col min="8201" max="8201" width="23.26953125" style="660" customWidth="1"/>
    <col min="8202" max="8202" width="28.7265625" style="660" bestFit="1" customWidth="1"/>
    <col min="8203" max="8204" width="8.7265625" style="660"/>
    <col min="8205" max="8205" width="13.26953125" style="660" customWidth="1"/>
    <col min="8206" max="8448" width="8.7265625" style="660"/>
    <col min="8449" max="8449" width="24.7265625" style="660" bestFit="1" customWidth="1"/>
    <col min="8450" max="8450" width="18.7265625" style="660" bestFit="1" customWidth="1"/>
    <col min="8451" max="8451" width="8.1796875" style="660" bestFit="1" customWidth="1"/>
    <col min="8452" max="8453" width="8.26953125" style="660" bestFit="1" customWidth="1"/>
    <col min="8454" max="8454" width="7.26953125" style="660" bestFit="1" customWidth="1"/>
    <col min="8455" max="8455" width="23.26953125" style="660" customWidth="1"/>
    <col min="8456" max="8456" width="17.1796875" style="660" bestFit="1" customWidth="1"/>
    <col min="8457" max="8457" width="23.26953125" style="660" customWidth="1"/>
    <col min="8458" max="8458" width="28.7265625" style="660" bestFit="1" customWidth="1"/>
    <col min="8459" max="8460" width="8.7265625" style="660"/>
    <col min="8461" max="8461" width="13.26953125" style="660" customWidth="1"/>
    <col min="8462" max="8704" width="8.7265625" style="660"/>
    <col min="8705" max="8705" width="24.7265625" style="660" bestFit="1" customWidth="1"/>
    <col min="8706" max="8706" width="18.7265625" style="660" bestFit="1" customWidth="1"/>
    <col min="8707" max="8707" width="8.1796875" style="660" bestFit="1" customWidth="1"/>
    <col min="8708" max="8709" width="8.26953125" style="660" bestFit="1" customWidth="1"/>
    <col min="8710" max="8710" width="7.26953125" style="660" bestFit="1" customWidth="1"/>
    <col min="8711" max="8711" width="23.26953125" style="660" customWidth="1"/>
    <col min="8712" max="8712" width="17.1796875" style="660" bestFit="1" customWidth="1"/>
    <col min="8713" max="8713" width="23.26953125" style="660" customWidth="1"/>
    <col min="8714" max="8714" width="28.7265625" style="660" bestFit="1" customWidth="1"/>
    <col min="8715" max="8716" width="8.7265625" style="660"/>
    <col min="8717" max="8717" width="13.26953125" style="660" customWidth="1"/>
    <col min="8718" max="8960" width="8.7265625" style="660"/>
    <col min="8961" max="8961" width="24.7265625" style="660" bestFit="1" customWidth="1"/>
    <col min="8962" max="8962" width="18.7265625" style="660" bestFit="1" customWidth="1"/>
    <col min="8963" max="8963" width="8.1796875" style="660" bestFit="1" customWidth="1"/>
    <col min="8964" max="8965" width="8.26953125" style="660" bestFit="1" customWidth="1"/>
    <col min="8966" max="8966" width="7.26953125" style="660" bestFit="1" customWidth="1"/>
    <col min="8967" max="8967" width="23.26953125" style="660" customWidth="1"/>
    <col min="8968" max="8968" width="17.1796875" style="660" bestFit="1" customWidth="1"/>
    <col min="8969" max="8969" width="23.26953125" style="660" customWidth="1"/>
    <col min="8970" max="8970" width="28.7265625" style="660" bestFit="1" customWidth="1"/>
    <col min="8971" max="8972" width="8.7265625" style="660"/>
    <col min="8973" max="8973" width="13.26953125" style="660" customWidth="1"/>
    <col min="8974" max="9216" width="8.7265625" style="660"/>
    <col min="9217" max="9217" width="24.7265625" style="660" bestFit="1" customWidth="1"/>
    <col min="9218" max="9218" width="18.7265625" style="660" bestFit="1" customWidth="1"/>
    <col min="9219" max="9219" width="8.1796875" style="660" bestFit="1" customWidth="1"/>
    <col min="9220" max="9221" width="8.26953125" style="660" bestFit="1" customWidth="1"/>
    <col min="9222" max="9222" width="7.26953125" style="660" bestFit="1" customWidth="1"/>
    <col min="9223" max="9223" width="23.26953125" style="660" customWidth="1"/>
    <col min="9224" max="9224" width="17.1796875" style="660" bestFit="1" customWidth="1"/>
    <col min="9225" max="9225" width="23.26953125" style="660" customWidth="1"/>
    <col min="9226" max="9226" width="28.7265625" style="660" bestFit="1" customWidth="1"/>
    <col min="9227" max="9228" width="8.7265625" style="660"/>
    <col min="9229" max="9229" width="13.26953125" style="660" customWidth="1"/>
    <col min="9230" max="9472" width="8.7265625" style="660"/>
    <col min="9473" max="9473" width="24.7265625" style="660" bestFit="1" customWidth="1"/>
    <col min="9474" max="9474" width="18.7265625" style="660" bestFit="1" customWidth="1"/>
    <col min="9475" max="9475" width="8.1796875" style="660" bestFit="1" customWidth="1"/>
    <col min="9476" max="9477" width="8.26953125" style="660" bestFit="1" customWidth="1"/>
    <col min="9478" max="9478" width="7.26953125" style="660" bestFit="1" customWidth="1"/>
    <col min="9479" max="9479" width="23.26953125" style="660" customWidth="1"/>
    <col min="9480" max="9480" width="17.1796875" style="660" bestFit="1" customWidth="1"/>
    <col min="9481" max="9481" width="23.26953125" style="660" customWidth="1"/>
    <col min="9482" max="9482" width="28.7265625" style="660" bestFit="1" customWidth="1"/>
    <col min="9483" max="9484" width="8.7265625" style="660"/>
    <col min="9485" max="9485" width="13.26953125" style="660" customWidth="1"/>
    <col min="9486" max="9728" width="8.7265625" style="660"/>
    <col min="9729" max="9729" width="24.7265625" style="660" bestFit="1" customWidth="1"/>
    <col min="9730" max="9730" width="18.7265625" style="660" bestFit="1" customWidth="1"/>
    <col min="9731" max="9731" width="8.1796875" style="660" bestFit="1" customWidth="1"/>
    <col min="9732" max="9733" width="8.26953125" style="660" bestFit="1" customWidth="1"/>
    <col min="9734" max="9734" width="7.26953125" style="660" bestFit="1" customWidth="1"/>
    <col min="9735" max="9735" width="23.26953125" style="660" customWidth="1"/>
    <col min="9736" max="9736" width="17.1796875" style="660" bestFit="1" customWidth="1"/>
    <col min="9737" max="9737" width="23.26953125" style="660" customWidth="1"/>
    <col min="9738" max="9738" width="28.7265625" style="660" bestFit="1" customWidth="1"/>
    <col min="9739" max="9740" width="8.7265625" style="660"/>
    <col min="9741" max="9741" width="13.26953125" style="660" customWidth="1"/>
    <col min="9742" max="9984" width="8.7265625" style="660"/>
    <col min="9985" max="9985" width="24.7265625" style="660" bestFit="1" customWidth="1"/>
    <col min="9986" max="9986" width="18.7265625" style="660" bestFit="1" customWidth="1"/>
    <col min="9987" max="9987" width="8.1796875" style="660" bestFit="1" customWidth="1"/>
    <col min="9988" max="9989" width="8.26953125" style="660" bestFit="1" customWidth="1"/>
    <col min="9990" max="9990" width="7.26953125" style="660" bestFit="1" customWidth="1"/>
    <col min="9991" max="9991" width="23.26953125" style="660" customWidth="1"/>
    <col min="9992" max="9992" width="17.1796875" style="660" bestFit="1" customWidth="1"/>
    <col min="9993" max="9993" width="23.26953125" style="660" customWidth="1"/>
    <col min="9994" max="9994" width="28.7265625" style="660" bestFit="1" customWidth="1"/>
    <col min="9995" max="9996" width="8.7265625" style="660"/>
    <col min="9997" max="9997" width="13.26953125" style="660" customWidth="1"/>
    <col min="9998" max="10240" width="8.7265625" style="660"/>
    <col min="10241" max="10241" width="24.7265625" style="660" bestFit="1" customWidth="1"/>
    <col min="10242" max="10242" width="18.7265625" style="660" bestFit="1" customWidth="1"/>
    <col min="10243" max="10243" width="8.1796875" style="660" bestFit="1" customWidth="1"/>
    <col min="10244" max="10245" width="8.26953125" style="660" bestFit="1" customWidth="1"/>
    <col min="10246" max="10246" width="7.26953125" style="660" bestFit="1" customWidth="1"/>
    <col min="10247" max="10247" width="23.26953125" style="660" customWidth="1"/>
    <col min="10248" max="10248" width="17.1796875" style="660" bestFit="1" customWidth="1"/>
    <col min="10249" max="10249" width="23.26953125" style="660" customWidth="1"/>
    <col min="10250" max="10250" width="28.7265625" style="660" bestFit="1" customWidth="1"/>
    <col min="10251" max="10252" width="8.7265625" style="660"/>
    <col min="10253" max="10253" width="13.26953125" style="660" customWidth="1"/>
    <col min="10254" max="10496" width="8.7265625" style="660"/>
    <col min="10497" max="10497" width="24.7265625" style="660" bestFit="1" customWidth="1"/>
    <col min="10498" max="10498" width="18.7265625" style="660" bestFit="1" customWidth="1"/>
    <col min="10499" max="10499" width="8.1796875" style="660" bestFit="1" customWidth="1"/>
    <col min="10500" max="10501" width="8.26953125" style="660" bestFit="1" customWidth="1"/>
    <col min="10502" max="10502" width="7.26953125" style="660" bestFit="1" customWidth="1"/>
    <col min="10503" max="10503" width="23.26953125" style="660" customWidth="1"/>
    <col min="10504" max="10504" width="17.1796875" style="660" bestFit="1" customWidth="1"/>
    <col min="10505" max="10505" width="23.26953125" style="660" customWidth="1"/>
    <col min="10506" max="10506" width="28.7265625" style="660" bestFit="1" customWidth="1"/>
    <col min="10507" max="10508" width="8.7265625" style="660"/>
    <col min="10509" max="10509" width="13.26953125" style="660" customWidth="1"/>
    <col min="10510" max="10752" width="8.7265625" style="660"/>
    <col min="10753" max="10753" width="24.7265625" style="660" bestFit="1" customWidth="1"/>
    <col min="10754" max="10754" width="18.7265625" style="660" bestFit="1" customWidth="1"/>
    <col min="10755" max="10755" width="8.1796875" style="660" bestFit="1" customWidth="1"/>
    <col min="10756" max="10757" width="8.26953125" style="660" bestFit="1" customWidth="1"/>
    <col min="10758" max="10758" width="7.26953125" style="660" bestFit="1" customWidth="1"/>
    <col min="10759" max="10759" width="23.26953125" style="660" customWidth="1"/>
    <col min="10760" max="10760" width="17.1796875" style="660" bestFit="1" customWidth="1"/>
    <col min="10761" max="10761" width="23.26953125" style="660" customWidth="1"/>
    <col min="10762" max="10762" width="28.7265625" style="660" bestFit="1" customWidth="1"/>
    <col min="10763" max="10764" width="8.7265625" style="660"/>
    <col min="10765" max="10765" width="13.26953125" style="660" customWidth="1"/>
    <col min="10766" max="11008" width="8.7265625" style="660"/>
    <col min="11009" max="11009" width="24.7265625" style="660" bestFit="1" customWidth="1"/>
    <col min="11010" max="11010" width="18.7265625" style="660" bestFit="1" customWidth="1"/>
    <col min="11011" max="11011" width="8.1796875" style="660" bestFit="1" customWidth="1"/>
    <col min="11012" max="11013" width="8.26953125" style="660" bestFit="1" customWidth="1"/>
    <col min="11014" max="11014" width="7.26953125" style="660" bestFit="1" customWidth="1"/>
    <col min="11015" max="11015" width="23.26953125" style="660" customWidth="1"/>
    <col min="11016" max="11016" width="17.1796875" style="660" bestFit="1" customWidth="1"/>
    <col min="11017" max="11017" width="23.26953125" style="660" customWidth="1"/>
    <col min="11018" max="11018" width="28.7265625" style="660" bestFit="1" customWidth="1"/>
    <col min="11019" max="11020" width="8.7265625" style="660"/>
    <col min="11021" max="11021" width="13.26953125" style="660" customWidth="1"/>
    <col min="11022" max="11264" width="8.7265625" style="660"/>
    <col min="11265" max="11265" width="24.7265625" style="660" bestFit="1" customWidth="1"/>
    <col min="11266" max="11266" width="18.7265625" style="660" bestFit="1" customWidth="1"/>
    <col min="11267" max="11267" width="8.1796875" style="660" bestFit="1" customWidth="1"/>
    <col min="11268" max="11269" width="8.26953125" style="660" bestFit="1" customWidth="1"/>
    <col min="11270" max="11270" width="7.26953125" style="660" bestFit="1" customWidth="1"/>
    <col min="11271" max="11271" width="23.26953125" style="660" customWidth="1"/>
    <col min="11272" max="11272" width="17.1796875" style="660" bestFit="1" customWidth="1"/>
    <col min="11273" max="11273" width="23.26953125" style="660" customWidth="1"/>
    <col min="11274" max="11274" width="28.7265625" style="660" bestFit="1" customWidth="1"/>
    <col min="11275" max="11276" width="8.7265625" style="660"/>
    <col min="11277" max="11277" width="13.26953125" style="660" customWidth="1"/>
    <col min="11278" max="11520" width="8.7265625" style="660"/>
    <col min="11521" max="11521" width="24.7265625" style="660" bestFit="1" customWidth="1"/>
    <col min="11522" max="11522" width="18.7265625" style="660" bestFit="1" customWidth="1"/>
    <col min="11523" max="11523" width="8.1796875" style="660" bestFit="1" customWidth="1"/>
    <col min="11524" max="11525" width="8.26953125" style="660" bestFit="1" customWidth="1"/>
    <col min="11526" max="11526" width="7.26953125" style="660" bestFit="1" customWidth="1"/>
    <col min="11527" max="11527" width="23.26953125" style="660" customWidth="1"/>
    <col min="11528" max="11528" width="17.1796875" style="660" bestFit="1" customWidth="1"/>
    <col min="11529" max="11529" width="23.26953125" style="660" customWidth="1"/>
    <col min="11530" max="11530" width="28.7265625" style="660" bestFit="1" customWidth="1"/>
    <col min="11531" max="11532" width="8.7265625" style="660"/>
    <col min="11533" max="11533" width="13.26953125" style="660" customWidth="1"/>
    <col min="11534" max="11776" width="8.7265625" style="660"/>
    <col min="11777" max="11777" width="24.7265625" style="660" bestFit="1" customWidth="1"/>
    <col min="11778" max="11778" width="18.7265625" style="660" bestFit="1" customWidth="1"/>
    <col min="11779" max="11779" width="8.1796875" style="660" bestFit="1" customWidth="1"/>
    <col min="11780" max="11781" width="8.26953125" style="660" bestFit="1" customWidth="1"/>
    <col min="11782" max="11782" width="7.26953125" style="660" bestFit="1" customWidth="1"/>
    <col min="11783" max="11783" width="23.26953125" style="660" customWidth="1"/>
    <col min="11784" max="11784" width="17.1796875" style="660" bestFit="1" customWidth="1"/>
    <col min="11785" max="11785" width="23.26953125" style="660" customWidth="1"/>
    <col min="11786" max="11786" width="28.7265625" style="660" bestFit="1" customWidth="1"/>
    <col min="11787" max="11788" width="8.7265625" style="660"/>
    <col min="11789" max="11789" width="13.26953125" style="660" customWidth="1"/>
    <col min="11790" max="12032" width="8.7265625" style="660"/>
    <col min="12033" max="12033" width="24.7265625" style="660" bestFit="1" customWidth="1"/>
    <col min="12034" max="12034" width="18.7265625" style="660" bestFit="1" customWidth="1"/>
    <col min="12035" max="12035" width="8.1796875" style="660" bestFit="1" customWidth="1"/>
    <col min="12036" max="12037" width="8.26953125" style="660" bestFit="1" customWidth="1"/>
    <col min="12038" max="12038" width="7.26953125" style="660" bestFit="1" customWidth="1"/>
    <col min="12039" max="12039" width="23.26953125" style="660" customWidth="1"/>
    <col min="12040" max="12040" width="17.1796875" style="660" bestFit="1" customWidth="1"/>
    <col min="12041" max="12041" width="23.26953125" style="660" customWidth="1"/>
    <col min="12042" max="12042" width="28.7265625" style="660" bestFit="1" customWidth="1"/>
    <col min="12043" max="12044" width="8.7265625" style="660"/>
    <col min="12045" max="12045" width="13.26953125" style="660" customWidth="1"/>
    <col min="12046" max="12288" width="8.7265625" style="660"/>
    <col min="12289" max="12289" width="24.7265625" style="660" bestFit="1" customWidth="1"/>
    <col min="12290" max="12290" width="18.7265625" style="660" bestFit="1" customWidth="1"/>
    <col min="12291" max="12291" width="8.1796875" style="660" bestFit="1" customWidth="1"/>
    <col min="12292" max="12293" width="8.26953125" style="660" bestFit="1" customWidth="1"/>
    <col min="12294" max="12294" width="7.26953125" style="660" bestFit="1" customWidth="1"/>
    <col min="12295" max="12295" width="23.26953125" style="660" customWidth="1"/>
    <col min="12296" max="12296" width="17.1796875" style="660" bestFit="1" customWidth="1"/>
    <col min="12297" max="12297" width="23.26953125" style="660" customWidth="1"/>
    <col min="12298" max="12298" width="28.7265625" style="660" bestFit="1" customWidth="1"/>
    <col min="12299" max="12300" width="8.7265625" style="660"/>
    <col min="12301" max="12301" width="13.26953125" style="660" customWidth="1"/>
    <col min="12302" max="12544" width="8.7265625" style="660"/>
    <col min="12545" max="12545" width="24.7265625" style="660" bestFit="1" customWidth="1"/>
    <col min="12546" max="12546" width="18.7265625" style="660" bestFit="1" customWidth="1"/>
    <col min="12547" max="12547" width="8.1796875" style="660" bestFit="1" customWidth="1"/>
    <col min="12548" max="12549" width="8.26953125" style="660" bestFit="1" customWidth="1"/>
    <col min="12550" max="12550" width="7.26953125" style="660" bestFit="1" customWidth="1"/>
    <col min="12551" max="12551" width="23.26953125" style="660" customWidth="1"/>
    <col min="12552" max="12552" width="17.1796875" style="660" bestFit="1" customWidth="1"/>
    <col min="12553" max="12553" width="23.26953125" style="660" customWidth="1"/>
    <col min="12554" max="12554" width="28.7265625" style="660" bestFit="1" customWidth="1"/>
    <col min="12555" max="12556" width="8.7265625" style="660"/>
    <col min="12557" max="12557" width="13.26953125" style="660" customWidth="1"/>
    <col min="12558" max="12800" width="8.7265625" style="660"/>
    <col min="12801" max="12801" width="24.7265625" style="660" bestFit="1" customWidth="1"/>
    <col min="12802" max="12802" width="18.7265625" style="660" bestFit="1" customWidth="1"/>
    <col min="12803" max="12803" width="8.1796875" style="660" bestFit="1" customWidth="1"/>
    <col min="12804" max="12805" width="8.26953125" style="660" bestFit="1" customWidth="1"/>
    <col min="12806" max="12806" width="7.26953125" style="660" bestFit="1" customWidth="1"/>
    <col min="12807" max="12807" width="23.26953125" style="660" customWidth="1"/>
    <col min="12808" max="12808" width="17.1796875" style="660" bestFit="1" customWidth="1"/>
    <col min="12809" max="12809" width="23.26953125" style="660" customWidth="1"/>
    <col min="12810" max="12810" width="28.7265625" style="660" bestFit="1" customWidth="1"/>
    <col min="12811" max="12812" width="8.7265625" style="660"/>
    <col min="12813" max="12813" width="13.26953125" style="660" customWidth="1"/>
    <col min="12814" max="13056" width="8.7265625" style="660"/>
    <col min="13057" max="13057" width="24.7265625" style="660" bestFit="1" customWidth="1"/>
    <col min="13058" max="13058" width="18.7265625" style="660" bestFit="1" customWidth="1"/>
    <col min="13059" max="13059" width="8.1796875" style="660" bestFit="1" customWidth="1"/>
    <col min="13060" max="13061" width="8.26953125" style="660" bestFit="1" customWidth="1"/>
    <col min="13062" max="13062" width="7.26953125" style="660" bestFit="1" customWidth="1"/>
    <col min="13063" max="13063" width="23.26953125" style="660" customWidth="1"/>
    <col min="13064" max="13064" width="17.1796875" style="660" bestFit="1" customWidth="1"/>
    <col min="13065" max="13065" width="23.26953125" style="660" customWidth="1"/>
    <col min="13066" max="13066" width="28.7265625" style="660" bestFit="1" customWidth="1"/>
    <col min="13067" max="13068" width="8.7265625" style="660"/>
    <col min="13069" max="13069" width="13.26953125" style="660" customWidth="1"/>
    <col min="13070" max="13312" width="8.7265625" style="660"/>
    <col min="13313" max="13313" width="24.7265625" style="660" bestFit="1" customWidth="1"/>
    <col min="13314" max="13314" width="18.7265625" style="660" bestFit="1" customWidth="1"/>
    <col min="13315" max="13315" width="8.1796875" style="660" bestFit="1" customWidth="1"/>
    <col min="13316" max="13317" width="8.26953125" style="660" bestFit="1" customWidth="1"/>
    <col min="13318" max="13318" width="7.26953125" style="660" bestFit="1" customWidth="1"/>
    <col min="13319" max="13319" width="23.26953125" style="660" customWidth="1"/>
    <col min="13320" max="13320" width="17.1796875" style="660" bestFit="1" customWidth="1"/>
    <col min="13321" max="13321" width="23.26953125" style="660" customWidth="1"/>
    <col min="13322" max="13322" width="28.7265625" style="660" bestFit="1" customWidth="1"/>
    <col min="13323" max="13324" width="8.7265625" style="660"/>
    <col min="13325" max="13325" width="13.26953125" style="660" customWidth="1"/>
    <col min="13326" max="13568" width="8.7265625" style="660"/>
    <col min="13569" max="13569" width="24.7265625" style="660" bestFit="1" customWidth="1"/>
    <col min="13570" max="13570" width="18.7265625" style="660" bestFit="1" customWidth="1"/>
    <col min="13571" max="13571" width="8.1796875" style="660" bestFit="1" customWidth="1"/>
    <col min="13572" max="13573" width="8.26953125" style="660" bestFit="1" customWidth="1"/>
    <col min="13574" max="13574" width="7.26953125" style="660" bestFit="1" customWidth="1"/>
    <col min="13575" max="13575" width="23.26953125" style="660" customWidth="1"/>
    <col min="13576" max="13576" width="17.1796875" style="660" bestFit="1" customWidth="1"/>
    <col min="13577" max="13577" width="23.26953125" style="660" customWidth="1"/>
    <col min="13578" max="13578" width="28.7265625" style="660" bestFit="1" customWidth="1"/>
    <col min="13579" max="13580" width="8.7265625" style="660"/>
    <col min="13581" max="13581" width="13.26953125" style="660" customWidth="1"/>
    <col min="13582" max="13824" width="8.7265625" style="660"/>
    <col min="13825" max="13825" width="24.7265625" style="660" bestFit="1" customWidth="1"/>
    <col min="13826" max="13826" width="18.7265625" style="660" bestFit="1" customWidth="1"/>
    <col min="13827" max="13827" width="8.1796875" style="660" bestFit="1" customWidth="1"/>
    <col min="13828" max="13829" width="8.26953125" style="660" bestFit="1" customWidth="1"/>
    <col min="13830" max="13830" width="7.26953125" style="660" bestFit="1" customWidth="1"/>
    <col min="13831" max="13831" width="23.26953125" style="660" customWidth="1"/>
    <col min="13832" max="13832" width="17.1796875" style="660" bestFit="1" customWidth="1"/>
    <col min="13833" max="13833" width="23.26953125" style="660" customWidth="1"/>
    <col min="13834" max="13834" width="28.7265625" style="660" bestFit="1" customWidth="1"/>
    <col min="13835" max="13836" width="8.7265625" style="660"/>
    <col min="13837" max="13837" width="13.26953125" style="660" customWidth="1"/>
    <col min="13838" max="14080" width="8.7265625" style="660"/>
    <col min="14081" max="14081" width="24.7265625" style="660" bestFit="1" customWidth="1"/>
    <col min="14082" max="14082" width="18.7265625" style="660" bestFit="1" customWidth="1"/>
    <col min="14083" max="14083" width="8.1796875" style="660" bestFit="1" customWidth="1"/>
    <col min="14084" max="14085" width="8.26953125" style="660" bestFit="1" customWidth="1"/>
    <col min="14086" max="14086" width="7.26953125" style="660" bestFit="1" customWidth="1"/>
    <col min="14087" max="14087" width="23.26953125" style="660" customWidth="1"/>
    <col min="14088" max="14088" width="17.1796875" style="660" bestFit="1" customWidth="1"/>
    <col min="14089" max="14089" width="23.26953125" style="660" customWidth="1"/>
    <col min="14090" max="14090" width="28.7265625" style="660" bestFit="1" customWidth="1"/>
    <col min="14091" max="14092" width="8.7265625" style="660"/>
    <col min="14093" max="14093" width="13.26953125" style="660" customWidth="1"/>
    <col min="14094" max="14336" width="8.7265625" style="660"/>
    <col min="14337" max="14337" width="24.7265625" style="660" bestFit="1" customWidth="1"/>
    <col min="14338" max="14338" width="18.7265625" style="660" bestFit="1" customWidth="1"/>
    <col min="14339" max="14339" width="8.1796875" style="660" bestFit="1" customWidth="1"/>
    <col min="14340" max="14341" width="8.26953125" style="660" bestFit="1" customWidth="1"/>
    <col min="14342" max="14342" width="7.26953125" style="660" bestFit="1" customWidth="1"/>
    <col min="14343" max="14343" width="23.26953125" style="660" customWidth="1"/>
    <col min="14344" max="14344" width="17.1796875" style="660" bestFit="1" customWidth="1"/>
    <col min="14345" max="14345" width="23.26953125" style="660" customWidth="1"/>
    <col min="14346" max="14346" width="28.7265625" style="660" bestFit="1" customWidth="1"/>
    <col min="14347" max="14348" width="8.7265625" style="660"/>
    <col min="14349" max="14349" width="13.26953125" style="660" customWidth="1"/>
    <col min="14350" max="14592" width="8.7265625" style="660"/>
    <col min="14593" max="14593" width="24.7265625" style="660" bestFit="1" customWidth="1"/>
    <col min="14594" max="14594" width="18.7265625" style="660" bestFit="1" customWidth="1"/>
    <col min="14595" max="14595" width="8.1796875" style="660" bestFit="1" customWidth="1"/>
    <col min="14596" max="14597" width="8.26953125" style="660" bestFit="1" customWidth="1"/>
    <col min="14598" max="14598" width="7.26953125" style="660" bestFit="1" customWidth="1"/>
    <col min="14599" max="14599" width="23.26953125" style="660" customWidth="1"/>
    <col min="14600" max="14600" width="17.1796875" style="660" bestFit="1" customWidth="1"/>
    <col min="14601" max="14601" width="23.26953125" style="660" customWidth="1"/>
    <col min="14602" max="14602" width="28.7265625" style="660" bestFit="1" customWidth="1"/>
    <col min="14603" max="14604" width="8.7265625" style="660"/>
    <col min="14605" max="14605" width="13.26953125" style="660" customWidth="1"/>
    <col min="14606" max="14848" width="8.7265625" style="660"/>
    <col min="14849" max="14849" width="24.7265625" style="660" bestFit="1" customWidth="1"/>
    <col min="14850" max="14850" width="18.7265625" style="660" bestFit="1" customWidth="1"/>
    <col min="14851" max="14851" width="8.1796875" style="660" bestFit="1" customWidth="1"/>
    <col min="14852" max="14853" width="8.26953125" style="660" bestFit="1" customWidth="1"/>
    <col min="14854" max="14854" width="7.26953125" style="660" bestFit="1" customWidth="1"/>
    <col min="14855" max="14855" width="23.26953125" style="660" customWidth="1"/>
    <col min="14856" max="14856" width="17.1796875" style="660" bestFit="1" customWidth="1"/>
    <col min="14857" max="14857" width="23.26953125" style="660" customWidth="1"/>
    <col min="14858" max="14858" width="28.7265625" style="660" bestFit="1" customWidth="1"/>
    <col min="14859" max="14860" width="8.7265625" style="660"/>
    <col min="14861" max="14861" width="13.26953125" style="660" customWidth="1"/>
    <col min="14862" max="15104" width="8.7265625" style="660"/>
    <col min="15105" max="15105" width="24.7265625" style="660" bestFit="1" customWidth="1"/>
    <col min="15106" max="15106" width="18.7265625" style="660" bestFit="1" customWidth="1"/>
    <col min="15107" max="15107" width="8.1796875" style="660" bestFit="1" customWidth="1"/>
    <col min="15108" max="15109" width="8.26953125" style="660" bestFit="1" customWidth="1"/>
    <col min="15110" max="15110" width="7.26953125" style="660" bestFit="1" customWidth="1"/>
    <col min="15111" max="15111" width="23.26953125" style="660" customWidth="1"/>
    <col min="15112" max="15112" width="17.1796875" style="660" bestFit="1" customWidth="1"/>
    <col min="15113" max="15113" width="23.26953125" style="660" customWidth="1"/>
    <col min="15114" max="15114" width="28.7265625" style="660" bestFit="1" customWidth="1"/>
    <col min="15115" max="15116" width="8.7265625" style="660"/>
    <col min="15117" max="15117" width="13.26953125" style="660" customWidth="1"/>
    <col min="15118" max="15360" width="8.7265625" style="660"/>
    <col min="15361" max="15361" width="24.7265625" style="660" bestFit="1" customWidth="1"/>
    <col min="15362" max="15362" width="18.7265625" style="660" bestFit="1" customWidth="1"/>
    <col min="15363" max="15363" width="8.1796875" style="660" bestFit="1" customWidth="1"/>
    <col min="15364" max="15365" width="8.26953125" style="660" bestFit="1" customWidth="1"/>
    <col min="15366" max="15366" width="7.26953125" style="660" bestFit="1" customWidth="1"/>
    <col min="15367" max="15367" width="23.26953125" style="660" customWidth="1"/>
    <col min="15368" max="15368" width="17.1796875" style="660" bestFit="1" customWidth="1"/>
    <col min="15369" max="15369" width="23.26953125" style="660" customWidth="1"/>
    <col min="15370" max="15370" width="28.7265625" style="660" bestFit="1" customWidth="1"/>
    <col min="15371" max="15372" width="8.7265625" style="660"/>
    <col min="15373" max="15373" width="13.26953125" style="660" customWidth="1"/>
    <col min="15374" max="15616" width="8.7265625" style="660"/>
    <col min="15617" max="15617" width="24.7265625" style="660" bestFit="1" customWidth="1"/>
    <col min="15618" max="15618" width="18.7265625" style="660" bestFit="1" customWidth="1"/>
    <col min="15619" max="15619" width="8.1796875" style="660" bestFit="1" customWidth="1"/>
    <col min="15620" max="15621" width="8.26953125" style="660" bestFit="1" customWidth="1"/>
    <col min="15622" max="15622" width="7.26953125" style="660" bestFit="1" customWidth="1"/>
    <col min="15623" max="15623" width="23.26953125" style="660" customWidth="1"/>
    <col min="15624" max="15624" width="17.1796875" style="660" bestFit="1" customWidth="1"/>
    <col min="15625" max="15625" width="23.26953125" style="660" customWidth="1"/>
    <col min="15626" max="15626" width="28.7265625" style="660" bestFit="1" customWidth="1"/>
    <col min="15627" max="15628" width="8.7265625" style="660"/>
    <col min="15629" max="15629" width="13.26953125" style="660" customWidth="1"/>
    <col min="15630" max="15872" width="8.7265625" style="660"/>
    <col min="15873" max="15873" width="24.7265625" style="660" bestFit="1" customWidth="1"/>
    <col min="15874" max="15874" width="18.7265625" style="660" bestFit="1" customWidth="1"/>
    <col min="15875" max="15875" width="8.1796875" style="660" bestFit="1" customWidth="1"/>
    <col min="15876" max="15877" width="8.26953125" style="660" bestFit="1" customWidth="1"/>
    <col min="15878" max="15878" width="7.26953125" style="660" bestFit="1" customWidth="1"/>
    <col min="15879" max="15879" width="23.26953125" style="660" customWidth="1"/>
    <col min="15880" max="15880" width="17.1796875" style="660" bestFit="1" customWidth="1"/>
    <col min="15881" max="15881" width="23.26953125" style="660" customWidth="1"/>
    <col min="15882" max="15882" width="28.7265625" style="660" bestFit="1" customWidth="1"/>
    <col min="15883" max="15884" width="8.7265625" style="660"/>
    <col min="15885" max="15885" width="13.26953125" style="660" customWidth="1"/>
    <col min="15886" max="16128" width="8.7265625" style="660"/>
    <col min="16129" max="16129" width="24.7265625" style="660" bestFit="1" customWidth="1"/>
    <col min="16130" max="16130" width="18.7265625" style="660" bestFit="1" customWidth="1"/>
    <col min="16131" max="16131" width="8.1796875" style="660" bestFit="1" customWidth="1"/>
    <col min="16132" max="16133" width="8.26953125" style="660" bestFit="1" customWidth="1"/>
    <col min="16134" max="16134" width="7.26953125" style="660" bestFit="1" customWidth="1"/>
    <col min="16135" max="16135" width="23.26953125" style="660" customWidth="1"/>
    <col min="16136" max="16136" width="17.1796875" style="660" bestFit="1" customWidth="1"/>
    <col min="16137" max="16137" width="23.26953125" style="660" customWidth="1"/>
    <col min="16138" max="16138" width="28.7265625" style="660" bestFit="1" customWidth="1"/>
    <col min="16139" max="16140" width="8.7265625" style="660"/>
    <col min="16141" max="16141" width="13.26953125" style="660" customWidth="1"/>
    <col min="16142" max="16384" width="8.7265625" style="660"/>
  </cols>
  <sheetData>
    <row r="1" spans="1:14" s="653" customFormat="1" ht="57.75" customHeight="1">
      <c r="A1" s="649" t="s">
        <v>0</v>
      </c>
      <c r="B1" s="650" t="s">
        <v>1</v>
      </c>
      <c r="C1" s="650" t="s">
        <v>2</v>
      </c>
      <c r="D1" s="650" t="s">
        <v>3</v>
      </c>
      <c r="E1" s="650" t="s">
        <v>4</v>
      </c>
      <c r="F1" s="650" t="s">
        <v>5</v>
      </c>
      <c r="G1" s="650" t="s">
        <v>6</v>
      </c>
      <c r="H1" s="650" t="s">
        <v>7</v>
      </c>
      <c r="I1" s="650" t="s">
        <v>8</v>
      </c>
      <c r="J1" s="650" t="s">
        <v>9</v>
      </c>
      <c r="K1" s="650" t="s">
        <v>10</v>
      </c>
      <c r="L1" s="650" t="s">
        <v>11</v>
      </c>
      <c r="M1" s="651" t="s">
        <v>12</v>
      </c>
      <c r="N1" s="652" t="s">
        <v>508</v>
      </c>
    </row>
    <row r="2" spans="1:14" ht="20">
      <c r="A2" s="654" t="s">
        <v>3116</v>
      </c>
      <c r="B2" s="655" t="s">
        <v>14</v>
      </c>
      <c r="C2" s="655" t="s">
        <v>15</v>
      </c>
      <c r="D2" s="655">
        <v>1</v>
      </c>
      <c r="E2" s="655" t="e">
        <f>#REF!</f>
        <v>#REF!</v>
      </c>
      <c r="F2" s="655">
        <f>SUM(F3:F7)</f>
        <v>49</v>
      </c>
      <c r="G2" s="656" t="s">
        <v>289</v>
      </c>
      <c r="H2" s="657"/>
      <c r="I2" s="657"/>
      <c r="J2" s="655"/>
      <c r="K2" s="655"/>
      <c r="L2" s="655"/>
      <c r="M2" s="658" t="s">
        <v>290</v>
      </c>
      <c r="N2" s="659"/>
    </row>
    <row r="3" spans="1:14" ht="21">
      <c r="A3" s="661" t="s">
        <v>17</v>
      </c>
      <c r="B3" s="662" t="s">
        <v>18</v>
      </c>
      <c r="C3" s="663">
        <v>1</v>
      </c>
      <c r="D3" s="663">
        <v>1</v>
      </c>
      <c r="E3" s="663">
        <f>D3+F3-1</f>
        <v>1</v>
      </c>
      <c r="F3" s="663">
        <v>1</v>
      </c>
      <c r="G3" s="664" t="s">
        <v>19</v>
      </c>
      <c r="H3" s="664"/>
      <c r="I3" s="664"/>
      <c r="J3" s="663"/>
      <c r="K3" s="663"/>
      <c r="L3" s="663"/>
      <c r="M3" s="658" t="s">
        <v>290</v>
      </c>
      <c r="N3" s="659"/>
    </row>
    <row r="4" spans="1:14" s="497" customFormat="1" ht="12.5">
      <c r="A4" s="64" t="s">
        <v>21</v>
      </c>
      <c r="B4" s="264" t="s">
        <v>22</v>
      </c>
      <c r="C4" s="19">
        <v>2</v>
      </c>
      <c r="D4" s="19">
        <f>E3+1</f>
        <v>2</v>
      </c>
      <c r="E4" s="19">
        <f>D4+F4-1</f>
        <v>16</v>
      </c>
      <c r="F4" s="19">
        <v>15</v>
      </c>
      <c r="G4" s="180" t="s">
        <v>3117</v>
      </c>
      <c r="H4" s="180"/>
      <c r="I4" s="180"/>
      <c r="J4" s="494"/>
      <c r="K4" s="494"/>
      <c r="L4" s="494"/>
      <c r="M4" s="495"/>
      <c r="N4" s="496"/>
    </row>
    <row r="5" spans="1:14" s="497" customFormat="1" ht="12.5">
      <c r="A5" s="64" t="s">
        <v>24</v>
      </c>
      <c r="B5" s="264" t="s">
        <v>25</v>
      </c>
      <c r="C5" s="19">
        <v>3</v>
      </c>
      <c r="D5" s="19">
        <f>E4+1</f>
        <v>17</v>
      </c>
      <c r="E5" s="19">
        <f>D5+F5-1</f>
        <v>26</v>
      </c>
      <c r="F5" s="19">
        <v>10</v>
      </c>
      <c r="G5" s="180" t="s">
        <v>26</v>
      </c>
      <c r="H5" s="180"/>
      <c r="I5" s="180"/>
      <c r="J5" s="494"/>
      <c r="K5" s="494"/>
      <c r="L5" s="494"/>
      <c r="M5" s="495"/>
      <c r="N5" s="496"/>
    </row>
    <row r="6" spans="1:14" s="497" customFormat="1" ht="12.5">
      <c r="A6" s="64" t="s">
        <v>215</v>
      </c>
      <c r="B6" s="264" t="s">
        <v>216</v>
      </c>
      <c r="C6" s="663">
        <v>4</v>
      </c>
      <c r="D6" s="19">
        <f>E5+1</f>
        <v>27</v>
      </c>
      <c r="E6" s="19">
        <f>D6+F6-1</f>
        <v>34</v>
      </c>
      <c r="F6" s="19">
        <v>8</v>
      </c>
      <c r="G6" s="180" t="s">
        <v>292</v>
      </c>
      <c r="H6" s="498"/>
      <c r="I6" s="498"/>
      <c r="J6" s="494"/>
      <c r="K6" s="494"/>
      <c r="L6" s="494"/>
      <c r="M6" s="495"/>
      <c r="N6" s="496"/>
    </row>
    <row r="7" spans="1:14" ht="12.5">
      <c r="A7" s="661" t="s">
        <v>30</v>
      </c>
      <c r="B7" s="662" t="s">
        <v>22</v>
      </c>
      <c r="C7" s="19">
        <v>5</v>
      </c>
      <c r="D7" s="19">
        <f>E6+1</f>
        <v>35</v>
      </c>
      <c r="E7" s="663">
        <f>D7+F7-1</f>
        <v>49</v>
      </c>
      <c r="F7" s="663">
        <v>15</v>
      </c>
      <c r="G7" s="665" t="s">
        <v>3118</v>
      </c>
      <c r="H7" s="666"/>
      <c r="I7" s="666"/>
      <c r="J7" s="663"/>
      <c r="K7" s="663"/>
      <c r="L7" s="663"/>
      <c r="M7" s="658" t="s">
        <v>290</v>
      </c>
      <c r="N7" s="659"/>
    </row>
    <row r="8" spans="1:14" ht="10.5">
      <c r="A8" s="654" t="s">
        <v>3119</v>
      </c>
      <c r="B8" s="655" t="s">
        <v>14</v>
      </c>
      <c r="C8" s="667" t="s">
        <v>15</v>
      </c>
      <c r="D8" s="655">
        <v>1</v>
      </c>
      <c r="E8" s="655" t="e">
        <f>#REF!</f>
        <v>#REF!</v>
      </c>
      <c r="F8" s="655">
        <f>SUM(F9:F15)</f>
        <v>37</v>
      </c>
      <c r="G8" s="668"/>
      <c r="H8" s="668"/>
      <c r="I8" s="668"/>
      <c r="J8" s="655"/>
      <c r="K8" s="655"/>
      <c r="L8" s="655"/>
      <c r="M8" s="658" t="s">
        <v>290</v>
      </c>
      <c r="N8" s="659"/>
    </row>
    <row r="9" spans="1:14" ht="21">
      <c r="A9" s="669" t="s">
        <v>37</v>
      </c>
      <c r="B9" s="670" t="s">
        <v>18</v>
      </c>
      <c r="C9" s="671">
        <v>7</v>
      </c>
      <c r="D9" s="672">
        <v>1</v>
      </c>
      <c r="E9" s="671">
        <f t="shared" ref="E9:E15" si="0">D9+F9-1</f>
        <v>1</v>
      </c>
      <c r="F9" s="672">
        <v>1</v>
      </c>
      <c r="G9" s="673" t="s">
        <v>38</v>
      </c>
      <c r="H9" s="673"/>
      <c r="I9" s="673"/>
      <c r="J9" s="672"/>
      <c r="K9" s="674"/>
      <c r="L9" s="674"/>
      <c r="M9" s="658" t="s">
        <v>298</v>
      </c>
      <c r="N9" s="659"/>
    </row>
    <row r="10" spans="1:14" ht="21.75" customHeight="1">
      <c r="A10" s="675" t="s">
        <v>3120</v>
      </c>
      <c r="B10" s="676" t="s">
        <v>609</v>
      </c>
      <c r="C10" s="663">
        <v>8</v>
      </c>
      <c r="D10" s="663">
        <f t="shared" ref="D10:D15" si="1">E9+1</f>
        <v>2</v>
      </c>
      <c r="E10" s="663">
        <f t="shared" si="0"/>
        <v>3</v>
      </c>
      <c r="F10" s="663">
        <v>2</v>
      </c>
      <c r="G10" s="677" t="s">
        <v>3121</v>
      </c>
      <c r="H10" s="664" t="s">
        <v>423</v>
      </c>
      <c r="I10" s="664" t="s">
        <v>3122</v>
      </c>
      <c r="J10" s="676" t="s">
        <v>3123</v>
      </c>
      <c r="K10" s="678" t="s">
        <v>2185</v>
      </c>
      <c r="L10" s="679" t="s">
        <v>731</v>
      </c>
      <c r="M10" s="658" t="s">
        <v>290</v>
      </c>
      <c r="N10" s="659" t="s">
        <v>562</v>
      </c>
    </row>
    <row r="11" spans="1:14">
      <c r="A11" s="675" t="s">
        <v>3124</v>
      </c>
      <c r="B11" s="676" t="s">
        <v>3125</v>
      </c>
      <c r="C11" s="663">
        <v>9</v>
      </c>
      <c r="D11" s="663">
        <f t="shared" si="1"/>
        <v>4</v>
      </c>
      <c r="E11" s="663">
        <f t="shared" si="0"/>
        <v>11</v>
      </c>
      <c r="F11" s="663">
        <v>8</v>
      </c>
      <c r="G11" s="680" t="s">
        <v>3126</v>
      </c>
      <c r="H11" s="664" t="s">
        <v>423</v>
      </c>
      <c r="I11" s="664" t="s">
        <v>3122</v>
      </c>
      <c r="J11" s="676" t="s">
        <v>3127</v>
      </c>
      <c r="K11" s="678" t="s">
        <v>2185</v>
      </c>
      <c r="L11" s="681">
        <v>763</v>
      </c>
      <c r="M11" s="658" t="s">
        <v>290</v>
      </c>
      <c r="N11" s="659" t="s">
        <v>562</v>
      </c>
    </row>
    <row r="12" spans="1:14" ht="20">
      <c r="A12" s="675" t="s">
        <v>3128</v>
      </c>
      <c r="B12" s="681" t="s">
        <v>34</v>
      </c>
      <c r="C12" s="663">
        <v>10</v>
      </c>
      <c r="D12" s="663">
        <f t="shared" si="1"/>
        <v>12</v>
      </c>
      <c r="E12" s="663">
        <f t="shared" si="0"/>
        <v>12</v>
      </c>
      <c r="F12" s="663">
        <v>1</v>
      </c>
      <c r="G12" s="680" t="s">
        <v>3129</v>
      </c>
      <c r="H12" s="664"/>
      <c r="I12" s="664" t="s">
        <v>3122</v>
      </c>
      <c r="J12" s="676" t="s">
        <v>3130</v>
      </c>
      <c r="K12" s="678" t="s">
        <v>2185</v>
      </c>
      <c r="L12" s="679" t="s">
        <v>746</v>
      </c>
      <c r="M12" s="658" t="s">
        <v>290</v>
      </c>
      <c r="N12" s="659" t="s">
        <v>562</v>
      </c>
    </row>
    <row r="13" spans="1:14" ht="40">
      <c r="A13" s="675" t="s">
        <v>3131</v>
      </c>
      <c r="B13" s="676" t="s">
        <v>760</v>
      </c>
      <c r="C13" s="663">
        <v>12</v>
      </c>
      <c r="D13" s="663">
        <f t="shared" si="1"/>
        <v>13</v>
      </c>
      <c r="E13" s="663">
        <f t="shared" si="0"/>
        <v>15</v>
      </c>
      <c r="F13" s="663">
        <v>3</v>
      </c>
      <c r="G13" s="680"/>
      <c r="H13" s="664" t="s">
        <v>423</v>
      </c>
      <c r="I13" s="664" t="s">
        <v>3122</v>
      </c>
      <c r="J13" s="676" t="s">
        <v>3132</v>
      </c>
      <c r="K13" s="678" t="s">
        <v>2185</v>
      </c>
      <c r="L13" s="681">
        <v>766</v>
      </c>
      <c r="M13" s="658" t="s">
        <v>290</v>
      </c>
      <c r="N13" s="659" t="s">
        <v>562</v>
      </c>
    </row>
    <row r="14" spans="1:14" ht="40">
      <c r="A14" s="675" t="s">
        <v>3133</v>
      </c>
      <c r="B14" s="682" t="s">
        <v>3134</v>
      </c>
      <c r="C14" s="663">
        <v>13</v>
      </c>
      <c r="D14" s="663">
        <f t="shared" si="1"/>
        <v>16</v>
      </c>
      <c r="E14" s="663">
        <f t="shared" si="0"/>
        <v>26</v>
      </c>
      <c r="F14" s="663">
        <v>11</v>
      </c>
      <c r="G14" s="664"/>
      <c r="H14" s="664" t="s">
        <v>423</v>
      </c>
      <c r="I14" s="664" t="s">
        <v>3122</v>
      </c>
      <c r="J14" s="676" t="s">
        <v>3135</v>
      </c>
      <c r="K14" s="678" t="s">
        <v>2185</v>
      </c>
      <c r="L14" s="681">
        <v>767</v>
      </c>
      <c r="M14" s="658" t="s">
        <v>290</v>
      </c>
      <c r="N14" s="659" t="s">
        <v>562</v>
      </c>
    </row>
    <row r="15" spans="1:14" ht="40">
      <c r="A15" s="675" t="s">
        <v>3136</v>
      </c>
      <c r="B15" s="682" t="s">
        <v>3137</v>
      </c>
      <c r="C15" s="663">
        <v>14</v>
      </c>
      <c r="D15" s="663">
        <f t="shared" si="1"/>
        <v>27</v>
      </c>
      <c r="E15" s="663">
        <f t="shared" si="0"/>
        <v>37</v>
      </c>
      <c r="F15" s="663">
        <v>11</v>
      </c>
      <c r="G15" s="664"/>
      <c r="H15" s="664" t="s">
        <v>423</v>
      </c>
      <c r="I15" s="664" t="s">
        <v>3122</v>
      </c>
      <c r="J15" s="676" t="s">
        <v>3138</v>
      </c>
      <c r="K15" s="678" t="s">
        <v>2185</v>
      </c>
      <c r="L15" s="679" t="s">
        <v>749</v>
      </c>
      <c r="M15" s="658" t="s">
        <v>290</v>
      </c>
      <c r="N15" s="659" t="s">
        <v>562</v>
      </c>
    </row>
    <row r="16" spans="1:14" ht="10.5">
      <c r="A16" s="683" t="s">
        <v>3139</v>
      </c>
      <c r="B16" s="684" t="s">
        <v>14</v>
      </c>
      <c r="C16" s="685" t="s">
        <v>15</v>
      </c>
      <c r="D16" s="684">
        <v>1</v>
      </c>
      <c r="E16" s="684" t="e">
        <f>#REF!</f>
        <v>#REF!</v>
      </c>
      <c r="F16" s="684">
        <f>SUM(F17:F18)</f>
        <v>10</v>
      </c>
      <c r="G16" s="686"/>
      <c r="H16" s="686"/>
      <c r="I16" s="686"/>
      <c r="J16" s="684"/>
      <c r="K16" s="687" t="s">
        <v>204</v>
      </c>
      <c r="L16" s="687"/>
      <c r="M16" s="658" t="s">
        <v>290</v>
      </c>
      <c r="N16" s="659"/>
    </row>
    <row r="17" spans="1:14" ht="21">
      <c r="A17" s="688" t="s">
        <v>37</v>
      </c>
      <c r="B17" s="662" t="s">
        <v>18</v>
      </c>
      <c r="C17" s="663">
        <v>24</v>
      </c>
      <c r="D17" s="663">
        <v>1</v>
      </c>
      <c r="E17" s="663">
        <v>1</v>
      </c>
      <c r="F17" s="663">
        <v>1</v>
      </c>
      <c r="G17" s="664" t="s">
        <v>205</v>
      </c>
      <c r="H17" s="664"/>
      <c r="I17" s="664"/>
      <c r="J17" s="663"/>
      <c r="K17" s="663"/>
      <c r="L17" s="663"/>
      <c r="M17" s="658" t="s">
        <v>290</v>
      </c>
      <c r="N17" s="659"/>
    </row>
    <row r="18" spans="1:14" ht="12.5">
      <c r="A18" s="689" t="s">
        <v>206</v>
      </c>
      <c r="B18" s="662" t="s">
        <v>207</v>
      </c>
      <c r="C18" s="663">
        <v>25</v>
      </c>
      <c r="D18" s="663">
        <f>E17+1</f>
        <v>2</v>
      </c>
      <c r="E18" s="663">
        <f>D18+F18-1</f>
        <v>10</v>
      </c>
      <c r="F18" s="663">
        <v>9</v>
      </c>
      <c r="G18" s="664" t="s">
        <v>2203</v>
      </c>
      <c r="H18" s="664"/>
      <c r="I18" s="664"/>
      <c r="J18" s="663"/>
      <c r="K18" s="663"/>
      <c r="L18" s="663"/>
      <c r="M18" s="658" t="s">
        <v>290</v>
      </c>
      <c r="N18" s="659"/>
    </row>
    <row r="19" spans="1:14">
      <c r="M19" s="693"/>
    </row>
    <row r="20" spans="1:14">
      <c r="M20" s="693"/>
    </row>
    <row r="21" spans="1:14">
      <c r="M21" s="693"/>
    </row>
    <row r="22" spans="1:14">
      <c r="M22" s="693"/>
    </row>
    <row r="23" spans="1:14">
      <c r="M23" s="693"/>
    </row>
    <row r="24" spans="1:14">
      <c r="M24" s="693"/>
    </row>
    <row r="25" spans="1:14">
      <c r="M25" s="693"/>
    </row>
    <row r="26" spans="1:14">
      <c r="M26" s="693"/>
    </row>
    <row r="27" spans="1:14">
      <c r="M27" s="693"/>
    </row>
    <row r="28" spans="1:14">
      <c r="M28" s="693"/>
    </row>
    <row r="29" spans="1:14">
      <c r="M29" s="693"/>
    </row>
    <row r="30" spans="1:14">
      <c r="M30" s="693"/>
    </row>
    <row r="31" spans="1:14">
      <c r="M31" s="693"/>
    </row>
    <row r="32" spans="1:14">
      <c r="M32" s="693"/>
    </row>
    <row r="33" spans="13:13">
      <c r="M33" s="693"/>
    </row>
    <row r="34" spans="13:13">
      <c r="M34" s="693"/>
    </row>
    <row r="35" spans="13:13">
      <c r="M35" s="693"/>
    </row>
    <row r="36" spans="13:13">
      <c r="M36" s="693"/>
    </row>
    <row r="37" spans="13:13">
      <c r="M37" s="693"/>
    </row>
    <row r="38" spans="13:13">
      <c r="M38" s="693"/>
    </row>
    <row r="39" spans="13:13">
      <c r="M39" s="693"/>
    </row>
    <row r="40" spans="13:13">
      <c r="M40" s="693"/>
    </row>
    <row r="41" spans="13:13">
      <c r="M41" s="693"/>
    </row>
    <row r="42" spans="13:13">
      <c r="M42" s="693"/>
    </row>
    <row r="43" spans="13:13">
      <c r="M43" s="693"/>
    </row>
    <row r="44" spans="13:13">
      <c r="M44" s="693"/>
    </row>
    <row r="45" spans="13:13">
      <c r="M45" s="693"/>
    </row>
    <row r="46" spans="13:13">
      <c r="M46" s="693"/>
    </row>
    <row r="47" spans="13:13">
      <c r="M47" s="693"/>
    </row>
    <row r="48" spans="13:13">
      <c r="M48" s="693"/>
    </row>
    <row r="49" spans="13:13">
      <c r="M49" s="693"/>
    </row>
    <row r="50" spans="13:13">
      <c r="M50" s="693"/>
    </row>
    <row r="51" spans="13:13">
      <c r="M51" s="693"/>
    </row>
    <row r="52" spans="13:13">
      <c r="M52" s="693"/>
    </row>
    <row r="53" spans="13:13">
      <c r="M53" s="693"/>
    </row>
    <row r="54" spans="13:13">
      <c r="M54" s="693"/>
    </row>
    <row r="55" spans="13:13">
      <c r="M55" s="693"/>
    </row>
    <row r="56" spans="13:13">
      <c r="M56" s="693"/>
    </row>
    <row r="57" spans="13:13">
      <c r="M57" s="693"/>
    </row>
    <row r="58" spans="13:13">
      <c r="M58" s="693"/>
    </row>
    <row r="59" spans="13:13">
      <c r="M59" s="693"/>
    </row>
    <row r="60" spans="13:13">
      <c r="M60" s="693"/>
    </row>
    <row r="61" spans="13:13">
      <c r="M61" s="693"/>
    </row>
    <row r="62" spans="13:13">
      <c r="M62" s="693"/>
    </row>
    <row r="63" spans="13:13">
      <c r="M63" s="693"/>
    </row>
    <row r="64" spans="13:13">
      <c r="M64" s="693"/>
    </row>
    <row r="65" spans="13:13">
      <c r="M65" s="693"/>
    </row>
    <row r="66" spans="13:13">
      <c r="M66" s="693"/>
    </row>
    <row r="67" spans="13:13">
      <c r="M67" s="693"/>
    </row>
    <row r="68" spans="13:13">
      <c r="M68" s="693"/>
    </row>
    <row r="69" spans="13:13">
      <c r="M69" s="693"/>
    </row>
    <row r="70" spans="13:13">
      <c r="M70" s="693"/>
    </row>
    <row r="71" spans="13:13">
      <c r="M71" s="693"/>
    </row>
    <row r="72" spans="13:13">
      <c r="M72" s="693"/>
    </row>
    <row r="73" spans="13:13">
      <c r="M73" s="693"/>
    </row>
    <row r="74" spans="13:13">
      <c r="M74" s="693"/>
    </row>
    <row r="75" spans="13:13">
      <c r="M75" s="693"/>
    </row>
    <row r="76" spans="13:13">
      <c r="M76" s="693"/>
    </row>
    <row r="77" spans="13:13">
      <c r="M77" s="693"/>
    </row>
    <row r="78" spans="13:13">
      <c r="M78" s="693"/>
    </row>
    <row r="79" spans="13:13">
      <c r="M79" s="693"/>
    </row>
    <row r="80" spans="13:13">
      <c r="M80" s="693"/>
    </row>
    <row r="81" spans="13:13">
      <c r="M81" s="693"/>
    </row>
    <row r="82" spans="13:13">
      <c r="M82" s="693"/>
    </row>
    <row r="83" spans="13:13">
      <c r="M83" s="693"/>
    </row>
    <row r="84" spans="13:13">
      <c r="M84" s="693"/>
    </row>
    <row r="85" spans="13:13">
      <c r="M85" s="693"/>
    </row>
    <row r="86" spans="13:13">
      <c r="M86" s="693"/>
    </row>
    <row r="87" spans="13:13">
      <c r="M87" s="693"/>
    </row>
    <row r="88" spans="13:13">
      <c r="M88" s="693"/>
    </row>
    <row r="89" spans="13:13">
      <c r="M89" s="693"/>
    </row>
    <row r="90" spans="13:13">
      <c r="M90" s="693"/>
    </row>
    <row r="91" spans="13:13">
      <c r="M91" s="693"/>
    </row>
    <row r="92" spans="13:13">
      <c r="M92" s="693"/>
    </row>
    <row r="93" spans="13:13">
      <c r="M93" s="693"/>
    </row>
    <row r="94" spans="13:13">
      <c r="M94" s="693"/>
    </row>
    <row r="95" spans="13:13">
      <c r="M95" s="693"/>
    </row>
    <row r="96" spans="13:13">
      <c r="M96" s="693"/>
    </row>
    <row r="97" spans="13:13">
      <c r="M97" s="693"/>
    </row>
    <row r="98" spans="13:13">
      <c r="M98" s="693"/>
    </row>
    <row r="99" spans="13:13">
      <c r="M99" s="693"/>
    </row>
  </sheetData>
  <dataValidations count="1">
    <dataValidation type="list" allowBlank="1" showInputMessage="1" showErrorMessage="1" sqref="N10:N15 JJ10:JJ15 TF10:TF15 ADB10:ADB15 AMX10:AMX15 AWT10:AWT15 BGP10:BGP15 BQL10:BQL15 CAH10:CAH15 CKD10:CKD15 CTZ10:CTZ15 DDV10:DDV15 DNR10:DNR15 DXN10:DXN15 EHJ10:EHJ15 ERF10:ERF15 FBB10:FBB15 FKX10:FKX15 FUT10:FUT15 GEP10:GEP15 GOL10:GOL15 GYH10:GYH15 HID10:HID15 HRZ10:HRZ15 IBV10:IBV15 ILR10:ILR15 IVN10:IVN15 JFJ10:JFJ15 JPF10:JPF15 JZB10:JZB15 KIX10:KIX15 KST10:KST15 LCP10:LCP15 LML10:LML15 LWH10:LWH15 MGD10:MGD15 MPZ10:MPZ15 MZV10:MZV15 NJR10:NJR15 NTN10:NTN15 ODJ10:ODJ15 ONF10:ONF15 OXB10:OXB15 PGX10:PGX15 PQT10:PQT15 QAP10:QAP15 QKL10:QKL15 QUH10:QUH15 RED10:RED15 RNZ10:RNZ15 RXV10:RXV15 SHR10:SHR15 SRN10:SRN15 TBJ10:TBJ15 TLF10:TLF15 TVB10:TVB15 UEX10:UEX15 UOT10:UOT15 UYP10:UYP15 VIL10:VIL15 VSH10:VSH15 WCD10:WCD15 WLZ10:WLZ15 WVV10:WVV15 N65546:N65551 JJ65546:JJ65551 TF65546:TF65551 ADB65546:ADB65551 AMX65546:AMX65551 AWT65546:AWT65551 BGP65546:BGP65551 BQL65546:BQL65551 CAH65546:CAH65551 CKD65546:CKD65551 CTZ65546:CTZ65551 DDV65546:DDV65551 DNR65546:DNR65551 DXN65546:DXN65551 EHJ65546:EHJ65551 ERF65546:ERF65551 FBB65546:FBB65551 FKX65546:FKX65551 FUT65546:FUT65551 GEP65546:GEP65551 GOL65546:GOL65551 GYH65546:GYH65551 HID65546:HID65551 HRZ65546:HRZ65551 IBV65546:IBV65551 ILR65546:ILR65551 IVN65546:IVN65551 JFJ65546:JFJ65551 JPF65546:JPF65551 JZB65546:JZB65551 KIX65546:KIX65551 KST65546:KST65551 LCP65546:LCP65551 LML65546:LML65551 LWH65546:LWH65551 MGD65546:MGD65551 MPZ65546:MPZ65551 MZV65546:MZV65551 NJR65546:NJR65551 NTN65546:NTN65551 ODJ65546:ODJ65551 ONF65546:ONF65551 OXB65546:OXB65551 PGX65546:PGX65551 PQT65546:PQT65551 QAP65546:QAP65551 QKL65546:QKL65551 QUH65546:QUH65551 RED65546:RED65551 RNZ65546:RNZ65551 RXV65546:RXV65551 SHR65546:SHR65551 SRN65546:SRN65551 TBJ65546:TBJ65551 TLF65546:TLF65551 TVB65546:TVB65551 UEX65546:UEX65551 UOT65546:UOT65551 UYP65546:UYP65551 VIL65546:VIL65551 VSH65546:VSH65551 WCD65546:WCD65551 WLZ65546:WLZ65551 WVV65546:WVV65551 N131082:N131087 JJ131082:JJ131087 TF131082:TF131087 ADB131082:ADB131087 AMX131082:AMX131087 AWT131082:AWT131087 BGP131082:BGP131087 BQL131082:BQL131087 CAH131082:CAH131087 CKD131082:CKD131087 CTZ131082:CTZ131087 DDV131082:DDV131087 DNR131082:DNR131087 DXN131082:DXN131087 EHJ131082:EHJ131087 ERF131082:ERF131087 FBB131082:FBB131087 FKX131082:FKX131087 FUT131082:FUT131087 GEP131082:GEP131087 GOL131082:GOL131087 GYH131082:GYH131087 HID131082:HID131087 HRZ131082:HRZ131087 IBV131082:IBV131087 ILR131082:ILR131087 IVN131082:IVN131087 JFJ131082:JFJ131087 JPF131082:JPF131087 JZB131082:JZB131087 KIX131082:KIX131087 KST131082:KST131087 LCP131082:LCP131087 LML131082:LML131087 LWH131082:LWH131087 MGD131082:MGD131087 MPZ131082:MPZ131087 MZV131082:MZV131087 NJR131082:NJR131087 NTN131082:NTN131087 ODJ131082:ODJ131087 ONF131082:ONF131087 OXB131082:OXB131087 PGX131082:PGX131087 PQT131082:PQT131087 QAP131082:QAP131087 QKL131082:QKL131087 QUH131082:QUH131087 RED131082:RED131087 RNZ131082:RNZ131087 RXV131082:RXV131087 SHR131082:SHR131087 SRN131082:SRN131087 TBJ131082:TBJ131087 TLF131082:TLF131087 TVB131082:TVB131087 UEX131082:UEX131087 UOT131082:UOT131087 UYP131082:UYP131087 VIL131082:VIL131087 VSH131082:VSH131087 WCD131082:WCD131087 WLZ131082:WLZ131087 WVV131082:WVV131087 N196618:N196623 JJ196618:JJ196623 TF196618:TF196623 ADB196618:ADB196623 AMX196618:AMX196623 AWT196618:AWT196623 BGP196618:BGP196623 BQL196618:BQL196623 CAH196618:CAH196623 CKD196618:CKD196623 CTZ196618:CTZ196623 DDV196618:DDV196623 DNR196618:DNR196623 DXN196618:DXN196623 EHJ196618:EHJ196623 ERF196618:ERF196623 FBB196618:FBB196623 FKX196618:FKX196623 FUT196618:FUT196623 GEP196618:GEP196623 GOL196618:GOL196623 GYH196618:GYH196623 HID196618:HID196623 HRZ196618:HRZ196623 IBV196618:IBV196623 ILR196618:ILR196623 IVN196618:IVN196623 JFJ196618:JFJ196623 JPF196618:JPF196623 JZB196618:JZB196623 KIX196618:KIX196623 KST196618:KST196623 LCP196618:LCP196623 LML196618:LML196623 LWH196618:LWH196623 MGD196618:MGD196623 MPZ196618:MPZ196623 MZV196618:MZV196623 NJR196618:NJR196623 NTN196618:NTN196623 ODJ196618:ODJ196623 ONF196618:ONF196623 OXB196618:OXB196623 PGX196618:PGX196623 PQT196618:PQT196623 QAP196618:QAP196623 QKL196618:QKL196623 QUH196618:QUH196623 RED196618:RED196623 RNZ196618:RNZ196623 RXV196618:RXV196623 SHR196618:SHR196623 SRN196618:SRN196623 TBJ196618:TBJ196623 TLF196618:TLF196623 TVB196618:TVB196623 UEX196618:UEX196623 UOT196618:UOT196623 UYP196618:UYP196623 VIL196618:VIL196623 VSH196618:VSH196623 WCD196618:WCD196623 WLZ196618:WLZ196623 WVV196618:WVV196623 N262154:N262159 JJ262154:JJ262159 TF262154:TF262159 ADB262154:ADB262159 AMX262154:AMX262159 AWT262154:AWT262159 BGP262154:BGP262159 BQL262154:BQL262159 CAH262154:CAH262159 CKD262154:CKD262159 CTZ262154:CTZ262159 DDV262154:DDV262159 DNR262154:DNR262159 DXN262154:DXN262159 EHJ262154:EHJ262159 ERF262154:ERF262159 FBB262154:FBB262159 FKX262154:FKX262159 FUT262154:FUT262159 GEP262154:GEP262159 GOL262154:GOL262159 GYH262154:GYH262159 HID262154:HID262159 HRZ262154:HRZ262159 IBV262154:IBV262159 ILR262154:ILR262159 IVN262154:IVN262159 JFJ262154:JFJ262159 JPF262154:JPF262159 JZB262154:JZB262159 KIX262154:KIX262159 KST262154:KST262159 LCP262154:LCP262159 LML262154:LML262159 LWH262154:LWH262159 MGD262154:MGD262159 MPZ262154:MPZ262159 MZV262154:MZV262159 NJR262154:NJR262159 NTN262154:NTN262159 ODJ262154:ODJ262159 ONF262154:ONF262159 OXB262154:OXB262159 PGX262154:PGX262159 PQT262154:PQT262159 QAP262154:QAP262159 QKL262154:QKL262159 QUH262154:QUH262159 RED262154:RED262159 RNZ262154:RNZ262159 RXV262154:RXV262159 SHR262154:SHR262159 SRN262154:SRN262159 TBJ262154:TBJ262159 TLF262154:TLF262159 TVB262154:TVB262159 UEX262154:UEX262159 UOT262154:UOT262159 UYP262154:UYP262159 VIL262154:VIL262159 VSH262154:VSH262159 WCD262154:WCD262159 WLZ262154:WLZ262159 WVV262154:WVV262159 N327690:N327695 JJ327690:JJ327695 TF327690:TF327695 ADB327690:ADB327695 AMX327690:AMX327695 AWT327690:AWT327695 BGP327690:BGP327695 BQL327690:BQL327695 CAH327690:CAH327695 CKD327690:CKD327695 CTZ327690:CTZ327695 DDV327690:DDV327695 DNR327690:DNR327695 DXN327690:DXN327695 EHJ327690:EHJ327695 ERF327690:ERF327695 FBB327690:FBB327695 FKX327690:FKX327695 FUT327690:FUT327695 GEP327690:GEP327695 GOL327690:GOL327695 GYH327690:GYH327695 HID327690:HID327695 HRZ327690:HRZ327695 IBV327690:IBV327695 ILR327690:ILR327695 IVN327690:IVN327695 JFJ327690:JFJ327695 JPF327690:JPF327695 JZB327690:JZB327695 KIX327690:KIX327695 KST327690:KST327695 LCP327690:LCP327695 LML327690:LML327695 LWH327690:LWH327695 MGD327690:MGD327695 MPZ327690:MPZ327695 MZV327690:MZV327695 NJR327690:NJR327695 NTN327690:NTN327695 ODJ327690:ODJ327695 ONF327690:ONF327695 OXB327690:OXB327695 PGX327690:PGX327695 PQT327690:PQT327695 QAP327690:QAP327695 QKL327690:QKL327695 QUH327690:QUH327695 RED327690:RED327695 RNZ327690:RNZ327695 RXV327690:RXV327695 SHR327690:SHR327695 SRN327690:SRN327695 TBJ327690:TBJ327695 TLF327690:TLF327695 TVB327690:TVB327695 UEX327690:UEX327695 UOT327690:UOT327695 UYP327690:UYP327695 VIL327690:VIL327695 VSH327690:VSH327695 WCD327690:WCD327695 WLZ327690:WLZ327695 WVV327690:WVV327695 N393226:N393231 JJ393226:JJ393231 TF393226:TF393231 ADB393226:ADB393231 AMX393226:AMX393231 AWT393226:AWT393231 BGP393226:BGP393231 BQL393226:BQL393231 CAH393226:CAH393231 CKD393226:CKD393231 CTZ393226:CTZ393231 DDV393226:DDV393231 DNR393226:DNR393231 DXN393226:DXN393231 EHJ393226:EHJ393231 ERF393226:ERF393231 FBB393226:FBB393231 FKX393226:FKX393231 FUT393226:FUT393231 GEP393226:GEP393231 GOL393226:GOL393231 GYH393226:GYH393231 HID393226:HID393231 HRZ393226:HRZ393231 IBV393226:IBV393231 ILR393226:ILR393231 IVN393226:IVN393231 JFJ393226:JFJ393231 JPF393226:JPF393231 JZB393226:JZB393231 KIX393226:KIX393231 KST393226:KST393231 LCP393226:LCP393231 LML393226:LML393231 LWH393226:LWH393231 MGD393226:MGD393231 MPZ393226:MPZ393231 MZV393226:MZV393231 NJR393226:NJR393231 NTN393226:NTN393231 ODJ393226:ODJ393231 ONF393226:ONF393231 OXB393226:OXB393231 PGX393226:PGX393231 PQT393226:PQT393231 QAP393226:QAP393231 QKL393226:QKL393231 QUH393226:QUH393231 RED393226:RED393231 RNZ393226:RNZ393231 RXV393226:RXV393231 SHR393226:SHR393231 SRN393226:SRN393231 TBJ393226:TBJ393231 TLF393226:TLF393231 TVB393226:TVB393231 UEX393226:UEX393231 UOT393226:UOT393231 UYP393226:UYP393231 VIL393226:VIL393231 VSH393226:VSH393231 WCD393226:WCD393231 WLZ393226:WLZ393231 WVV393226:WVV393231 N458762:N458767 JJ458762:JJ458767 TF458762:TF458767 ADB458762:ADB458767 AMX458762:AMX458767 AWT458762:AWT458767 BGP458762:BGP458767 BQL458762:BQL458767 CAH458762:CAH458767 CKD458762:CKD458767 CTZ458762:CTZ458767 DDV458762:DDV458767 DNR458762:DNR458767 DXN458762:DXN458767 EHJ458762:EHJ458767 ERF458762:ERF458767 FBB458762:FBB458767 FKX458762:FKX458767 FUT458762:FUT458767 GEP458762:GEP458767 GOL458762:GOL458767 GYH458762:GYH458767 HID458762:HID458767 HRZ458762:HRZ458767 IBV458762:IBV458767 ILR458762:ILR458767 IVN458762:IVN458767 JFJ458762:JFJ458767 JPF458762:JPF458767 JZB458762:JZB458767 KIX458762:KIX458767 KST458762:KST458767 LCP458762:LCP458767 LML458762:LML458767 LWH458762:LWH458767 MGD458762:MGD458767 MPZ458762:MPZ458767 MZV458762:MZV458767 NJR458762:NJR458767 NTN458762:NTN458767 ODJ458762:ODJ458767 ONF458762:ONF458767 OXB458762:OXB458767 PGX458762:PGX458767 PQT458762:PQT458767 QAP458762:QAP458767 QKL458762:QKL458767 QUH458762:QUH458767 RED458762:RED458767 RNZ458762:RNZ458767 RXV458762:RXV458767 SHR458762:SHR458767 SRN458762:SRN458767 TBJ458762:TBJ458767 TLF458762:TLF458767 TVB458762:TVB458767 UEX458762:UEX458767 UOT458762:UOT458767 UYP458762:UYP458767 VIL458762:VIL458767 VSH458762:VSH458767 WCD458762:WCD458767 WLZ458762:WLZ458767 WVV458762:WVV458767 N524298:N524303 JJ524298:JJ524303 TF524298:TF524303 ADB524298:ADB524303 AMX524298:AMX524303 AWT524298:AWT524303 BGP524298:BGP524303 BQL524298:BQL524303 CAH524298:CAH524303 CKD524298:CKD524303 CTZ524298:CTZ524303 DDV524298:DDV524303 DNR524298:DNR524303 DXN524298:DXN524303 EHJ524298:EHJ524303 ERF524298:ERF524303 FBB524298:FBB524303 FKX524298:FKX524303 FUT524298:FUT524303 GEP524298:GEP524303 GOL524298:GOL524303 GYH524298:GYH524303 HID524298:HID524303 HRZ524298:HRZ524303 IBV524298:IBV524303 ILR524298:ILR524303 IVN524298:IVN524303 JFJ524298:JFJ524303 JPF524298:JPF524303 JZB524298:JZB524303 KIX524298:KIX524303 KST524298:KST524303 LCP524298:LCP524303 LML524298:LML524303 LWH524298:LWH524303 MGD524298:MGD524303 MPZ524298:MPZ524303 MZV524298:MZV524303 NJR524298:NJR524303 NTN524298:NTN524303 ODJ524298:ODJ524303 ONF524298:ONF524303 OXB524298:OXB524303 PGX524298:PGX524303 PQT524298:PQT524303 QAP524298:QAP524303 QKL524298:QKL524303 QUH524298:QUH524303 RED524298:RED524303 RNZ524298:RNZ524303 RXV524298:RXV524303 SHR524298:SHR524303 SRN524298:SRN524303 TBJ524298:TBJ524303 TLF524298:TLF524303 TVB524298:TVB524303 UEX524298:UEX524303 UOT524298:UOT524303 UYP524298:UYP524303 VIL524298:VIL524303 VSH524298:VSH524303 WCD524298:WCD524303 WLZ524298:WLZ524303 WVV524298:WVV524303 N589834:N589839 JJ589834:JJ589839 TF589834:TF589839 ADB589834:ADB589839 AMX589834:AMX589839 AWT589834:AWT589839 BGP589834:BGP589839 BQL589834:BQL589839 CAH589834:CAH589839 CKD589834:CKD589839 CTZ589834:CTZ589839 DDV589834:DDV589839 DNR589834:DNR589839 DXN589834:DXN589839 EHJ589834:EHJ589839 ERF589834:ERF589839 FBB589834:FBB589839 FKX589834:FKX589839 FUT589834:FUT589839 GEP589834:GEP589839 GOL589834:GOL589839 GYH589834:GYH589839 HID589834:HID589839 HRZ589834:HRZ589839 IBV589834:IBV589839 ILR589834:ILR589839 IVN589834:IVN589839 JFJ589834:JFJ589839 JPF589834:JPF589839 JZB589834:JZB589839 KIX589834:KIX589839 KST589834:KST589839 LCP589834:LCP589839 LML589834:LML589839 LWH589834:LWH589839 MGD589834:MGD589839 MPZ589834:MPZ589839 MZV589834:MZV589839 NJR589834:NJR589839 NTN589834:NTN589839 ODJ589834:ODJ589839 ONF589834:ONF589839 OXB589834:OXB589839 PGX589834:PGX589839 PQT589834:PQT589839 QAP589834:QAP589839 QKL589834:QKL589839 QUH589834:QUH589839 RED589834:RED589839 RNZ589834:RNZ589839 RXV589834:RXV589839 SHR589834:SHR589839 SRN589834:SRN589839 TBJ589834:TBJ589839 TLF589834:TLF589839 TVB589834:TVB589839 UEX589834:UEX589839 UOT589834:UOT589839 UYP589834:UYP589839 VIL589834:VIL589839 VSH589834:VSH589839 WCD589834:WCD589839 WLZ589834:WLZ589839 WVV589834:WVV589839 N655370:N655375 JJ655370:JJ655375 TF655370:TF655375 ADB655370:ADB655375 AMX655370:AMX655375 AWT655370:AWT655375 BGP655370:BGP655375 BQL655370:BQL655375 CAH655370:CAH655375 CKD655370:CKD655375 CTZ655370:CTZ655375 DDV655370:DDV655375 DNR655370:DNR655375 DXN655370:DXN655375 EHJ655370:EHJ655375 ERF655370:ERF655375 FBB655370:FBB655375 FKX655370:FKX655375 FUT655370:FUT655375 GEP655370:GEP655375 GOL655370:GOL655375 GYH655370:GYH655375 HID655370:HID655375 HRZ655370:HRZ655375 IBV655370:IBV655375 ILR655370:ILR655375 IVN655370:IVN655375 JFJ655370:JFJ655375 JPF655370:JPF655375 JZB655370:JZB655375 KIX655370:KIX655375 KST655370:KST655375 LCP655370:LCP655375 LML655370:LML655375 LWH655370:LWH655375 MGD655370:MGD655375 MPZ655370:MPZ655375 MZV655370:MZV655375 NJR655370:NJR655375 NTN655370:NTN655375 ODJ655370:ODJ655375 ONF655370:ONF655375 OXB655370:OXB655375 PGX655370:PGX655375 PQT655370:PQT655375 QAP655370:QAP655375 QKL655370:QKL655375 QUH655370:QUH655375 RED655370:RED655375 RNZ655370:RNZ655375 RXV655370:RXV655375 SHR655370:SHR655375 SRN655370:SRN655375 TBJ655370:TBJ655375 TLF655370:TLF655375 TVB655370:TVB655375 UEX655370:UEX655375 UOT655370:UOT655375 UYP655370:UYP655375 VIL655370:VIL655375 VSH655370:VSH655375 WCD655370:WCD655375 WLZ655370:WLZ655375 WVV655370:WVV655375 N720906:N720911 JJ720906:JJ720911 TF720906:TF720911 ADB720906:ADB720911 AMX720906:AMX720911 AWT720906:AWT720911 BGP720906:BGP720911 BQL720906:BQL720911 CAH720906:CAH720911 CKD720906:CKD720911 CTZ720906:CTZ720911 DDV720906:DDV720911 DNR720906:DNR720911 DXN720906:DXN720911 EHJ720906:EHJ720911 ERF720906:ERF720911 FBB720906:FBB720911 FKX720906:FKX720911 FUT720906:FUT720911 GEP720906:GEP720911 GOL720906:GOL720911 GYH720906:GYH720911 HID720906:HID720911 HRZ720906:HRZ720911 IBV720906:IBV720911 ILR720906:ILR720911 IVN720906:IVN720911 JFJ720906:JFJ720911 JPF720906:JPF720911 JZB720906:JZB720911 KIX720906:KIX720911 KST720906:KST720911 LCP720906:LCP720911 LML720906:LML720911 LWH720906:LWH720911 MGD720906:MGD720911 MPZ720906:MPZ720911 MZV720906:MZV720911 NJR720906:NJR720911 NTN720906:NTN720911 ODJ720906:ODJ720911 ONF720906:ONF720911 OXB720906:OXB720911 PGX720906:PGX720911 PQT720906:PQT720911 QAP720906:QAP720911 QKL720906:QKL720911 QUH720906:QUH720911 RED720906:RED720911 RNZ720906:RNZ720911 RXV720906:RXV720911 SHR720906:SHR720911 SRN720906:SRN720911 TBJ720906:TBJ720911 TLF720906:TLF720911 TVB720906:TVB720911 UEX720906:UEX720911 UOT720906:UOT720911 UYP720906:UYP720911 VIL720906:VIL720911 VSH720906:VSH720911 WCD720906:WCD720911 WLZ720906:WLZ720911 WVV720906:WVV720911 N786442:N786447 JJ786442:JJ786447 TF786442:TF786447 ADB786442:ADB786447 AMX786442:AMX786447 AWT786442:AWT786447 BGP786442:BGP786447 BQL786442:BQL786447 CAH786442:CAH786447 CKD786442:CKD786447 CTZ786442:CTZ786447 DDV786442:DDV786447 DNR786442:DNR786447 DXN786442:DXN786447 EHJ786442:EHJ786447 ERF786442:ERF786447 FBB786442:FBB786447 FKX786442:FKX786447 FUT786442:FUT786447 GEP786442:GEP786447 GOL786442:GOL786447 GYH786442:GYH786447 HID786442:HID786447 HRZ786442:HRZ786447 IBV786442:IBV786447 ILR786442:ILR786447 IVN786442:IVN786447 JFJ786442:JFJ786447 JPF786442:JPF786447 JZB786442:JZB786447 KIX786442:KIX786447 KST786442:KST786447 LCP786442:LCP786447 LML786442:LML786447 LWH786442:LWH786447 MGD786442:MGD786447 MPZ786442:MPZ786447 MZV786442:MZV786447 NJR786442:NJR786447 NTN786442:NTN786447 ODJ786442:ODJ786447 ONF786442:ONF786447 OXB786442:OXB786447 PGX786442:PGX786447 PQT786442:PQT786447 QAP786442:QAP786447 QKL786442:QKL786447 QUH786442:QUH786447 RED786442:RED786447 RNZ786442:RNZ786447 RXV786442:RXV786447 SHR786442:SHR786447 SRN786442:SRN786447 TBJ786442:TBJ786447 TLF786442:TLF786447 TVB786442:TVB786447 UEX786442:UEX786447 UOT786442:UOT786447 UYP786442:UYP786447 VIL786442:VIL786447 VSH786442:VSH786447 WCD786442:WCD786447 WLZ786442:WLZ786447 WVV786442:WVV786447 N851978:N851983 JJ851978:JJ851983 TF851978:TF851983 ADB851978:ADB851983 AMX851978:AMX851983 AWT851978:AWT851983 BGP851978:BGP851983 BQL851978:BQL851983 CAH851978:CAH851983 CKD851978:CKD851983 CTZ851978:CTZ851983 DDV851978:DDV851983 DNR851978:DNR851983 DXN851978:DXN851983 EHJ851978:EHJ851983 ERF851978:ERF851983 FBB851978:FBB851983 FKX851978:FKX851983 FUT851978:FUT851983 GEP851978:GEP851983 GOL851978:GOL851983 GYH851978:GYH851983 HID851978:HID851983 HRZ851978:HRZ851983 IBV851978:IBV851983 ILR851978:ILR851983 IVN851978:IVN851983 JFJ851978:JFJ851983 JPF851978:JPF851983 JZB851978:JZB851983 KIX851978:KIX851983 KST851978:KST851983 LCP851978:LCP851983 LML851978:LML851983 LWH851978:LWH851983 MGD851978:MGD851983 MPZ851978:MPZ851983 MZV851978:MZV851983 NJR851978:NJR851983 NTN851978:NTN851983 ODJ851978:ODJ851983 ONF851978:ONF851983 OXB851978:OXB851983 PGX851978:PGX851983 PQT851978:PQT851983 QAP851978:QAP851983 QKL851978:QKL851983 QUH851978:QUH851983 RED851978:RED851983 RNZ851978:RNZ851983 RXV851978:RXV851983 SHR851978:SHR851983 SRN851978:SRN851983 TBJ851978:TBJ851983 TLF851978:TLF851983 TVB851978:TVB851983 UEX851978:UEX851983 UOT851978:UOT851983 UYP851978:UYP851983 VIL851978:VIL851983 VSH851978:VSH851983 WCD851978:WCD851983 WLZ851978:WLZ851983 WVV851978:WVV851983 N917514:N917519 JJ917514:JJ917519 TF917514:TF917519 ADB917514:ADB917519 AMX917514:AMX917519 AWT917514:AWT917519 BGP917514:BGP917519 BQL917514:BQL917519 CAH917514:CAH917519 CKD917514:CKD917519 CTZ917514:CTZ917519 DDV917514:DDV917519 DNR917514:DNR917519 DXN917514:DXN917519 EHJ917514:EHJ917519 ERF917514:ERF917519 FBB917514:FBB917519 FKX917514:FKX917519 FUT917514:FUT917519 GEP917514:GEP917519 GOL917514:GOL917519 GYH917514:GYH917519 HID917514:HID917519 HRZ917514:HRZ917519 IBV917514:IBV917519 ILR917514:ILR917519 IVN917514:IVN917519 JFJ917514:JFJ917519 JPF917514:JPF917519 JZB917514:JZB917519 KIX917514:KIX917519 KST917514:KST917519 LCP917514:LCP917519 LML917514:LML917519 LWH917514:LWH917519 MGD917514:MGD917519 MPZ917514:MPZ917519 MZV917514:MZV917519 NJR917514:NJR917519 NTN917514:NTN917519 ODJ917514:ODJ917519 ONF917514:ONF917519 OXB917514:OXB917519 PGX917514:PGX917519 PQT917514:PQT917519 QAP917514:QAP917519 QKL917514:QKL917519 QUH917514:QUH917519 RED917514:RED917519 RNZ917514:RNZ917519 RXV917514:RXV917519 SHR917514:SHR917519 SRN917514:SRN917519 TBJ917514:TBJ917519 TLF917514:TLF917519 TVB917514:TVB917519 UEX917514:UEX917519 UOT917514:UOT917519 UYP917514:UYP917519 VIL917514:VIL917519 VSH917514:VSH917519 WCD917514:WCD917519 WLZ917514:WLZ917519 WVV917514:WVV917519 N983050:N983055 JJ983050:JJ983055 TF983050:TF983055 ADB983050:ADB983055 AMX983050:AMX983055 AWT983050:AWT983055 BGP983050:BGP983055 BQL983050:BQL983055 CAH983050:CAH983055 CKD983050:CKD983055 CTZ983050:CTZ983055 DDV983050:DDV983055 DNR983050:DNR983055 DXN983050:DXN983055 EHJ983050:EHJ983055 ERF983050:ERF983055 FBB983050:FBB983055 FKX983050:FKX983055 FUT983050:FUT983055 GEP983050:GEP983055 GOL983050:GOL983055 GYH983050:GYH983055 HID983050:HID983055 HRZ983050:HRZ983055 IBV983050:IBV983055 ILR983050:ILR983055 IVN983050:IVN983055 JFJ983050:JFJ983055 JPF983050:JPF983055 JZB983050:JZB983055 KIX983050:KIX983055 KST983050:KST983055 LCP983050:LCP983055 LML983050:LML983055 LWH983050:LWH983055 MGD983050:MGD983055 MPZ983050:MPZ983055 MZV983050:MZV983055 NJR983050:NJR983055 NTN983050:NTN983055 ODJ983050:ODJ983055 ONF983050:ONF983055 OXB983050:OXB983055 PGX983050:PGX983055 PQT983050:PQT983055 QAP983050:QAP983055 QKL983050:QKL983055 QUH983050:QUH983055 RED983050:RED983055 RNZ983050:RNZ983055 RXV983050:RXV983055 SHR983050:SHR983055 SRN983050:SRN983055 TBJ983050:TBJ983055 TLF983050:TLF983055 TVB983050:TVB983055 UEX983050:UEX983055 UOT983050:UOT983055 UYP983050:UYP983055 VIL983050:VIL983055 VSH983050:VSH983055 WCD983050:WCD983055 WLZ983050:WLZ983055 WVV983050:WVV983055" xr:uid="{5C750BB9-97C7-4272-8237-42CAE3700D8F}">
      <formula1>"Y,N"</formula1>
    </dataValidation>
  </dataValidations>
  <pageMargins left="0.7" right="0.7" top="0.75" bottom="0.75" header="0.3" footer="0.3"/>
  <headerFooter>
    <oddHeader>&amp;L&amp;"Arial"&amp;9&amp;K0078D7 INTERNAL&amp;1#_x000D_</oddHeader>
  </headerFooter>
</worksheet>
</file>

<file path=docMetadata/LabelInfo.xml><?xml version="1.0" encoding="utf-8"?>
<clbl:labelList xmlns:clbl="http://schemas.microsoft.com/office/2020/mipLabelMetadata">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MFS_CustomerProfile</vt:lpstr>
      <vt:lpstr>MFS_Holdings</vt:lpstr>
      <vt:lpstr>Profit Loss</vt:lpstr>
      <vt:lpstr>InvCorp</vt:lpstr>
      <vt:lpstr>ProjectCode</vt:lpstr>
      <vt:lpstr>MFS_Currency</vt:lpstr>
      <vt:lpstr>MFS_FundDtl</vt:lpstr>
      <vt:lpstr>CUSTOMER</vt:lpstr>
      <vt:lpstr>BIUCUST</vt:lpstr>
      <vt:lpstr>CUSTREL</vt:lpstr>
      <vt:lpstr>Contact</vt:lpstr>
      <vt:lpstr>address</vt:lpstr>
      <vt:lpstr>MSPKAGE</vt:lpstr>
      <vt:lpstr>FT0002 (FCY_TD)</vt:lpstr>
      <vt:lpstr>FT0002P (SI)</vt:lpstr>
      <vt:lpstr>IMDPT (LCY_TD)</vt:lpstr>
      <vt:lpstr>FD0002 (FCY CASA)</vt:lpstr>
      <vt:lpstr> MASTERB (LCY SA)</vt:lpstr>
      <vt:lpstr>MASTERC (LCY CA)</vt:lpstr>
      <vt:lpstr>JMMLN-in house (loan)</vt:lpstr>
      <vt:lpstr>WUMA010(Loan REL mapping)</vt:lpstr>
      <vt:lpstr>JPRODUCT (loan type)</vt:lpstr>
      <vt:lpstr>BATCH -ARMCode</vt:lpstr>
      <vt:lpstr>BATCH-WMPIMST</vt:lpstr>
      <vt:lpstr>BATCH-IBMBLOGIN</vt:lpstr>
      <vt:lpstr>BATCH -COUNTRYCode</vt:lpstr>
      <vt:lpstr>BATCH -JOBKIND</vt:lpstr>
      <vt:lpstr>(branch info) batch_CMDEPM</vt:lpstr>
      <vt:lpstr>Enquire Account Balances</vt:lpstr>
      <vt:lpstr>online-ASKACNT(SA LCY CLT)</vt:lpstr>
      <vt:lpstr>online-SFMF6002 (SA FCY CLT)</vt:lpstr>
      <vt:lpstr>online-CEMSBAL (CASA LCY ACCT)</vt:lpstr>
      <vt:lpstr>online-CEMP0002 (SA FCY ACCT)</vt:lpstr>
      <vt:lpstr>online-CEMT0001 (TD FCY ACCT)</vt:lpstr>
      <vt:lpstr>online-CEMSIMTD (TD LCY ACCT)</vt:lpstr>
      <vt:lpstr>Online-CEMSARR (loan ACCT)</vt:lpstr>
      <vt:lpstr>batch-drop-PRODLST</vt:lpstr>
      <vt:lpstr>batch-Drop down - TROUBLE</vt:lpstr>
      <vt:lpstr>(Gemf) GetInvestmentProfit&amp;Loss</vt:lpstr>
      <vt:lpstr>CMSPOM (FX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Rita Yi Fang</dc:creator>
  <cp:lastModifiedBy>K V, Shakkeer</cp:lastModifiedBy>
  <dcterms:created xsi:type="dcterms:W3CDTF">2025-06-26T08:02:18Z</dcterms:created>
  <dcterms:modified xsi:type="dcterms:W3CDTF">2026-02-11T09:43:33Z</dcterms:modified>
</cp:coreProperties>
</file>